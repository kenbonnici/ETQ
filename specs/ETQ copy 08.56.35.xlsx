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ennethbonnici/Projects/ETQ/specs/"/>
    </mc:Choice>
  </mc:AlternateContent>
  <xr:revisionPtr revIDLastSave="0" documentId="13_ncr:1_{B2EDA575-94F3-7246-8D0A-645D14425571}" xr6:coauthVersionLast="47" xr6:coauthVersionMax="47" xr10:uidLastSave="{00000000-0000-0000-0000-000000000000}"/>
  <bookViews>
    <workbookView xWindow="38400" yWindow="600" windowWidth="38400" windowHeight="21000" activeTab="3" xr2:uid="{66CD462A-5593-B541-B64D-6AAD48C341ED}"/>
  </bookViews>
  <sheets>
    <sheet name="Inputs" sheetId="3" r:id="rId1"/>
    <sheet name="Output" sheetId="6" r:id="rId2"/>
    <sheet name="RetNorm_Engine" sheetId="4" r:id="rId3"/>
    <sheet name="RetEarly_Engine" sheetId="8" r:id="rId4"/>
  </sheets>
  <definedNames>
    <definedName name="A1inc">Inputs!$B$89</definedName>
    <definedName name="A2inc">Inputs!$B$94</definedName>
    <definedName name="A3inc">Inputs!$B$99</definedName>
    <definedName name="A4inc">Inputs!$B$104</definedName>
    <definedName name="A5inc">Inputs!$B$109</definedName>
    <definedName name="AgeRange">RetNorm_Engine!$C$3:INDEX(RetNorm_Engine!$C$3:$XFD$3, COUNTA(RetNorm_Engine!$C$3:$XFD$3))</definedName>
    <definedName name="AssVar">Inputs!$A$297:$C$306</definedName>
    <definedName name="buffer">Inputs!$B$269</definedName>
    <definedName name="ChartCash_Early" localSheetId="3">RetEarly_Engine!$C$379:INDEX(RetEarly_Engine!$C$379:$XFD$379, COUNTA(RetEarly_Engine!$C$379:$XFD$379))</definedName>
    <definedName name="ChartCash_Norm">RetNorm_Engine!$C$379:INDEX(RetNorm_Engine!$C$379:$XFD$379, COUNTA(RetNorm_Engine!$C$379:$XFD$379))</definedName>
    <definedName name="ChartNW_Early" localSheetId="3">RetEarly_Engine!$C$380:INDEX(RetEarly_Engine!$C$380:$XFD$380, COUNTA(RetEarly_Engine!$C$380:$XFD$380))</definedName>
    <definedName name="ChartNW_Norm">RetNorm_Engine!$C$380:INDEX(RetNorm_Engine!$C$380:$XFD$380, COUNTA(RetNorm_Engine!$C$380:$XFD$380))</definedName>
    <definedName name="DCoth">Inputs!$B$277</definedName>
    <definedName name="DCprop">Inputs!$B$275</definedName>
    <definedName name="EndAge">Inputs!$B$244</definedName>
    <definedName name="inf">Inputs!$B$255</definedName>
    <definedName name="legacy">Inputs!$B$271</definedName>
    <definedName name="MthOff">Inputs!$B$293</definedName>
    <definedName name="MthRem">Inputs!$B$292</definedName>
    <definedName name="princ">Inputs!$B$257</definedName>
    <definedName name="ProRate">Inputs!$B$294</definedName>
    <definedName name="RetAge">Inputs!$B$19</definedName>
    <definedName name="rinc">Inputs!$B$265</definedName>
    <definedName name="sincr">Inputs!$B$263</definedName>
    <definedName name="stinc">Inputs!$B$261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83" i="8" l="1"/>
  <c r="AL383" i="8"/>
  <c r="AK383" i="8"/>
  <c r="AJ383" i="8"/>
  <c r="AI383" i="8"/>
  <c r="AH383" i="8"/>
  <c r="AG383" i="8"/>
  <c r="AF383" i="8"/>
  <c r="AE383" i="8"/>
  <c r="AD383" i="8"/>
  <c r="AC383" i="8"/>
  <c r="AB383" i="8"/>
  <c r="AA383" i="8"/>
  <c r="Z383" i="8"/>
  <c r="Y383" i="8"/>
  <c r="X383" i="8"/>
  <c r="W383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C383" i="8"/>
  <c r="AM382" i="8"/>
  <c r="AL382" i="8"/>
  <c r="AK382" i="8"/>
  <c r="AJ382" i="8"/>
  <c r="AI382" i="8"/>
  <c r="AH382" i="8"/>
  <c r="AG382" i="8"/>
  <c r="AF382" i="8"/>
  <c r="AE382" i="8"/>
  <c r="AD382" i="8"/>
  <c r="AC382" i="8"/>
  <c r="AB382" i="8"/>
  <c r="AA382" i="8"/>
  <c r="Z382" i="8"/>
  <c r="Y382" i="8"/>
  <c r="X382" i="8"/>
  <c r="W382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C382" i="8"/>
  <c r="AM374" i="8"/>
  <c r="AL374" i="8"/>
  <c r="AK374" i="8"/>
  <c r="AJ374" i="8"/>
  <c r="AI374" i="8"/>
  <c r="AH374" i="8"/>
  <c r="AG374" i="8"/>
  <c r="AF374" i="8"/>
  <c r="AE374" i="8"/>
  <c r="AD374" i="8"/>
  <c r="AC374" i="8"/>
  <c r="AB374" i="8"/>
  <c r="AA374" i="8"/>
  <c r="Z374" i="8"/>
  <c r="Y374" i="8"/>
  <c r="X374" i="8"/>
  <c r="W374" i="8"/>
  <c r="V374" i="8"/>
  <c r="U374" i="8"/>
  <c r="T374" i="8"/>
  <c r="S374" i="8"/>
  <c r="R374" i="8"/>
  <c r="Q374" i="8"/>
  <c r="P374" i="8"/>
  <c r="O374" i="8"/>
  <c r="N374" i="8"/>
  <c r="M374" i="8"/>
  <c r="L374" i="8"/>
  <c r="K374" i="8"/>
  <c r="J374" i="8"/>
  <c r="I374" i="8"/>
  <c r="H374" i="8"/>
  <c r="G374" i="8"/>
  <c r="F374" i="8"/>
  <c r="E374" i="8"/>
  <c r="D374" i="8"/>
  <c r="C374" i="8"/>
  <c r="A361" i="8"/>
  <c r="A360" i="8"/>
  <c r="A359" i="8"/>
  <c r="A358" i="8"/>
  <c r="A357" i="8"/>
  <c r="A356" i="8"/>
  <c r="A350" i="8"/>
  <c r="A349" i="8"/>
  <c r="A348" i="8"/>
  <c r="A347" i="8"/>
  <c r="A346" i="8"/>
  <c r="A345" i="8"/>
  <c r="A344" i="8"/>
  <c r="A343" i="8"/>
  <c r="A335" i="8"/>
  <c r="A334" i="8"/>
  <c r="AM267" i="8"/>
  <c r="A265" i="8"/>
  <c r="AM250" i="8"/>
  <c r="A248" i="8"/>
  <c r="AM233" i="8"/>
  <c r="A231" i="8"/>
  <c r="AM219" i="8"/>
  <c r="AM216" i="8"/>
  <c r="A214" i="8"/>
  <c r="B205" i="8"/>
  <c r="AM202" i="8"/>
  <c r="AM199" i="8"/>
  <c r="A197" i="8"/>
  <c r="AM182" i="8"/>
  <c r="A180" i="8"/>
  <c r="B171" i="8"/>
  <c r="AM165" i="8"/>
  <c r="A163" i="8"/>
  <c r="B154" i="8"/>
  <c r="AM148" i="8"/>
  <c r="AM151" i="8" s="1"/>
  <c r="A146" i="8"/>
  <c r="AM131" i="8"/>
  <c r="A129" i="8"/>
  <c r="B120" i="8"/>
  <c r="AM114" i="8"/>
  <c r="A112" i="8"/>
  <c r="A92" i="8"/>
  <c r="A91" i="8"/>
  <c r="A90" i="8"/>
  <c r="A89" i="8"/>
  <c r="A88" i="8"/>
  <c r="A87" i="8"/>
  <c r="A355" i="8" s="1"/>
  <c r="A86" i="8"/>
  <c r="A354" i="8" s="1"/>
  <c r="A85" i="8"/>
  <c r="A353" i="8" s="1"/>
  <c r="A84" i="8"/>
  <c r="A352" i="8" s="1"/>
  <c r="A83" i="8"/>
  <c r="A351" i="8" s="1"/>
  <c r="A79" i="8"/>
  <c r="A307" i="8" s="1"/>
  <c r="A78" i="8"/>
  <c r="A306" i="8" s="1"/>
  <c r="A77" i="8"/>
  <c r="A305" i="8" s="1"/>
  <c r="A76" i="8"/>
  <c r="A304" i="8" s="1"/>
  <c r="A75" i="8"/>
  <c r="A303" i="8" s="1"/>
  <c r="A73" i="8"/>
  <c r="A72" i="8"/>
  <c r="A71" i="8"/>
  <c r="A70" i="8"/>
  <c r="A69" i="8"/>
  <c r="C62" i="8"/>
  <c r="A58" i="8"/>
  <c r="A57" i="8"/>
  <c r="A56" i="8"/>
  <c r="AL54" i="8"/>
  <c r="AK54" i="8"/>
  <c r="AJ54" i="8"/>
  <c r="AG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A54" i="8"/>
  <c r="AM53" i="8"/>
  <c r="AL53" i="8"/>
  <c r="AK53" i="8"/>
  <c r="AJ53" i="8"/>
  <c r="AI53" i="8"/>
  <c r="AH53" i="8"/>
  <c r="AG53" i="8"/>
  <c r="AF53" i="8"/>
  <c r="AE53" i="8"/>
  <c r="AB53" i="8"/>
  <c r="AA53" i="8"/>
  <c r="Z53" i="8"/>
  <c r="Y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A53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O52" i="8"/>
  <c r="N52" i="8"/>
  <c r="I52" i="8"/>
  <c r="D52" i="8"/>
  <c r="A52" i="8"/>
  <c r="AM51" i="8"/>
  <c r="AM54" i="8" s="1"/>
  <c r="AL51" i="8"/>
  <c r="AK51" i="8"/>
  <c r="AJ51" i="8"/>
  <c r="AI51" i="8"/>
  <c r="AI54" i="8" s="1"/>
  <c r="AH51" i="8"/>
  <c r="AH54" i="8" s="1"/>
  <c r="AG51" i="8"/>
  <c r="AF51" i="8"/>
  <c r="AF54" i="8" s="1"/>
  <c r="AE51" i="8"/>
  <c r="AD51" i="8"/>
  <c r="AD53" i="8" s="1"/>
  <c r="AC51" i="8"/>
  <c r="AC53" i="8" s="1"/>
  <c r="AB51" i="8"/>
  <c r="AA51" i="8"/>
  <c r="Z51" i="8"/>
  <c r="Y51" i="8"/>
  <c r="X51" i="8"/>
  <c r="X53" i="8" s="1"/>
  <c r="W51" i="8"/>
  <c r="W53" i="8" s="1"/>
  <c r="V51" i="8"/>
  <c r="V53" i="8" s="1"/>
  <c r="U51" i="8"/>
  <c r="T51" i="8"/>
  <c r="T52" i="8" s="1"/>
  <c r="S51" i="8"/>
  <c r="S52" i="8" s="1"/>
  <c r="R51" i="8"/>
  <c r="R52" i="8" s="1"/>
  <c r="Q51" i="8"/>
  <c r="Q52" i="8" s="1"/>
  <c r="P51" i="8"/>
  <c r="P52" i="8" s="1"/>
  <c r="O51" i="8"/>
  <c r="N51" i="8"/>
  <c r="M51" i="8"/>
  <c r="M52" i="8" s="1"/>
  <c r="L51" i="8"/>
  <c r="L52" i="8" s="1"/>
  <c r="K51" i="8"/>
  <c r="K52" i="8" s="1"/>
  <c r="J51" i="8"/>
  <c r="J52" i="8" s="1"/>
  <c r="I51" i="8"/>
  <c r="H51" i="8"/>
  <c r="H52" i="8" s="1"/>
  <c r="G51" i="8"/>
  <c r="G52" i="8" s="1"/>
  <c r="F51" i="8"/>
  <c r="F52" i="8" s="1"/>
  <c r="E51" i="8"/>
  <c r="E52" i="8" s="1"/>
  <c r="D51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49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48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47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46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A45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42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41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40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39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38" i="8"/>
  <c r="A35" i="8"/>
  <c r="A34" i="8"/>
  <c r="A33" i="8"/>
  <c r="A32" i="8"/>
  <c r="A31" i="8"/>
  <c r="A30" i="8"/>
  <c r="A29" i="8"/>
  <c r="A28" i="8"/>
  <c r="A27" i="8"/>
  <c r="A26" i="8"/>
  <c r="C23" i="8"/>
  <c r="A19" i="8"/>
  <c r="A18" i="8"/>
  <c r="A17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Q14" i="8"/>
  <c r="N14" i="8"/>
  <c r="L14" i="8"/>
  <c r="K14" i="8"/>
  <c r="J14" i="8"/>
  <c r="I14" i="8"/>
  <c r="E14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S14" i="8" s="1"/>
  <c r="R13" i="8"/>
  <c r="R14" i="8" s="1"/>
  <c r="Q13" i="8"/>
  <c r="P13" i="8"/>
  <c r="P14" i="8" s="1"/>
  <c r="O13" i="8"/>
  <c r="O14" i="8" s="1"/>
  <c r="N13" i="8"/>
  <c r="M13" i="8"/>
  <c r="M14" i="8" s="1"/>
  <c r="L13" i="8"/>
  <c r="K13" i="8"/>
  <c r="J13" i="8"/>
  <c r="I13" i="8"/>
  <c r="H13" i="8"/>
  <c r="H14" i="8" s="1"/>
  <c r="G13" i="8"/>
  <c r="G14" i="8" s="1"/>
  <c r="F13" i="8"/>
  <c r="F14" i="8" s="1"/>
  <c r="E13" i="8"/>
  <c r="D13" i="8"/>
  <c r="D14" i="8" s="1"/>
  <c r="A12" i="8"/>
  <c r="A11" i="8"/>
  <c r="A10" i="8"/>
  <c r="A9" i="8"/>
  <c r="A8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A347" i="4"/>
  <c r="A346" i="4"/>
  <c r="A345" i="4"/>
  <c r="A344" i="4"/>
  <c r="A343" i="4"/>
  <c r="A348" i="4"/>
  <c r="AM267" i="4"/>
  <c r="AM250" i="4"/>
  <c r="AM233" i="4"/>
  <c r="AM216" i="4"/>
  <c r="AM199" i="4"/>
  <c r="AM182" i="4"/>
  <c r="AM165" i="4"/>
  <c r="AM148" i="4"/>
  <c r="AM131" i="4"/>
  <c r="C306" i="3"/>
  <c r="C305" i="3"/>
  <c r="C304" i="3"/>
  <c r="C303" i="3"/>
  <c r="C302" i="3"/>
  <c r="C301" i="3" a="1"/>
  <c r="C301" i="3" s="1"/>
  <c r="C300" i="3" a="1"/>
  <c r="C300" i="3" s="1"/>
  <c r="C299" i="3" a="1"/>
  <c r="C299" i="3" s="1"/>
  <c r="C298" i="3" a="1"/>
  <c r="C298" i="3" s="1"/>
  <c r="C297" i="3" a="1"/>
  <c r="C297" i="3" s="1"/>
  <c r="A35" i="4"/>
  <c r="A34" i="4"/>
  <c r="A33" i="4"/>
  <c r="A32" i="4"/>
  <c r="A31" i="4"/>
  <c r="G167" i="3"/>
  <c r="G168" i="3" s="1"/>
  <c r="A171" i="3"/>
  <c r="A166" i="3"/>
  <c r="A161" i="3"/>
  <c r="A156" i="3"/>
  <c r="A151" i="3"/>
  <c r="G172" i="3"/>
  <c r="G173" i="3" s="1"/>
  <c r="G162" i="3"/>
  <c r="G163" i="3" s="1"/>
  <c r="G157" i="3"/>
  <c r="G158" i="3" s="1"/>
  <c r="G152" i="3"/>
  <c r="G153" i="3" s="1"/>
  <c r="A360" i="4"/>
  <c r="A359" i="4"/>
  <c r="A358" i="4"/>
  <c r="A357" i="4"/>
  <c r="A356" i="4"/>
  <c r="A92" i="4"/>
  <c r="A91" i="4"/>
  <c r="A90" i="4"/>
  <c r="A89" i="4"/>
  <c r="A88" i="4"/>
  <c r="B306" i="3"/>
  <c r="B305" i="3"/>
  <c r="B304" i="3"/>
  <c r="B303" i="3"/>
  <c r="B302" i="3"/>
  <c r="B301" i="3"/>
  <c r="B300" i="3"/>
  <c r="B299" i="3"/>
  <c r="B298" i="3"/>
  <c r="B297" i="3"/>
  <c r="A297" i="3"/>
  <c r="A284" i="3"/>
  <c r="A301" i="3" s="1"/>
  <c r="A283" i="3"/>
  <c r="A300" i="3" s="1"/>
  <c r="A282" i="3"/>
  <c r="A299" i="3" s="1"/>
  <c r="A281" i="3"/>
  <c r="A298" i="3" s="1"/>
  <c r="A280" i="3"/>
  <c r="A69" i="4"/>
  <c r="A70" i="4"/>
  <c r="A71" i="4"/>
  <c r="A72" i="4"/>
  <c r="A73" i="4"/>
  <c r="A79" i="4"/>
  <c r="A307" i="4" s="1"/>
  <c r="A331" i="4" s="1"/>
  <c r="A78" i="4"/>
  <c r="A306" i="4" s="1"/>
  <c r="A330" i="4" s="1"/>
  <c r="A77" i="4"/>
  <c r="A305" i="4" s="1"/>
  <c r="A329" i="4" s="1"/>
  <c r="A76" i="4"/>
  <c r="A304" i="4" s="1"/>
  <c r="A328" i="4" s="1"/>
  <c r="A75" i="4"/>
  <c r="A303" i="4" s="1"/>
  <c r="A327" i="4" s="1"/>
  <c r="A289" i="3"/>
  <c r="A306" i="3" s="1"/>
  <c r="A288" i="3"/>
  <c r="A305" i="3" s="1"/>
  <c r="A287" i="3"/>
  <c r="A304" i="3" s="1"/>
  <c r="A286" i="3"/>
  <c r="A303" i="3" s="1"/>
  <c r="A285" i="3"/>
  <c r="A302" i="3" s="1"/>
  <c r="F285" i="3"/>
  <c r="F289" i="3"/>
  <c r="F288" i="3"/>
  <c r="F287" i="3"/>
  <c r="F286" i="3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3" i="4"/>
  <c r="C382" i="4"/>
  <c r="B292" i="3"/>
  <c r="C31" i="8" s="1"/>
  <c r="C29" i="8" l="1"/>
  <c r="C30" i="8"/>
  <c r="C32" i="8"/>
  <c r="C24" i="8"/>
  <c r="C36" i="8"/>
  <c r="C26" i="8"/>
  <c r="AM168" i="8"/>
  <c r="AM117" i="8"/>
  <c r="B188" i="8"/>
  <c r="B137" i="8"/>
  <c r="A302" i="8"/>
  <c r="A341" i="8"/>
  <c r="A327" i="8"/>
  <c r="AM134" i="8"/>
  <c r="C35" i="8"/>
  <c r="A330" i="8"/>
  <c r="A313" i="8"/>
  <c r="A289" i="8"/>
  <c r="A328" i="8"/>
  <c r="A338" i="8"/>
  <c r="A299" i="8"/>
  <c r="A312" i="8"/>
  <c r="A288" i="8"/>
  <c r="A300" i="8"/>
  <c r="A339" i="8"/>
  <c r="C34" i="8"/>
  <c r="C28" i="8"/>
  <c r="C33" i="8"/>
  <c r="C27" i="8"/>
  <c r="B239" i="8"/>
  <c r="A337" i="8"/>
  <c r="A298" i="8"/>
  <c r="A301" i="8"/>
  <c r="A340" i="8"/>
  <c r="AM185" i="8"/>
  <c r="AM253" i="8"/>
  <c r="B256" i="8"/>
  <c r="AM236" i="8"/>
  <c r="A315" i="8"/>
  <c r="A291" i="8"/>
  <c r="A329" i="8"/>
  <c r="A310" i="8"/>
  <c r="A286" i="8"/>
  <c r="A331" i="8"/>
  <c r="B273" i="8"/>
  <c r="AM270" i="8"/>
  <c r="B222" i="8"/>
  <c r="C35" i="4"/>
  <c r="C34" i="4"/>
  <c r="C33" i="4"/>
  <c r="C32" i="4"/>
  <c r="C31" i="4"/>
  <c r="B293" i="3"/>
  <c r="B294" i="3"/>
  <c r="C3" i="8"/>
  <c r="C2" i="8"/>
  <c r="C3" i="4"/>
  <c r="C2" i="4"/>
  <c r="A42" i="4"/>
  <c r="A41" i="4"/>
  <c r="A361" i="4"/>
  <c r="A350" i="4"/>
  <c r="A349" i="4"/>
  <c r="A335" i="4"/>
  <c r="A334" i="4"/>
  <c r="AM114" i="4"/>
  <c r="A87" i="4"/>
  <c r="A355" i="4" s="1"/>
  <c r="A86" i="4"/>
  <c r="A354" i="4" s="1"/>
  <c r="A85" i="4"/>
  <c r="A353" i="4" s="1"/>
  <c r="A84" i="4"/>
  <c r="A352" i="4" s="1"/>
  <c r="A83" i="4"/>
  <c r="A351" i="4" s="1"/>
  <c r="A299" i="4"/>
  <c r="A323" i="4" s="1"/>
  <c r="C62" i="4"/>
  <c r="A58" i="4"/>
  <c r="A57" i="4"/>
  <c r="A56" i="4"/>
  <c r="A54" i="4"/>
  <c r="A53" i="4"/>
  <c r="A52" i="4"/>
  <c r="D51" i="4"/>
  <c r="D49" i="4"/>
  <c r="A49" i="4"/>
  <c r="D48" i="4"/>
  <c r="A48" i="4"/>
  <c r="D47" i="4"/>
  <c r="A47" i="4"/>
  <c r="D46" i="4"/>
  <c r="A46" i="4"/>
  <c r="D45" i="4"/>
  <c r="A45" i="4"/>
  <c r="D43" i="4"/>
  <c r="A40" i="4"/>
  <c r="A39" i="4"/>
  <c r="A38" i="4"/>
  <c r="A30" i="4"/>
  <c r="A29" i="4"/>
  <c r="A28" i="4"/>
  <c r="A27" i="4"/>
  <c r="A26" i="4"/>
  <c r="C23" i="4"/>
  <c r="A19" i="4"/>
  <c r="A18" i="4"/>
  <c r="A17" i="4"/>
  <c r="A12" i="4"/>
  <c r="A11" i="4"/>
  <c r="A10" i="4"/>
  <c r="A9" i="4"/>
  <c r="A8" i="4"/>
  <c r="F284" i="3"/>
  <c r="F283" i="3"/>
  <c r="G147" i="3"/>
  <c r="A146" i="3"/>
  <c r="G142" i="3"/>
  <c r="A141" i="3"/>
  <c r="A117" i="3"/>
  <c r="A116" i="3"/>
  <c r="A326" i="8" l="1"/>
  <c r="A311" i="8"/>
  <c r="A287" i="8"/>
  <c r="A314" i="8"/>
  <c r="A290" i="8"/>
  <c r="AE93" i="8"/>
  <c r="AE361" i="8" s="1"/>
  <c r="S93" i="8"/>
  <c r="S361" i="8" s="1"/>
  <c r="G93" i="8"/>
  <c r="G361" i="8" s="1"/>
  <c r="AI93" i="8"/>
  <c r="AI361" i="8" s="1"/>
  <c r="V93" i="8"/>
  <c r="V361" i="8" s="1"/>
  <c r="I93" i="8"/>
  <c r="I361" i="8" s="1"/>
  <c r="AG92" i="8"/>
  <c r="U92" i="8"/>
  <c r="I92" i="8"/>
  <c r="AI91" i="8"/>
  <c r="W91" i="8"/>
  <c r="K91" i="8"/>
  <c r="AK90" i="8"/>
  <c r="Y90" i="8"/>
  <c r="M90" i="8"/>
  <c r="AM89" i="8"/>
  <c r="AA89" i="8"/>
  <c r="O89" i="8"/>
  <c r="C89" i="8"/>
  <c r="AC88" i="8"/>
  <c r="Q88" i="8"/>
  <c r="E88" i="8"/>
  <c r="AE87" i="8"/>
  <c r="S87" i="8"/>
  <c r="G87" i="8"/>
  <c r="AG86" i="8"/>
  <c r="U86" i="8"/>
  <c r="I86" i="8"/>
  <c r="AI85" i="8"/>
  <c r="W85" i="8"/>
  <c r="K85" i="8"/>
  <c r="AK84" i="8"/>
  <c r="Y84" i="8"/>
  <c r="M84" i="8"/>
  <c r="AM83" i="8"/>
  <c r="AA83" i="8"/>
  <c r="O83" i="8"/>
  <c r="C83" i="8"/>
  <c r="AC81" i="8"/>
  <c r="AC349" i="8" s="1"/>
  <c r="Q81" i="8"/>
  <c r="Q349" i="8" s="1"/>
  <c r="E81" i="8"/>
  <c r="E349" i="8" s="1"/>
  <c r="AH93" i="8"/>
  <c r="AH361" i="8" s="1"/>
  <c r="U93" i="8"/>
  <c r="U361" i="8" s="1"/>
  <c r="H93" i="8"/>
  <c r="H361" i="8" s="1"/>
  <c r="AF92" i="8"/>
  <c r="T92" i="8"/>
  <c r="H92" i="8"/>
  <c r="AH91" i="8"/>
  <c r="V91" i="8"/>
  <c r="J91" i="8"/>
  <c r="AJ90" i="8"/>
  <c r="X90" i="8"/>
  <c r="L90" i="8"/>
  <c r="AL89" i="8"/>
  <c r="Z89" i="8"/>
  <c r="N89" i="8"/>
  <c r="AB88" i="8"/>
  <c r="P88" i="8"/>
  <c r="D88" i="8"/>
  <c r="AD87" i="8"/>
  <c r="R87" i="8"/>
  <c r="F87" i="8"/>
  <c r="AF86" i="8"/>
  <c r="T86" i="8"/>
  <c r="H86" i="8"/>
  <c r="AH85" i="8"/>
  <c r="V85" i="8"/>
  <c r="J85" i="8"/>
  <c r="AJ84" i="8"/>
  <c r="X84" i="8"/>
  <c r="L84" i="8"/>
  <c r="AL83" i="8"/>
  <c r="Z83" i="8"/>
  <c r="N83" i="8"/>
  <c r="AB81" i="8"/>
  <c r="AB349" i="8" s="1"/>
  <c r="P81" i="8"/>
  <c r="P349" i="8" s="1"/>
  <c r="D81" i="8"/>
  <c r="D349" i="8" s="1"/>
  <c r="AG93" i="8"/>
  <c r="AG361" i="8" s="1"/>
  <c r="T93" i="8"/>
  <c r="T361" i="8" s="1"/>
  <c r="F93" i="8"/>
  <c r="F361" i="8" s="1"/>
  <c r="AE92" i="8"/>
  <c r="S92" i="8"/>
  <c r="G92" i="8"/>
  <c r="AG91" i="8"/>
  <c r="U91" i="8"/>
  <c r="I91" i="8"/>
  <c r="AI90" i="8"/>
  <c r="W90" i="8"/>
  <c r="K90" i="8"/>
  <c r="AK89" i="8"/>
  <c r="Y89" i="8"/>
  <c r="M89" i="8"/>
  <c r="AM88" i="8"/>
  <c r="AA88" i="8"/>
  <c r="O88" i="8"/>
  <c r="C88" i="8"/>
  <c r="AC87" i="8"/>
  <c r="Q87" i="8"/>
  <c r="E87" i="8"/>
  <c r="AE86" i="8"/>
  <c r="S86" i="8"/>
  <c r="G86" i="8"/>
  <c r="AG85" i="8"/>
  <c r="U85" i="8"/>
  <c r="I85" i="8"/>
  <c r="AI84" i="8"/>
  <c r="W84" i="8"/>
  <c r="K84" i="8"/>
  <c r="AK83" i="8"/>
  <c r="Y83" i="8"/>
  <c r="M83" i="8"/>
  <c r="AM81" i="8"/>
  <c r="AM349" i="8" s="1"/>
  <c r="AA81" i="8"/>
  <c r="AA349" i="8" s="1"/>
  <c r="O81" i="8"/>
  <c r="O349" i="8" s="1"/>
  <c r="C81" i="8"/>
  <c r="C349" i="8" s="1"/>
  <c r="AA93" i="8"/>
  <c r="AA361" i="8" s="1"/>
  <c r="N93" i="8"/>
  <c r="N361" i="8" s="1"/>
  <c r="AL92" i="8"/>
  <c r="Z92" i="8"/>
  <c r="N92" i="8"/>
  <c r="AB91" i="8"/>
  <c r="P91" i="8"/>
  <c r="D91" i="8"/>
  <c r="AD90" i="8"/>
  <c r="R90" i="8"/>
  <c r="F90" i="8"/>
  <c r="AM93" i="8"/>
  <c r="AM361" i="8" s="1"/>
  <c r="R93" i="8"/>
  <c r="R361" i="8" s="1"/>
  <c r="AK92" i="8"/>
  <c r="R92" i="8"/>
  <c r="X91" i="8"/>
  <c r="E91" i="8"/>
  <c r="Z90" i="8"/>
  <c r="G90" i="8"/>
  <c r="AC89" i="8"/>
  <c r="K89" i="8"/>
  <c r="AI88" i="8"/>
  <c r="T88" i="8"/>
  <c r="Y87" i="8"/>
  <c r="J87" i="8"/>
  <c r="AD86" i="8"/>
  <c r="O86" i="8"/>
  <c r="AL85" i="8"/>
  <c r="T85" i="8"/>
  <c r="E85" i="8"/>
  <c r="AB84" i="8"/>
  <c r="J84" i="8"/>
  <c r="AG83" i="8"/>
  <c r="R83" i="8"/>
  <c r="X81" i="8"/>
  <c r="X349" i="8" s="1"/>
  <c r="I81" i="8"/>
  <c r="I349" i="8" s="1"/>
  <c r="AJ36" i="8"/>
  <c r="X36" i="8"/>
  <c r="L36" i="8"/>
  <c r="AK35" i="8"/>
  <c r="Y35" i="8"/>
  <c r="M35" i="8"/>
  <c r="AM34" i="8"/>
  <c r="AA34" i="8"/>
  <c r="O34" i="8"/>
  <c r="AC33" i="8"/>
  <c r="Q33" i="8"/>
  <c r="E33" i="8"/>
  <c r="AE32" i="8"/>
  <c r="S32" i="8"/>
  <c r="G32" i="8"/>
  <c r="AG31" i="8"/>
  <c r="U31" i="8"/>
  <c r="I31" i="8"/>
  <c r="AI30" i="8"/>
  <c r="W30" i="8"/>
  <c r="K30" i="8"/>
  <c r="AK29" i="8"/>
  <c r="Y29" i="8"/>
  <c r="M29" i="8"/>
  <c r="AM28" i="8"/>
  <c r="AA28" i="8"/>
  <c r="O28" i="8"/>
  <c r="AC27" i="8"/>
  <c r="Q27" i="8"/>
  <c r="E27" i="8"/>
  <c r="AE26" i="8"/>
  <c r="S26" i="8"/>
  <c r="G26" i="8"/>
  <c r="AG24" i="8"/>
  <c r="U24" i="8"/>
  <c r="I24" i="8"/>
  <c r="AL93" i="8"/>
  <c r="AL361" i="8" s="1"/>
  <c r="Q93" i="8"/>
  <c r="Q361" i="8" s="1"/>
  <c r="AJ92" i="8"/>
  <c r="Q92" i="8"/>
  <c r="AM91" i="8"/>
  <c r="T91" i="8"/>
  <c r="C91" i="8"/>
  <c r="V90" i="8"/>
  <c r="E90" i="8"/>
  <c r="AB89" i="8"/>
  <c r="J89" i="8"/>
  <c r="AH88" i="8"/>
  <c r="S88" i="8"/>
  <c r="AM87" i="8"/>
  <c r="X87" i="8"/>
  <c r="I87" i="8"/>
  <c r="AC86" i="8"/>
  <c r="N86" i="8"/>
  <c r="AK85" i="8"/>
  <c r="S85" i="8"/>
  <c r="D85" i="8"/>
  <c r="AA84" i="8"/>
  <c r="I84" i="8"/>
  <c r="AF83" i="8"/>
  <c r="Q83" i="8"/>
  <c r="AL81" i="8"/>
  <c r="AL349" i="8" s="1"/>
  <c r="W81" i="8"/>
  <c r="W349" i="8" s="1"/>
  <c r="H81" i="8"/>
  <c r="H349" i="8" s="1"/>
  <c r="AI36" i="8"/>
  <c r="W36" i="8"/>
  <c r="K36" i="8"/>
  <c r="AJ35" i="8"/>
  <c r="X35" i="8"/>
  <c r="L35" i="8"/>
  <c r="AL34" i="8"/>
  <c r="Z34" i="8"/>
  <c r="N34" i="8"/>
  <c r="AB33" i="8"/>
  <c r="P33" i="8"/>
  <c r="D33" i="8"/>
  <c r="AD32" i="8"/>
  <c r="R32" i="8"/>
  <c r="F32" i="8"/>
  <c r="AF31" i="8"/>
  <c r="T31" i="8"/>
  <c r="H31" i="8"/>
  <c r="AH30" i="8"/>
  <c r="V30" i="8"/>
  <c r="J30" i="8"/>
  <c r="AJ29" i="8"/>
  <c r="X29" i="8"/>
  <c r="L29" i="8"/>
  <c r="AL28" i="8"/>
  <c r="Z28" i="8"/>
  <c r="N28" i="8"/>
  <c r="AB27" i="8"/>
  <c r="P27" i="8"/>
  <c r="D27" i="8"/>
  <c r="AD26" i="8"/>
  <c r="R26" i="8"/>
  <c r="F26" i="8"/>
  <c r="AF24" i="8"/>
  <c r="T24" i="8"/>
  <c r="H24" i="8"/>
  <c r="AK93" i="8"/>
  <c r="AK361" i="8" s="1"/>
  <c r="P93" i="8"/>
  <c r="P361" i="8" s="1"/>
  <c r="AI92" i="8"/>
  <c r="P92" i="8"/>
  <c r="AL91" i="8"/>
  <c r="S91" i="8"/>
  <c r="U90" i="8"/>
  <c r="D90" i="8"/>
  <c r="X89" i="8"/>
  <c r="I89" i="8"/>
  <c r="AG88" i="8"/>
  <c r="R88" i="8"/>
  <c r="AL87" i="8"/>
  <c r="W87" i="8"/>
  <c r="H87" i="8"/>
  <c r="AB86" i="8"/>
  <c r="M86" i="8"/>
  <c r="AJ85" i="8"/>
  <c r="R85" i="8"/>
  <c r="C85" i="8"/>
  <c r="Z84" i="8"/>
  <c r="H84" i="8"/>
  <c r="AE83" i="8"/>
  <c r="P83" i="8"/>
  <c r="AK81" i="8"/>
  <c r="AK349" i="8" s="1"/>
  <c r="V81" i="8"/>
  <c r="V349" i="8" s="1"/>
  <c r="G81" i="8"/>
  <c r="G349" i="8" s="1"/>
  <c r="AH36" i="8"/>
  <c r="V36" i="8"/>
  <c r="J36" i="8"/>
  <c r="AI35" i="8"/>
  <c r="W35" i="8"/>
  <c r="K35" i="8"/>
  <c r="AK34" i="8"/>
  <c r="Y34" i="8"/>
  <c r="M34" i="8"/>
  <c r="AM33" i="8"/>
  <c r="AA33" i="8"/>
  <c r="O33" i="8"/>
  <c r="AC32" i="8"/>
  <c r="Q32" i="8"/>
  <c r="E32" i="8"/>
  <c r="AE31" i="8"/>
  <c r="S31" i="8"/>
  <c r="G31" i="8"/>
  <c r="AG30" i="8"/>
  <c r="U30" i="8"/>
  <c r="I30" i="8"/>
  <c r="AI29" i="8"/>
  <c r="W29" i="8"/>
  <c r="K29" i="8"/>
  <c r="AK28" i="8"/>
  <c r="Y28" i="8"/>
  <c r="M28" i="8"/>
  <c r="AM27" i="8"/>
  <c r="AA27" i="8"/>
  <c r="O27" i="8"/>
  <c r="AC26" i="8"/>
  <c r="Q26" i="8"/>
  <c r="E26" i="8"/>
  <c r="AE24" i="8"/>
  <c r="S24" i="8"/>
  <c r="G24" i="8"/>
  <c r="AB93" i="8"/>
  <c r="AB361" i="8" s="1"/>
  <c r="J93" i="8"/>
  <c r="J361" i="8" s="1"/>
  <c r="AA92" i="8"/>
  <c r="J92" i="8"/>
  <c r="AD91" i="8"/>
  <c r="M91" i="8"/>
  <c r="AF90" i="8"/>
  <c r="O90" i="8"/>
  <c r="AH89" i="8"/>
  <c r="S89" i="8"/>
  <c r="D89" i="8"/>
  <c r="Y88" i="8"/>
  <c r="J88" i="8"/>
  <c r="AG87" i="8"/>
  <c r="O87" i="8"/>
  <c r="AL86" i="8"/>
  <c r="W86" i="8"/>
  <c r="E86" i="8"/>
  <c r="AB85" i="8"/>
  <c r="M85" i="8"/>
  <c r="AG84" i="8"/>
  <c r="R84" i="8"/>
  <c r="C84" i="8"/>
  <c r="W83" i="8"/>
  <c r="H83" i="8"/>
  <c r="AF81" i="8"/>
  <c r="AF349" i="8" s="1"/>
  <c r="N81" i="8"/>
  <c r="N349" i="8" s="1"/>
  <c r="AC36" i="8"/>
  <c r="Q36" i="8"/>
  <c r="E36" i="8"/>
  <c r="AD35" i="8"/>
  <c r="R35" i="8"/>
  <c r="F35" i="8"/>
  <c r="AF34" i="8"/>
  <c r="T34" i="8"/>
  <c r="H34" i="8"/>
  <c r="AH33" i="8"/>
  <c r="V33" i="8"/>
  <c r="J33" i="8"/>
  <c r="AJ32" i="8"/>
  <c r="X32" i="8"/>
  <c r="L32" i="8"/>
  <c r="AL31" i="8"/>
  <c r="Z31" i="8"/>
  <c r="N31" i="8"/>
  <c r="AB30" i="8"/>
  <c r="P30" i="8"/>
  <c r="D30" i="8"/>
  <c r="AD29" i="8"/>
  <c r="R29" i="8"/>
  <c r="F29" i="8"/>
  <c r="AF28" i="8"/>
  <c r="T28" i="8"/>
  <c r="H28" i="8"/>
  <c r="AH27" i="8"/>
  <c r="V27" i="8"/>
  <c r="J27" i="8"/>
  <c r="AJ26" i="8"/>
  <c r="X26" i="8"/>
  <c r="L26" i="8"/>
  <c r="AL24" i="8"/>
  <c r="Z24" i="8"/>
  <c r="N24" i="8"/>
  <c r="O93" i="8"/>
  <c r="O361" i="8" s="1"/>
  <c r="Y92" i="8"/>
  <c r="N91" i="8"/>
  <c r="AB90" i="8"/>
  <c r="AJ89" i="8"/>
  <c r="P89" i="8"/>
  <c r="AD88" i="8"/>
  <c r="G88" i="8"/>
  <c r="U87" i="8"/>
  <c r="AJ86" i="8"/>
  <c r="K86" i="8"/>
  <c r="Z85" i="8"/>
  <c r="AM84" i="8"/>
  <c r="P84" i="8"/>
  <c r="AC83" i="8"/>
  <c r="F83" i="8"/>
  <c r="U81" i="8"/>
  <c r="U349" i="8" s="1"/>
  <c r="AD36" i="8"/>
  <c r="M36" i="8"/>
  <c r="AE35" i="8"/>
  <c r="N35" i="8"/>
  <c r="AG34" i="8"/>
  <c r="P34" i="8"/>
  <c r="AJ33" i="8"/>
  <c r="S33" i="8"/>
  <c r="AL32" i="8"/>
  <c r="U32" i="8"/>
  <c r="W31" i="8"/>
  <c r="D31" i="8"/>
  <c r="Z30" i="8"/>
  <c r="G30" i="8"/>
  <c r="AB29" i="8"/>
  <c r="I29" i="8"/>
  <c r="AD28" i="8"/>
  <c r="K28" i="8"/>
  <c r="AG27" i="8"/>
  <c r="N27" i="8"/>
  <c r="AI26" i="8"/>
  <c r="P26" i="8"/>
  <c r="AK24" i="8"/>
  <c r="R24" i="8"/>
  <c r="AA35" i="8"/>
  <c r="AC34" i="8"/>
  <c r="AH32" i="8"/>
  <c r="Q31" i="8"/>
  <c r="AD27" i="8"/>
  <c r="M26" i="8"/>
  <c r="M93" i="8"/>
  <c r="M361" i="8" s="1"/>
  <c r="X92" i="8"/>
  <c r="AK91" i="8"/>
  <c r="L91" i="8"/>
  <c r="AA90" i="8"/>
  <c r="AI89" i="8"/>
  <c r="L89" i="8"/>
  <c r="Z88" i="8"/>
  <c r="F88" i="8"/>
  <c r="T87" i="8"/>
  <c r="AI86" i="8"/>
  <c r="J86" i="8"/>
  <c r="Y85" i="8"/>
  <c r="AL84" i="8"/>
  <c r="O84" i="8"/>
  <c r="AB83" i="8"/>
  <c r="E83" i="8"/>
  <c r="T81" i="8"/>
  <c r="T349" i="8" s="1"/>
  <c r="AB36" i="8"/>
  <c r="I36" i="8"/>
  <c r="AC35" i="8"/>
  <c r="J35" i="8"/>
  <c r="AE34" i="8"/>
  <c r="L34" i="8"/>
  <c r="AI33" i="8"/>
  <c r="R33" i="8"/>
  <c r="AK32" i="8"/>
  <c r="T32" i="8"/>
  <c r="AM31" i="8"/>
  <c r="V31" i="8"/>
  <c r="Y30" i="8"/>
  <c r="F30" i="8"/>
  <c r="AA29" i="8"/>
  <c r="H29" i="8"/>
  <c r="AC28" i="8"/>
  <c r="J28" i="8"/>
  <c r="AF27" i="8"/>
  <c r="M27" i="8"/>
  <c r="AH26" i="8"/>
  <c r="O26" i="8"/>
  <c r="AJ24" i="8"/>
  <c r="Q24" i="8"/>
  <c r="AG33" i="8"/>
  <c r="P32" i="8"/>
  <c r="R31" i="8"/>
  <c r="E30" i="8"/>
  <c r="AB28" i="8"/>
  <c r="AE27" i="8"/>
  <c r="AG26" i="8"/>
  <c r="AI24" i="8"/>
  <c r="K93" i="8"/>
  <c r="K361" i="8" s="1"/>
  <c r="G91" i="8"/>
  <c r="AF89" i="8"/>
  <c r="W88" i="8"/>
  <c r="N87" i="8"/>
  <c r="D86" i="8"/>
  <c r="AF84" i="8"/>
  <c r="V83" i="8"/>
  <c r="G36" i="8"/>
  <c r="J34" i="8"/>
  <c r="O32" i="8"/>
  <c r="AM30" i="8"/>
  <c r="V29" i="8"/>
  <c r="X28" i="8"/>
  <c r="K27" i="8"/>
  <c r="AH24" i="8"/>
  <c r="L93" i="8"/>
  <c r="L361" i="8" s="1"/>
  <c r="W92" i="8"/>
  <c r="AJ91" i="8"/>
  <c r="H91" i="8"/>
  <c r="T90" i="8"/>
  <c r="AG89" i="8"/>
  <c r="H89" i="8"/>
  <c r="X88" i="8"/>
  <c r="P87" i="8"/>
  <c r="AH86" i="8"/>
  <c r="F86" i="8"/>
  <c r="X85" i="8"/>
  <c r="AH84" i="8"/>
  <c r="N84" i="8"/>
  <c r="X83" i="8"/>
  <c r="D83" i="8"/>
  <c r="S81" i="8"/>
  <c r="S349" i="8" s="1"/>
  <c r="AA36" i="8"/>
  <c r="H36" i="8"/>
  <c r="AB35" i="8"/>
  <c r="I35" i="8"/>
  <c r="AD34" i="8"/>
  <c r="K34" i="8"/>
  <c r="N33" i="8"/>
  <c r="AI32" i="8"/>
  <c r="AK31" i="8"/>
  <c r="X30" i="8"/>
  <c r="Z29" i="8"/>
  <c r="G29" i="8"/>
  <c r="I28" i="8"/>
  <c r="L27" i="8"/>
  <c r="N26" i="8"/>
  <c r="P24" i="8"/>
  <c r="V92" i="8"/>
  <c r="AF91" i="8"/>
  <c r="S90" i="8"/>
  <c r="G89" i="8"/>
  <c r="AK87" i="8"/>
  <c r="AA86" i="8"/>
  <c r="Q85" i="8"/>
  <c r="G84" i="8"/>
  <c r="R81" i="8"/>
  <c r="R349" i="8" s="1"/>
  <c r="Z36" i="8"/>
  <c r="H35" i="8"/>
  <c r="M33" i="8"/>
  <c r="AJ31" i="8"/>
  <c r="T30" i="8"/>
  <c r="E29" i="8"/>
  <c r="G28" i="8"/>
  <c r="AF26" i="8"/>
  <c r="O24" i="8"/>
  <c r="AF33" i="8"/>
  <c r="AC93" i="8"/>
  <c r="AC361" i="8" s="1"/>
  <c r="AM92" i="8"/>
  <c r="K92" i="8"/>
  <c r="Z91" i="8"/>
  <c r="AL90" i="8"/>
  <c r="J90" i="8"/>
  <c r="V89" i="8"/>
  <c r="AL88" i="8"/>
  <c r="M88" i="8"/>
  <c r="AF87" i="8"/>
  <c r="D87" i="8"/>
  <c r="V86" i="8"/>
  <c r="AF85" i="8"/>
  <c r="L85" i="8"/>
  <c r="V84" i="8"/>
  <c r="L83" i="8"/>
  <c r="AG81" i="8"/>
  <c r="AG349" i="8" s="1"/>
  <c r="J81" i="8"/>
  <c r="J349" i="8" s="1"/>
  <c r="AL36" i="8"/>
  <c r="S36" i="8"/>
  <c r="AM35" i="8"/>
  <c r="T35" i="8"/>
  <c r="V34" i="8"/>
  <c r="E34" i="8"/>
  <c r="Y33" i="8"/>
  <c r="H33" i="8"/>
  <c r="AA32" i="8"/>
  <c r="J32" i="8"/>
  <c r="AC31" i="8"/>
  <c r="L31" i="8"/>
  <c r="AF30" i="8"/>
  <c r="O30" i="8"/>
  <c r="AH29" i="8"/>
  <c r="Q29" i="8"/>
  <c r="AJ28" i="8"/>
  <c r="S28" i="8"/>
  <c r="W27" i="8"/>
  <c r="F27" i="8"/>
  <c r="Y26" i="8"/>
  <c r="H26" i="8"/>
  <c r="AA24" i="8"/>
  <c r="J24" i="8"/>
  <c r="Z93" i="8"/>
  <c r="Z361" i="8" s="1"/>
  <c r="AH92" i="8"/>
  <c r="F92" i="8"/>
  <c r="Y91" i="8"/>
  <c r="AH90" i="8"/>
  <c r="I90" i="8"/>
  <c r="U89" i="8"/>
  <c r="AK88" i="8"/>
  <c r="L88" i="8"/>
  <c r="AB87" i="8"/>
  <c r="C87" i="8"/>
  <c r="R86" i="8"/>
  <c r="AE85" i="8"/>
  <c r="H85" i="8"/>
  <c r="U84" i="8"/>
  <c r="AJ83" i="8"/>
  <c r="K83" i="8"/>
  <c r="AE81" i="8"/>
  <c r="AE349" i="8" s="1"/>
  <c r="F81" i="8"/>
  <c r="F349" i="8" s="1"/>
  <c r="AB92" i="8"/>
  <c r="Q91" i="8"/>
  <c r="C90" i="8"/>
  <c r="AF88" i="8"/>
  <c r="AA87" i="8"/>
  <c r="Q86" i="8"/>
  <c r="G85" i="8"/>
  <c r="AI81" i="8"/>
  <c r="AI349" i="8" s="1"/>
  <c r="AF36" i="8"/>
  <c r="AL35" i="8"/>
  <c r="E35" i="8"/>
  <c r="Q34" i="8"/>
  <c r="W33" i="8"/>
  <c r="AB32" i="8"/>
  <c r="J31" i="8"/>
  <c r="R30" i="8"/>
  <c r="AE29" i="8"/>
  <c r="AI28" i="8"/>
  <c r="E28" i="8"/>
  <c r="S27" i="8"/>
  <c r="W26" i="8"/>
  <c r="AC24" i="8"/>
  <c r="Z32" i="8"/>
  <c r="AH28" i="8"/>
  <c r="R27" i="8"/>
  <c r="U36" i="8"/>
  <c r="L33" i="8"/>
  <c r="M30" i="8"/>
  <c r="H27" i="8"/>
  <c r="AM90" i="8"/>
  <c r="L87" i="8"/>
  <c r="U83" i="8"/>
  <c r="T36" i="8"/>
  <c r="K33" i="8"/>
  <c r="V32" i="8"/>
  <c r="AL30" i="8"/>
  <c r="W28" i="8"/>
  <c r="K26" i="8"/>
  <c r="AG90" i="8"/>
  <c r="K88" i="8"/>
  <c r="AC84" i="8"/>
  <c r="R36" i="8"/>
  <c r="AH34" i="8"/>
  <c r="AA31" i="8"/>
  <c r="P29" i="8"/>
  <c r="U35" i="8"/>
  <c r="AJ30" i="8"/>
  <c r="AI27" i="8"/>
  <c r="M24" i="8"/>
  <c r="F36" i="8"/>
  <c r="D29" i="8"/>
  <c r="F24" i="8"/>
  <c r="AA91" i="8"/>
  <c r="AI87" i="8"/>
  <c r="O85" i="8"/>
  <c r="S34" i="8"/>
  <c r="AG32" i="8"/>
  <c r="AG29" i="8"/>
  <c r="AA26" i="8"/>
  <c r="R91" i="8"/>
  <c r="X86" i="8"/>
  <c r="AG36" i="8"/>
  <c r="AJ93" i="8"/>
  <c r="AJ361" i="8" s="1"/>
  <c r="O92" i="8"/>
  <c r="O91" i="8"/>
  <c r="AE88" i="8"/>
  <c r="Z87" i="8"/>
  <c r="P86" i="8"/>
  <c r="F85" i="8"/>
  <c r="AI83" i="8"/>
  <c r="AH81" i="8"/>
  <c r="AH349" i="8" s="1"/>
  <c r="AE36" i="8"/>
  <c r="AH35" i="8"/>
  <c r="D35" i="8"/>
  <c r="I34" i="8"/>
  <c r="U33" i="8"/>
  <c r="AI31" i="8"/>
  <c r="F31" i="8"/>
  <c r="Q30" i="8"/>
  <c r="AC29" i="8"/>
  <c r="D28" i="8"/>
  <c r="V26" i="8"/>
  <c r="AB24" i="8"/>
  <c r="AD89" i="8"/>
  <c r="U88" i="8"/>
  <c r="C86" i="8"/>
  <c r="AE84" i="8"/>
  <c r="AD83" i="8"/>
  <c r="Z81" i="8"/>
  <c r="Z349" i="8" s="1"/>
  <c r="AJ34" i="8"/>
  <c r="F34" i="8"/>
  <c r="AD31" i="8"/>
  <c r="AE28" i="8"/>
  <c r="X24" i="8"/>
  <c r="E92" i="8"/>
  <c r="N88" i="8"/>
  <c r="AD84" i="8"/>
  <c r="Y81" i="8"/>
  <c r="Y349" i="8" s="1"/>
  <c r="Z35" i="8"/>
  <c r="AB31" i="8"/>
  <c r="S29" i="8"/>
  <c r="AK27" i="8"/>
  <c r="W24" i="8"/>
  <c r="K87" i="8"/>
  <c r="I33" i="8"/>
  <c r="H30" i="8"/>
  <c r="J26" i="8"/>
  <c r="P36" i="8"/>
  <c r="Y31" i="8"/>
  <c r="U28" i="8"/>
  <c r="I26" i="8"/>
  <c r="AC30" i="8"/>
  <c r="AB26" i="8"/>
  <c r="AK36" i="8"/>
  <c r="Z33" i="8"/>
  <c r="D32" i="8"/>
  <c r="E24" i="8"/>
  <c r="AJ88" i="8"/>
  <c r="D84" i="8"/>
  <c r="K31" i="8"/>
  <c r="F28" i="8"/>
  <c r="AF93" i="8"/>
  <c r="AF361" i="8" s="1"/>
  <c r="M92" i="8"/>
  <c r="F91" i="8"/>
  <c r="AE89" i="8"/>
  <c r="V88" i="8"/>
  <c r="V87" i="8"/>
  <c r="L86" i="8"/>
  <c r="AH83" i="8"/>
  <c r="AD81" i="8"/>
  <c r="AD349" i="8" s="1"/>
  <c r="Y36" i="8"/>
  <c r="AG35" i="8"/>
  <c r="G34" i="8"/>
  <c r="T33" i="8"/>
  <c r="Y32" i="8"/>
  <c r="AH31" i="8"/>
  <c r="E31" i="8"/>
  <c r="N30" i="8"/>
  <c r="U29" i="8"/>
  <c r="AG28" i="8"/>
  <c r="I27" i="8"/>
  <c r="U26" i="8"/>
  <c r="Y24" i="8"/>
  <c r="AF35" i="8"/>
  <c r="W32" i="8"/>
  <c r="T29" i="8"/>
  <c r="AL27" i="8"/>
  <c r="T26" i="8"/>
  <c r="Y93" i="8"/>
  <c r="Y361" i="8" s="1"/>
  <c r="W89" i="8"/>
  <c r="AI34" i="8"/>
  <c r="L30" i="8"/>
  <c r="G27" i="8"/>
  <c r="D92" i="8"/>
  <c r="T89" i="8"/>
  <c r="AM85" i="8"/>
  <c r="T83" i="8"/>
  <c r="AK30" i="8"/>
  <c r="V28" i="8"/>
  <c r="V24" i="8"/>
  <c r="AL33" i="8"/>
  <c r="O29" i="8"/>
  <c r="AM26" i="8"/>
  <c r="O31" i="8"/>
  <c r="P28" i="8"/>
  <c r="AD92" i="8"/>
  <c r="N90" i="8"/>
  <c r="Y86" i="8"/>
  <c r="E84" i="8"/>
  <c r="O35" i="8"/>
  <c r="AA30" i="8"/>
  <c r="U27" i="8"/>
  <c r="H90" i="8"/>
  <c r="N85" i="8"/>
  <c r="R34" i="8"/>
  <c r="S30" i="8"/>
  <c r="T27" i="8"/>
  <c r="AD93" i="8"/>
  <c r="AD361" i="8" s="1"/>
  <c r="L92" i="8"/>
  <c r="M87" i="8"/>
  <c r="D34" i="8"/>
  <c r="V35" i="8"/>
  <c r="M32" i="8"/>
  <c r="X27" i="8"/>
  <c r="X33" i="8"/>
  <c r="AJ27" i="8"/>
  <c r="G33" i="8"/>
  <c r="AJ81" i="8"/>
  <c r="AJ349" i="8" s="1"/>
  <c r="D24" i="8"/>
  <c r="X93" i="8"/>
  <c r="X361" i="8" s="1"/>
  <c r="M81" i="8"/>
  <c r="M349" i="8" s="1"/>
  <c r="N32" i="8"/>
  <c r="AM32" i="8"/>
  <c r="AF32" i="8"/>
  <c r="W93" i="8"/>
  <c r="W361" i="8" s="1"/>
  <c r="C92" i="8"/>
  <c r="AE90" i="8"/>
  <c r="R89" i="8"/>
  <c r="I88" i="8"/>
  <c r="AD85" i="8"/>
  <c r="T84" i="8"/>
  <c r="S83" i="8"/>
  <c r="L81" i="8"/>
  <c r="L349" i="8" s="1"/>
  <c r="AB34" i="8"/>
  <c r="Z26" i="8"/>
  <c r="E93" i="8"/>
  <c r="E361" i="8" s="1"/>
  <c r="AC90" i="8"/>
  <c r="Q89" i="8"/>
  <c r="H88" i="8"/>
  <c r="AM86" i="8"/>
  <c r="AC85" i="8"/>
  <c r="S84" i="8"/>
  <c r="J83" i="8"/>
  <c r="K81" i="8"/>
  <c r="K349" i="8" s="1"/>
  <c r="O36" i="8"/>
  <c r="S35" i="8"/>
  <c r="X34" i="8"/>
  <c r="AK33" i="8"/>
  <c r="F33" i="8"/>
  <c r="K32" i="8"/>
  <c r="X31" i="8"/>
  <c r="AE30" i="8"/>
  <c r="N29" i="8"/>
  <c r="R28" i="8"/>
  <c r="Z27" i="8"/>
  <c r="AL26" i="8"/>
  <c r="D26" i="8"/>
  <c r="L24" i="8"/>
  <c r="D93" i="8"/>
  <c r="D361" i="8" s="1"/>
  <c r="AE91" i="8"/>
  <c r="Q90" i="8"/>
  <c r="F89" i="8"/>
  <c r="AK86" i="8"/>
  <c r="AA85" i="8"/>
  <c r="Q84" i="8"/>
  <c r="I83" i="8"/>
  <c r="N36" i="8"/>
  <c r="Q35" i="8"/>
  <c r="W34" i="8"/>
  <c r="AE33" i="8"/>
  <c r="I32" i="8"/>
  <c r="P31" i="8"/>
  <c r="AD30" i="8"/>
  <c r="AM29" i="8"/>
  <c r="J29" i="8"/>
  <c r="Q28" i="8"/>
  <c r="Y27" i="8"/>
  <c r="AK26" i="8"/>
  <c r="K24" i="8"/>
  <c r="C93" i="8"/>
  <c r="C361" i="8" s="1"/>
  <c r="AC91" i="8"/>
  <c r="P90" i="8"/>
  <c r="E89" i="8"/>
  <c r="AJ87" i="8"/>
  <c r="Z86" i="8"/>
  <c r="P85" i="8"/>
  <c r="F84" i="8"/>
  <c r="G83" i="8"/>
  <c r="AM36" i="8"/>
  <c r="P35" i="8"/>
  <c r="U34" i="8"/>
  <c r="AD33" i="8"/>
  <c r="H32" i="8"/>
  <c r="AL29" i="8"/>
  <c r="D36" i="8"/>
  <c r="M31" i="8"/>
  <c r="L28" i="8"/>
  <c r="AM24" i="8"/>
  <c r="AC92" i="8"/>
  <c r="AH87" i="8"/>
  <c r="G35" i="8"/>
  <c r="AF29" i="8"/>
  <c r="AD24" i="8"/>
  <c r="A325" i="8"/>
  <c r="A316" i="8"/>
  <c r="A292" i="8"/>
  <c r="C18" i="8"/>
  <c r="C17" i="8"/>
  <c r="C56" i="8"/>
  <c r="C19" i="8"/>
  <c r="C58" i="8"/>
  <c r="C57" i="8"/>
  <c r="A322" i="8"/>
  <c r="A294" i="8"/>
  <c r="A318" i="8"/>
  <c r="A323" i="8"/>
  <c r="C75" i="8"/>
  <c r="C67" i="8"/>
  <c r="C73" i="8"/>
  <c r="C77" i="8"/>
  <c r="C49" i="8"/>
  <c r="C41" i="8"/>
  <c r="C9" i="8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AK9" i="8" s="1"/>
  <c r="AL9" i="8" s="1"/>
  <c r="AM9" i="8" s="1"/>
  <c r="C71" i="8"/>
  <c r="C48" i="8"/>
  <c r="C80" i="8"/>
  <c r="C38" i="8"/>
  <c r="C12" i="8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C51" i="8"/>
  <c r="C52" i="8" s="1"/>
  <c r="C39" i="8"/>
  <c r="C70" i="8"/>
  <c r="C40" i="8"/>
  <c r="C10" i="8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AK10" i="8" s="1"/>
  <c r="AL10" i="8" s="1"/>
  <c r="AM10" i="8" s="1"/>
  <c r="C47" i="8"/>
  <c r="C76" i="8"/>
  <c r="C45" i="8"/>
  <c r="C15" i="8"/>
  <c r="C5" i="8"/>
  <c r="C8" i="8"/>
  <c r="D8" i="8" s="1"/>
  <c r="C42" i="8"/>
  <c r="C6" i="8"/>
  <c r="C11" i="8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AK11" i="8" s="1"/>
  <c r="AL11" i="8" s="1"/>
  <c r="AM11" i="8" s="1"/>
  <c r="C79" i="8"/>
  <c r="C78" i="8"/>
  <c r="C43" i="8"/>
  <c r="C13" i="8"/>
  <c r="C14" i="8" s="1"/>
  <c r="C46" i="8"/>
  <c r="C69" i="8"/>
  <c r="C72" i="8"/>
  <c r="A319" i="8"/>
  <c r="A295" i="8"/>
  <c r="A317" i="8"/>
  <c r="A293" i="8"/>
  <c r="A324" i="8"/>
  <c r="C30" i="4"/>
  <c r="D33" i="4"/>
  <c r="D34" i="4"/>
  <c r="D32" i="4"/>
  <c r="D35" i="4"/>
  <c r="D31" i="4"/>
  <c r="D30" i="4"/>
  <c r="C92" i="4"/>
  <c r="C91" i="4"/>
  <c r="C90" i="4"/>
  <c r="C89" i="4"/>
  <c r="C88" i="4"/>
  <c r="C78" i="4"/>
  <c r="D78" i="4" s="1"/>
  <c r="E78" i="4" s="1"/>
  <c r="F78" i="4" s="1"/>
  <c r="G78" i="4" s="1"/>
  <c r="H78" i="4" s="1"/>
  <c r="I78" i="4" s="1"/>
  <c r="J78" i="4" s="1"/>
  <c r="K78" i="4" s="1"/>
  <c r="L78" i="4" s="1"/>
  <c r="M78" i="4" s="1"/>
  <c r="N78" i="4" s="1"/>
  <c r="O78" i="4" s="1"/>
  <c r="P78" i="4" s="1"/>
  <c r="Q78" i="4" s="1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AK78" i="4" s="1"/>
  <c r="AL78" i="4" s="1"/>
  <c r="AM78" i="4" s="1"/>
  <c r="C79" i="4"/>
  <c r="D79" i="4" s="1"/>
  <c r="E79" i="4" s="1"/>
  <c r="F79" i="4" s="1"/>
  <c r="G79" i="4" s="1"/>
  <c r="H79" i="4" s="1"/>
  <c r="I79" i="4" s="1"/>
  <c r="J79" i="4" s="1"/>
  <c r="K79" i="4" s="1"/>
  <c r="L79" i="4" s="1"/>
  <c r="M79" i="4" s="1"/>
  <c r="N79" i="4" s="1"/>
  <c r="O79" i="4" s="1"/>
  <c r="P79" i="4" s="1"/>
  <c r="Q79" i="4" s="1"/>
  <c r="R79" i="4" s="1"/>
  <c r="S79" i="4" s="1"/>
  <c r="T79" i="4" s="1"/>
  <c r="U79" i="4" s="1"/>
  <c r="V79" i="4" s="1"/>
  <c r="W79" i="4" s="1"/>
  <c r="X79" i="4" s="1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AK79" i="4" s="1"/>
  <c r="AL79" i="4" s="1"/>
  <c r="AM79" i="4" s="1"/>
  <c r="C76" i="4"/>
  <c r="D76" i="4" s="1"/>
  <c r="E76" i="4" s="1"/>
  <c r="F76" i="4" s="1"/>
  <c r="G76" i="4" s="1"/>
  <c r="H76" i="4" s="1"/>
  <c r="I76" i="4" s="1"/>
  <c r="J76" i="4" s="1"/>
  <c r="K76" i="4" s="1"/>
  <c r="L76" i="4" s="1"/>
  <c r="M76" i="4" s="1"/>
  <c r="N76" i="4" s="1"/>
  <c r="O76" i="4" s="1"/>
  <c r="P76" i="4" s="1"/>
  <c r="Q76" i="4" s="1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AK76" i="4" s="1"/>
  <c r="AL76" i="4" s="1"/>
  <c r="AM76" i="4" s="1"/>
  <c r="C77" i="4"/>
  <c r="C75" i="4"/>
  <c r="C29" i="4"/>
  <c r="C83" i="4"/>
  <c r="C87" i="4"/>
  <c r="C93" i="4"/>
  <c r="C361" i="4" s="1"/>
  <c r="C85" i="4"/>
  <c r="C86" i="4"/>
  <c r="C84" i="4"/>
  <c r="C81" i="4"/>
  <c r="C349" i="4" s="1"/>
  <c r="C80" i="4"/>
  <c r="D29" i="4"/>
  <c r="C72" i="4"/>
  <c r="D72" i="4" s="1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X72" i="4" s="1"/>
  <c r="Y72" i="4" s="1"/>
  <c r="Z72" i="4" s="1"/>
  <c r="AA72" i="4" s="1"/>
  <c r="AB72" i="4" s="1"/>
  <c r="AC72" i="4" s="1"/>
  <c r="AD72" i="4" s="1"/>
  <c r="AE72" i="4" s="1"/>
  <c r="AF72" i="4" s="1"/>
  <c r="AG72" i="4" s="1"/>
  <c r="AH72" i="4" s="1"/>
  <c r="AI72" i="4" s="1"/>
  <c r="AJ72" i="4" s="1"/>
  <c r="AK72" i="4" s="1"/>
  <c r="AL72" i="4" s="1"/>
  <c r="AM72" i="4" s="1"/>
  <c r="C73" i="4"/>
  <c r="D73" i="4" s="1"/>
  <c r="E73" i="4" s="1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Z73" i="4" s="1"/>
  <c r="AA73" i="4" s="1"/>
  <c r="AB73" i="4" s="1"/>
  <c r="AC73" i="4" s="1"/>
  <c r="AD73" i="4" s="1"/>
  <c r="AE73" i="4" s="1"/>
  <c r="AF73" i="4" s="1"/>
  <c r="AG73" i="4" s="1"/>
  <c r="AH73" i="4" s="1"/>
  <c r="AI73" i="4" s="1"/>
  <c r="AJ73" i="4" s="1"/>
  <c r="AK73" i="4" s="1"/>
  <c r="AL73" i="4" s="1"/>
  <c r="AM73" i="4" s="1"/>
  <c r="C70" i="4"/>
  <c r="D70" i="4" s="1"/>
  <c r="E70" i="4" s="1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R70" i="4" s="1"/>
  <c r="S70" i="4" s="1"/>
  <c r="T70" i="4" s="1"/>
  <c r="U70" i="4" s="1"/>
  <c r="V70" i="4" s="1"/>
  <c r="W70" i="4" s="1"/>
  <c r="X70" i="4" s="1"/>
  <c r="Y70" i="4" s="1"/>
  <c r="Z70" i="4" s="1"/>
  <c r="AA70" i="4" s="1"/>
  <c r="AB70" i="4" s="1"/>
  <c r="AC70" i="4" s="1"/>
  <c r="AD70" i="4" s="1"/>
  <c r="AE70" i="4" s="1"/>
  <c r="AF70" i="4" s="1"/>
  <c r="AG70" i="4" s="1"/>
  <c r="AH70" i="4" s="1"/>
  <c r="AI70" i="4" s="1"/>
  <c r="AJ70" i="4" s="1"/>
  <c r="AK70" i="4" s="1"/>
  <c r="AL70" i="4" s="1"/>
  <c r="AM70" i="4" s="1"/>
  <c r="C71" i="4"/>
  <c r="D71" i="4" s="1"/>
  <c r="E71" i="4" s="1"/>
  <c r="F71" i="4" s="1"/>
  <c r="G71" i="4" s="1"/>
  <c r="H71" i="4" s="1"/>
  <c r="I71" i="4" s="1"/>
  <c r="J71" i="4" s="1"/>
  <c r="K71" i="4" s="1"/>
  <c r="L71" i="4" s="1"/>
  <c r="M71" i="4" s="1"/>
  <c r="N71" i="4" s="1"/>
  <c r="O71" i="4" s="1"/>
  <c r="P71" i="4" s="1"/>
  <c r="Q71" i="4" s="1"/>
  <c r="R71" i="4" s="1"/>
  <c r="S71" i="4" s="1"/>
  <c r="T71" i="4" s="1"/>
  <c r="U71" i="4" s="1"/>
  <c r="V71" i="4" s="1"/>
  <c r="W71" i="4" s="1"/>
  <c r="X71" i="4" s="1"/>
  <c r="Y71" i="4" s="1"/>
  <c r="Z71" i="4" s="1"/>
  <c r="AA71" i="4" s="1"/>
  <c r="AB71" i="4" s="1"/>
  <c r="AC71" i="4" s="1"/>
  <c r="AD71" i="4" s="1"/>
  <c r="AE71" i="4" s="1"/>
  <c r="AF71" i="4" s="1"/>
  <c r="AG71" i="4" s="1"/>
  <c r="AH71" i="4" s="1"/>
  <c r="AI71" i="4" s="1"/>
  <c r="AJ71" i="4" s="1"/>
  <c r="AK71" i="4" s="1"/>
  <c r="AL71" i="4" s="1"/>
  <c r="AM71" i="4" s="1"/>
  <c r="C67" i="4"/>
  <c r="C335" i="4" s="1"/>
  <c r="C69" i="4"/>
  <c r="D69" i="4" s="1"/>
  <c r="E69" i="4" s="1"/>
  <c r="F69" i="4" s="1"/>
  <c r="G69" i="4" s="1"/>
  <c r="H69" i="4" s="1"/>
  <c r="I69" i="4" s="1"/>
  <c r="J69" i="4" s="1"/>
  <c r="K69" i="4" s="1"/>
  <c r="L69" i="4" s="1"/>
  <c r="M69" i="4" s="1"/>
  <c r="N69" i="4" s="1"/>
  <c r="O69" i="4" s="1"/>
  <c r="P69" i="4" s="1"/>
  <c r="Q69" i="4" s="1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AK69" i="4" s="1"/>
  <c r="AL69" i="4" s="1"/>
  <c r="AM69" i="4" s="1"/>
  <c r="C49" i="4"/>
  <c r="C51" i="4"/>
  <c r="C47" i="4"/>
  <c r="C48" i="4"/>
  <c r="C45" i="4"/>
  <c r="C46" i="4"/>
  <c r="C42" i="4"/>
  <c r="C43" i="4"/>
  <c r="C40" i="4"/>
  <c r="C41" i="4"/>
  <c r="C38" i="4"/>
  <c r="C39" i="4"/>
  <c r="C13" i="4"/>
  <c r="C14" i="4" s="1"/>
  <c r="C15" i="4"/>
  <c r="C11" i="4"/>
  <c r="D11" i="4" s="1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C12" i="4"/>
  <c r="D12" i="4" s="1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C8" i="4"/>
  <c r="D8" i="4" s="1"/>
  <c r="E8" i="4" s="1"/>
  <c r="F8" i="4" s="1"/>
  <c r="G8" i="4" s="1"/>
  <c r="C10" i="4"/>
  <c r="D10" i="4" s="1"/>
  <c r="E10" i="4" s="1"/>
  <c r="F10" i="4" s="1"/>
  <c r="G10" i="4" s="1"/>
  <c r="H10" i="4" s="1"/>
  <c r="I10" i="4" s="1"/>
  <c r="J10" i="4" s="1"/>
  <c r="K10" i="4" s="1"/>
  <c r="L10" i="4" s="1"/>
  <c r="M10" i="4" s="1"/>
  <c r="N10" i="4" s="1"/>
  <c r="O10" i="4" s="1"/>
  <c r="P10" i="4" s="1"/>
  <c r="Q10" i="4" s="1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AK10" i="4" s="1"/>
  <c r="AL10" i="4" s="1"/>
  <c r="AM10" i="4" s="1"/>
  <c r="C9" i="4"/>
  <c r="D9" i="4" s="1"/>
  <c r="E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C6" i="4"/>
  <c r="G143" i="3"/>
  <c r="G148" i="3"/>
  <c r="A337" i="4"/>
  <c r="A298" i="4"/>
  <c r="A322" i="4" s="1"/>
  <c r="A341" i="4"/>
  <c r="A302" i="4"/>
  <c r="A326" i="4" s="1"/>
  <c r="A300" i="4"/>
  <c r="A324" i="4" s="1"/>
  <c r="A339" i="4"/>
  <c r="A338" i="4"/>
  <c r="A340" i="4"/>
  <c r="A301" i="4"/>
  <c r="A325" i="4" s="1"/>
  <c r="C59" i="8" l="1"/>
  <c r="C20" i="8" s="1"/>
  <c r="C102" i="8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AH76" i="8" s="1"/>
  <c r="AI76" i="8" s="1"/>
  <c r="AJ76" i="8" s="1"/>
  <c r="AK76" i="8" s="1"/>
  <c r="AL76" i="8" s="1"/>
  <c r="AM76" i="8" s="1"/>
  <c r="C130" i="8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AH69" i="8" s="1"/>
  <c r="AI69" i="8" s="1"/>
  <c r="AJ69" i="8" s="1"/>
  <c r="AK69" i="8" s="1"/>
  <c r="AL69" i="8" s="1"/>
  <c r="AM69" i="8" s="1"/>
  <c r="C266" i="8"/>
  <c r="C21" i="8"/>
  <c r="C61" i="8" s="1"/>
  <c r="C63" i="8" s="1"/>
  <c r="AG14" i="8"/>
  <c r="W14" i="8"/>
  <c r="X14" i="8"/>
  <c r="V14" i="8"/>
  <c r="AJ14" i="8"/>
  <c r="U14" i="8"/>
  <c r="AL14" i="8"/>
  <c r="AI14" i="8"/>
  <c r="Z14" i="8"/>
  <c r="AA14" i="8"/>
  <c r="AD14" i="8"/>
  <c r="Y14" i="8"/>
  <c r="T14" i="8"/>
  <c r="AM14" i="8"/>
  <c r="AK14" i="8"/>
  <c r="AF14" i="8"/>
  <c r="AH14" i="8"/>
  <c r="AB14" i="8"/>
  <c r="AC14" i="8"/>
  <c r="AE14" i="8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AH72" i="8" s="1"/>
  <c r="AI72" i="8" s="1"/>
  <c r="AJ72" i="8" s="1"/>
  <c r="AK72" i="8" s="1"/>
  <c r="AL72" i="8" s="1"/>
  <c r="AM72" i="8" s="1"/>
  <c r="C164" i="8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AH71" i="8" s="1"/>
  <c r="AI71" i="8" s="1"/>
  <c r="AJ71" i="8" s="1"/>
  <c r="AK71" i="8" s="1"/>
  <c r="AL71" i="8" s="1"/>
  <c r="AM71" i="8" s="1"/>
  <c r="C249" i="8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AH73" i="8" s="1"/>
  <c r="AI73" i="8" s="1"/>
  <c r="AJ73" i="8" s="1"/>
  <c r="AK73" i="8" s="1"/>
  <c r="AL73" i="8" s="1"/>
  <c r="AM73" i="8" s="1"/>
  <c r="C198" i="8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AH75" i="8" s="1"/>
  <c r="AI75" i="8" s="1"/>
  <c r="AJ75" i="8" s="1"/>
  <c r="AK75" i="8" s="1"/>
  <c r="AL75" i="8" s="1"/>
  <c r="AM75" i="8" s="1"/>
  <c r="C147" i="8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AH77" i="8" s="1"/>
  <c r="AI77" i="8" s="1"/>
  <c r="AJ77" i="8" s="1"/>
  <c r="AK77" i="8" s="1"/>
  <c r="AL77" i="8" s="1"/>
  <c r="AM77" i="8" s="1"/>
  <c r="C113" i="8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AH70" i="8" s="1"/>
  <c r="AI70" i="8" s="1"/>
  <c r="AJ70" i="8" s="1"/>
  <c r="AK70" i="8" s="1"/>
  <c r="AL70" i="8" s="1"/>
  <c r="AM70" i="8" s="1"/>
  <c r="C215" i="8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AK78" i="8" s="1"/>
  <c r="AL78" i="8" s="1"/>
  <c r="AM78" i="8" s="1"/>
  <c r="C232" i="8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AH79" i="8" s="1"/>
  <c r="AI79" i="8" s="1"/>
  <c r="AJ79" i="8" s="1"/>
  <c r="AK79" i="8" s="1"/>
  <c r="AL79" i="8" s="1"/>
  <c r="AM79" i="8" s="1"/>
  <c r="C181" i="8"/>
  <c r="C335" i="8"/>
  <c r="D67" i="8"/>
  <c r="E8" i="8"/>
  <c r="D77" i="4"/>
  <c r="E77" i="4" s="1"/>
  <c r="F77" i="4" s="1"/>
  <c r="G77" i="4" s="1"/>
  <c r="H77" i="4" s="1"/>
  <c r="I77" i="4" s="1"/>
  <c r="J77" i="4" s="1"/>
  <c r="K77" i="4" s="1"/>
  <c r="L77" i="4" s="1"/>
  <c r="M77" i="4" s="1"/>
  <c r="N77" i="4" s="1"/>
  <c r="O77" i="4" s="1"/>
  <c r="P77" i="4" s="1"/>
  <c r="Q77" i="4" s="1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AK77" i="4" s="1"/>
  <c r="AL77" i="4" s="1"/>
  <c r="AM77" i="4" s="1"/>
  <c r="D75" i="4"/>
  <c r="E75" i="4" s="1"/>
  <c r="F75" i="4" s="1"/>
  <c r="G75" i="4" s="1"/>
  <c r="H75" i="4" s="1"/>
  <c r="I75" i="4" s="1"/>
  <c r="J75" i="4" s="1"/>
  <c r="K75" i="4" s="1"/>
  <c r="L75" i="4" s="1"/>
  <c r="M75" i="4" s="1"/>
  <c r="N75" i="4" s="1"/>
  <c r="O75" i="4" s="1"/>
  <c r="P75" i="4" s="1"/>
  <c r="Q75" i="4" s="1"/>
  <c r="R75" i="4" s="1"/>
  <c r="S75" i="4" s="1"/>
  <c r="T75" i="4" s="1"/>
  <c r="U75" i="4" s="1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AK75" i="4" s="1"/>
  <c r="AL75" i="4" s="1"/>
  <c r="AM75" i="4" s="1"/>
  <c r="C102" i="4"/>
  <c r="D67" i="4"/>
  <c r="E67" i="4" s="1"/>
  <c r="H8" i="4"/>
  <c r="V3" i="6"/>
  <c r="B3" i="4"/>
  <c r="C5" i="4" s="1"/>
  <c r="AA3" i="6"/>
  <c r="AA2" i="6"/>
  <c r="A136" i="3"/>
  <c r="A131" i="3"/>
  <c r="A126" i="3"/>
  <c r="F8" i="8" l="1"/>
  <c r="C152" i="8"/>
  <c r="C153" i="8"/>
  <c r="C169" i="8"/>
  <c r="C170" i="8"/>
  <c r="C271" i="8"/>
  <c r="C272" i="8"/>
  <c r="C237" i="8"/>
  <c r="C238" i="8"/>
  <c r="C221" i="8"/>
  <c r="C220" i="8"/>
  <c r="D335" i="8"/>
  <c r="E67" i="8"/>
  <c r="C136" i="8"/>
  <c r="C135" i="8"/>
  <c r="C204" i="8"/>
  <c r="C203" i="8"/>
  <c r="C186" i="8"/>
  <c r="C187" i="8"/>
  <c r="C254" i="8"/>
  <c r="C255" i="8"/>
  <c r="C118" i="8"/>
  <c r="C119" i="8"/>
  <c r="D62" i="8"/>
  <c r="C66" i="8"/>
  <c r="D335" i="4"/>
  <c r="E335" i="4"/>
  <c r="F67" i="4"/>
  <c r="I8" i="4"/>
  <c r="F282" i="3"/>
  <c r="F281" i="3"/>
  <c r="F280" i="3"/>
  <c r="A115" i="3"/>
  <c r="A114" i="3"/>
  <c r="A113" i="3"/>
  <c r="G132" i="3"/>
  <c r="G137" i="3"/>
  <c r="G127" i="3"/>
  <c r="D1" i="8"/>
  <c r="G15" i="3"/>
  <c r="C367" i="8" l="1"/>
  <c r="C376" i="8" s="1"/>
  <c r="C94" i="8"/>
  <c r="C368" i="8" s="1"/>
  <c r="C377" i="8" s="1"/>
  <c r="C96" i="8"/>
  <c r="E335" i="8"/>
  <c r="F67" i="8"/>
  <c r="G8" i="8"/>
  <c r="C281" i="3"/>
  <c r="C286" i="3"/>
  <c r="C285" i="3"/>
  <c r="C289" i="3"/>
  <c r="C287" i="3"/>
  <c r="C280" i="3"/>
  <c r="C288" i="3"/>
  <c r="C283" i="3"/>
  <c r="C284" i="3"/>
  <c r="C282" i="3"/>
  <c r="C26" i="4"/>
  <c r="D26" i="4"/>
  <c r="C24" i="4"/>
  <c r="D24" i="4"/>
  <c r="C28" i="4"/>
  <c r="D28" i="4"/>
  <c r="C27" i="4"/>
  <c r="D27" i="4"/>
  <c r="C52" i="4"/>
  <c r="C54" i="4"/>
  <c r="C53" i="4"/>
  <c r="C58" i="4"/>
  <c r="C57" i="4"/>
  <c r="C17" i="4"/>
  <c r="C19" i="4"/>
  <c r="C56" i="4"/>
  <c r="C18" i="4"/>
  <c r="F335" i="4"/>
  <c r="G67" i="4"/>
  <c r="J8" i="4"/>
  <c r="G138" i="3"/>
  <c r="G133" i="3"/>
  <c r="G128" i="3"/>
  <c r="E1" i="8"/>
  <c r="D3" i="8"/>
  <c r="D2" i="8"/>
  <c r="D17" i="8" l="1"/>
  <c r="D57" i="8"/>
  <c r="D19" i="8"/>
  <c r="D56" i="8"/>
  <c r="D58" i="8"/>
  <c r="D18" i="8"/>
  <c r="D80" i="8"/>
  <c r="E80" i="8" s="1"/>
  <c r="H8" i="8"/>
  <c r="C97" i="8"/>
  <c r="C103" i="8" s="1"/>
  <c r="F335" i="8"/>
  <c r="G67" i="8"/>
  <c r="A231" i="4"/>
  <c r="AM236" i="4" s="1"/>
  <c r="A163" i="4"/>
  <c r="AM168" i="4" s="1"/>
  <c r="A214" i="4"/>
  <c r="AM219" i="4" s="1"/>
  <c r="A197" i="4"/>
  <c r="AM202" i="4" s="1"/>
  <c r="A112" i="4"/>
  <c r="AM117" i="4" s="1"/>
  <c r="A180" i="4"/>
  <c r="AM185" i="4" s="1"/>
  <c r="A146" i="4"/>
  <c r="AM151" i="4" s="1"/>
  <c r="A265" i="4"/>
  <c r="AM270" i="4" s="1"/>
  <c r="A129" i="4"/>
  <c r="AM134" i="4" s="1"/>
  <c r="A248" i="4"/>
  <c r="AM253" i="4" s="1"/>
  <c r="G335" i="4"/>
  <c r="H67" i="4"/>
  <c r="K8" i="4"/>
  <c r="F1" i="8"/>
  <c r="E3" i="8"/>
  <c r="E2" i="8"/>
  <c r="G177" i="3"/>
  <c r="D1" i="4"/>
  <c r="D59" i="8" l="1"/>
  <c r="D20" i="8" s="1"/>
  <c r="D21" i="8" s="1"/>
  <c r="D61" i="8" s="1"/>
  <c r="D63" i="8" s="1"/>
  <c r="G335" i="8"/>
  <c r="H67" i="8"/>
  <c r="C106" i="8"/>
  <c r="C107" i="8" s="1"/>
  <c r="C109" i="8" s="1"/>
  <c r="C105" i="8"/>
  <c r="I8" i="8"/>
  <c r="E17" i="8"/>
  <c r="E58" i="8"/>
  <c r="E19" i="8"/>
  <c r="E18" i="8"/>
  <c r="E57" i="8"/>
  <c r="E56" i="8"/>
  <c r="E34" i="4"/>
  <c r="E31" i="4"/>
  <c r="E33" i="4"/>
  <c r="E32" i="4"/>
  <c r="E35" i="4"/>
  <c r="E30" i="4"/>
  <c r="D91" i="4"/>
  <c r="D84" i="4"/>
  <c r="D89" i="4"/>
  <c r="D85" i="4"/>
  <c r="D83" i="4"/>
  <c r="D92" i="4"/>
  <c r="D88" i="4"/>
  <c r="D90" i="4"/>
  <c r="D93" i="4"/>
  <c r="D361" i="4" s="1"/>
  <c r="D87" i="4"/>
  <c r="D86" i="4"/>
  <c r="B188" i="4"/>
  <c r="C181" i="4"/>
  <c r="B256" i="4"/>
  <c r="C249" i="4"/>
  <c r="B205" i="4"/>
  <c r="C198" i="4"/>
  <c r="B222" i="4"/>
  <c r="C215" i="4"/>
  <c r="B239" i="4"/>
  <c r="C232" i="4"/>
  <c r="D81" i="4"/>
  <c r="D349" i="4" s="1"/>
  <c r="E29" i="4"/>
  <c r="E26" i="4"/>
  <c r="E28" i="4"/>
  <c r="E27" i="4"/>
  <c r="E24" i="4"/>
  <c r="C36" i="4"/>
  <c r="C59" i="4" s="1"/>
  <c r="C20" i="4" s="1"/>
  <c r="C21" i="4" s="1"/>
  <c r="C61" i="4" s="1"/>
  <c r="C63" i="4" s="1"/>
  <c r="D62" i="4" s="1"/>
  <c r="D36" i="4"/>
  <c r="E36" i="4"/>
  <c r="B137" i="4"/>
  <c r="C130" i="4"/>
  <c r="B154" i="4"/>
  <c r="C147" i="4"/>
  <c r="B273" i="4"/>
  <c r="C266" i="4"/>
  <c r="B171" i="4"/>
  <c r="C164" i="4"/>
  <c r="B120" i="4"/>
  <c r="C113" i="4"/>
  <c r="E43" i="4"/>
  <c r="E51" i="4"/>
  <c r="E49" i="4"/>
  <c r="D42" i="4"/>
  <c r="D38" i="4"/>
  <c r="E48" i="4"/>
  <c r="D39" i="4"/>
  <c r="D41" i="4"/>
  <c r="E47" i="4"/>
  <c r="D40" i="4"/>
  <c r="E46" i="4"/>
  <c r="E45" i="4"/>
  <c r="L8" i="4"/>
  <c r="H335" i="4"/>
  <c r="I67" i="4"/>
  <c r="G1" i="8"/>
  <c r="C374" i="4"/>
  <c r="F3" i="8"/>
  <c r="F2" i="8"/>
  <c r="G178" i="3"/>
  <c r="G16" i="3"/>
  <c r="D2" i="4"/>
  <c r="E1" i="4"/>
  <c r="D3" i="4"/>
  <c r="C110" i="8" l="1"/>
  <c r="C348" i="8"/>
  <c r="D102" i="8"/>
  <c r="F19" i="8"/>
  <c r="F18" i="8"/>
  <c r="F58" i="8"/>
  <c r="F17" i="8"/>
  <c r="F57" i="8"/>
  <c r="F56" i="8"/>
  <c r="D66" i="8"/>
  <c r="E62" i="8"/>
  <c r="E59" i="8"/>
  <c r="H335" i="8"/>
  <c r="I67" i="8"/>
  <c r="J8" i="8"/>
  <c r="F80" i="8"/>
  <c r="D80" i="4"/>
  <c r="F32" i="4"/>
  <c r="F35" i="4"/>
  <c r="F34" i="4"/>
  <c r="F33" i="4"/>
  <c r="F30" i="4"/>
  <c r="F31" i="4"/>
  <c r="E91" i="4"/>
  <c r="E93" i="4"/>
  <c r="E361" i="4" s="1"/>
  <c r="E86" i="4"/>
  <c r="E87" i="4"/>
  <c r="E89" i="4"/>
  <c r="E84" i="4"/>
  <c r="E88" i="4"/>
  <c r="E83" i="4"/>
  <c r="E85" i="4"/>
  <c r="E92" i="4"/>
  <c r="E90" i="4"/>
  <c r="A292" i="4"/>
  <c r="A316" i="4"/>
  <c r="C238" i="4"/>
  <c r="C237" i="4"/>
  <c r="A293" i="4"/>
  <c r="A317" i="4"/>
  <c r="C220" i="4"/>
  <c r="C221" i="4"/>
  <c r="A291" i="4"/>
  <c r="A315" i="4"/>
  <c r="C254" i="4"/>
  <c r="C255" i="4"/>
  <c r="A294" i="4"/>
  <c r="A318" i="4"/>
  <c r="C186" i="4"/>
  <c r="C187" i="4"/>
  <c r="C204" i="4"/>
  <c r="C203" i="4"/>
  <c r="A290" i="4"/>
  <c r="A314" i="4"/>
  <c r="A295" i="4"/>
  <c r="A319" i="4"/>
  <c r="E81" i="4"/>
  <c r="E349" i="4" s="1"/>
  <c r="F29" i="4"/>
  <c r="F27" i="4"/>
  <c r="F28" i="4"/>
  <c r="F26" i="4"/>
  <c r="F24" i="4"/>
  <c r="F36" i="4"/>
  <c r="C66" i="4"/>
  <c r="C94" i="4" s="1"/>
  <c r="C135" i="4"/>
  <c r="C136" i="4"/>
  <c r="A311" i="4"/>
  <c r="A287" i="4"/>
  <c r="C118" i="4"/>
  <c r="C119" i="4"/>
  <c r="A286" i="4"/>
  <c r="A310" i="4"/>
  <c r="C170" i="4"/>
  <c r="C169" i="4"/>
  <c r="A289" i="4"/>
  <c r="A313" i="4"/>
  <c r="C271" i="4"/>
  <c r="C272" i="4"/>
  <c r="C153" i="4"/>
  <c r="C152" i="4"/>
  <c r="A312" i="4"/>
  <c r="A288" i="4"/>
  <c r="D54" i="4"/>
  <c r="D15" i="4"/>
  <c r="D13" i="4"/>
  <c r="D14" i="4" s="1"/>
  <c r="D5" i="4"/>
  <c r="D6" i="4"/>
  <c r="D53" i="4"/>
  <c r="D52" i="4"/>
  <c r="F51" i="4"/>
  <c r="F49" i="4"/>
  <c r="E41" i="4"/>
  <c r="E42" i="4"/>
  <c r="E40" i="4"/>
  <c r="F48" i="4"/>
  <c r="F43" i="4"/>
  <c r="F47" i="4"/>
  <c r="F46" i="4"/>
  <c r="F45" i="4"/>
  <c r="E38" i="4"/>
  <c r="E39" i="4"/>
  <c r="I335" i="4"/>
  <c r="J67" i="4"/>
  <c r="M8" i="4"/>
  <c r="D18" i="4"/>
  <c r="D57" i="4"/>
  <c r="D19" i="4"/>
  <c r="D58" i="4"/>
  <c r="D56" i="4"/>
  <c r="D17" i="4"/>
  <c r="H1" i="8"/>
  <c r="G2" i="8"/>
  <c r="G3" i="8"/>
  <c r="D374" i="4"/>
  <c r="E2" i="4"/>
  <c r="E3" i="4"/>
  <c r="F1" i="4"/>
  <c r="F59" i="8" l="1"/>
  <c r="K8" i="8"/>
  <c r="D367" i="8"/>
  <c r="D376" i="8" s="1"/>
  <c r="D96" i="8"/>
  <c r="D94" i="8"/>
  <c r="D368" i="8" s="1"/>
  <c r="D377" i="8" s="1"/>
  <c r="G80" i="8"/>
  <c r="G19" i="8"/>
  <c r="G18" i="8"/>
  <c r="G17" i="8"/>
  <c r="G57" i="8"/>
  <c r="G56" i="8"/>
  <c r="G58" i="8"/>
  <c r="I335" i="8"/>
  <c r="J67" i="8"/>
  <c r="E20" i="8"/>
  <c r="E21" i="8" s="1"/>
  <c r="E61" i="8" s="1"/>
  <c r="E63" i="8" s="1"/>
  <c r="E80" i="4"/>
  <c r="G32" i="4"/>
  <c r="G31" i="4"/>
  <c r="G30" i="4"/>
  <c r="G34" i="4"/>
  <c r="G33" i="4"/>
  <c r="G35" i="4"/>
  <c r="F92" i="4"/>
  <c r="F83" i="4"/>
  <c r="F84" i="4"/>
  <c r="F86" i="4"/>
  <c r="F85" i="4"/>
  <c r="F90" i="4"/>
  <c r="F93" i="4"/>
  <c r="F361" i="4" s="1"/>
  <c r="F87" i="4"/>
  <c r="F91" i="4"/>
  <c r="F89" i="4"/>
  <c r="F88" i="4"/>
  <c r="G29" i="4"/>
  <c r="F81" i="4"/>
  <c r="F349" i="4" s="1"/>
  <c r="G27" i="4"/>
  <c r="G26" i="4"/>
  <c r="G24" i="4"/>
  <c r="G28" i="4"/>
  <c r="G36" i="4"/>
  <c r="C96" i="4"/>
  <c r="C97" i="4" s="1"/>
  <c r="C103" i="4" s="1"/>
  <c r="H3" i="8"/>
  <c r="G49" i="4"/>
  <c r="F42" i="4"/>
  <c r="G48" i="4"/>
  <c r="F40" i="4"/>
  <c r="G46" i="4"/>
  <c r="G45" i="4"/>
  <c r="F41" i="4"/>
  <c r="G51" i="4"/>
  <c r="G43" i="4"/>
  <c r="G47" i="4"/>
  <c r="F39" i="4"/>
  <c r="F38" i="4"/>
  <c r="E54" i="4"/>
  <c r="E53" i="4"/>
  <c r="E13" i="4"/>
  <c r="E14" i="4" s="1"/>
  <c r="E15" i="4"/>
  <c r="E6" i="4"/>
  <c r="E5" i="4"/>
  <c r="E52" i="4"/>
  <c r="D59" i="4"/>
  <c r="D20" i="4" s="1"/>
  <c r="D21" i="4" s="1"/>
  <c r="D61" i="4" s="1"/>
  <c r="D63" i="4" s="1"/>
  <c r="E57" i="4"/>
  <c r="E56" i="4"/>
  <c r="E19" i="4"/>
  <c r="E18" i="4"/>
  <c r="E58" i="4"/>
  <c r="E17" i="4"/>
  <c r="N8" i="4"/>
  <c r="J335" i="4"/>
  <c r="K67" i="4"/>
  <c r="H2" i="8"/>
  <c r="I1" i="8"/>
  <c r="E374" i="4"/>
  <c r="F2" i="4"/>
  <c r="G1" i="4"/>
  <c r="F3" i="4"/>
  <c r="H80" i="8" l="1"/>
  <c r="F62" i="8"/>
  <c r="F20" i="8" s="1"/>
  <c r="F21" i="8" s="1"/>
  <c r="F61" i="8" s="1"/>
  <c r="F63" i="8" s="1"/>
  <c r="E66" i="8"/>
  <c r="J335" i="8"/>
  <c r="K67" i="8"/>
  <c r="G59" i="8"/>
  <c r="L8" i="8"/>
  <c r="D97" i="8"/>
  <c r="D103" i="8" s="1"/>
  <c r="H56" i="8"/>
  <c r="H18" i="8"/>
  <c r="H17" i="8"/>
  <c r="H57" i="8"/>
  <c r="H58" i="8"/>
  <c r="H19" i="8"/>
  <c r="F80" i="4"/>
  <c r="H35" i="4"/>
  <c r="H31" i="4"/>
  <c r="H33" i="4"/>
  <c r="H30" i="4"/>
  <c r="H34" i="4"/>
  <c r="H32" i="4"/>
  <c r="G88" i="4"/>
  <c r="G85" i="4"/>
  <c r="G91" i="4"/>
  <c r="G84" i="4"/>
  <c r="G87" i="4"/>
  <c r="G89" i="4"/>
  <c r="G90" i="4"/>
  <c r="G93" i="4"/>
  <c r="G361" i="4" s="1"/>
  <c r="G92" i="4"/>
  <c r="G86" i="4"/>
  <c r="G83" i="4"/>
  <c r="G81" i="4"/>
  <c r="G349" i="4" s="1"/>
  <c r="H29" i="4"/>
  <c r="H24" i="4"/>
  <c r="H26" i="4"/>
  <c r="H27" i="4"/>
  <c r="H28" i="4"/>
  <c r="H36" i="4"/>
  <c r="F53" i="4"/>
  <c r="F13" i="4"/>
  <c r="F14" i="4" s="1"/>
  <c r="F54" i="4"/>
  <c r="F15" i="4"/>
  <c r="F6" i="4"/>
  <c r="F5" i="4"/>
  <c r="F52" i="4"/>
  <c r="G41" i="4"/>
  <c r="H48" i="4"/>
  <c r="G42" i="4"/>
  <c r="H46" i="4"/>
  <c r="G40" i="4"/>
  <c r="H51" i="4"/>
  <c r="H43" i="4"/>
  <c r="G38" i="4"/>
  <c r="H45" i="4"/>
  <c r="H49" i="4"/>
  <c r="G39" i="4"/>
  <c r="H47" i="4"/>
  <c r="I3" i="8"/>
  <c r="C106" i="4"/>
  <c r="C107" i="4" s="1"/>
  <c r="C109" i="4" s="1"/>
  <c r="C110" i="4" s="1"/>
  <c r="C105" i="4"/>
  <c r="F17" i="4"/>
  <c r="F56" i="4"/>
  <c r="F57" i="4"/>
  <c r="F18" i="4"/>
  <c r="F19" i="4"/>
  <c r="F58" i="4"/>
  <c r="E59" i="4"/>
  <c r="O8" i="4"/>
  <c r="K335" i="4"/>
  <c r="L67" i="4"/>
  <c r="E62" i="4"/>
  <c r="D66" i="4"/>
  <c r="I2" i="8"/>
  <c r="I80" i="8" s="1"/>
  <c r="J1" i="8"/>
  <c r="H1" i="4"/>
  <c r="F374" i="4"/>
  <c r="G2" i="4"/>
  <c r="G3" i="4"/>
  <c r="M8" i="8" l="1"/>
  <c r="K335" i="8"/>
  <c r="L67" i="8"/>
  <c r="E367" i="8"/>
  <c r="E376" i="8" s="1"/>
  <c r="E96" i="8"/>
  <c r="E94" i="8"/>
  <c r="E368" i="8" s="1"/>
  <c r="E377" i="8" s="1"/>
  <c r="G62" i="8"/>
  <c r="G20" i="8" s="1"/>
  <c r="G21" i="8" s="1"/>
  <c r="G61" i="8" s="1"/>
  <c r="G63" i="8" s="1"/>
  <c r="F66" i="8"/>
  <c r="D106" i="8"/>
  <c r="D107" i="8" s="1"/>
  <c r="D109" i="8" s="1"/>
  <c r="D104" i="8"/>
  <c r="D105" i="8" s="1"/>
  <c r="I58" i="8"/>
  <c r="I56" i="8"/>
  <c r="I57" i="8"/>
  <c r="I18" i="8"/>
  <c r="I17" i="8"/>
  <c r="I19" i="8"/>
  <c r="H59" i="8"/>
  <c r="G80" i="4"/>
  <c r="I34" i="4"/>
  <c r="I33" i="4"/>
  <c r="I32" i="4"/>
  <c r="I35" i="4"/>
  <c r="I31" i="4"/>
  <c r="I30" i="4"/>
  <c r="H92" i="4"/>
  <c r="H90" i="4"/>
  <c r="H87" i="4"/>
  <c r="H93" i="4"/>
  <c r="H361" i="4" s="1"/>
  <c r="H89" i="4"/>
  <c r="H86" i="4"/>
  <c r="H84" i="4"/>
  <c r="H88" i="4"/>
  <c r="H85" i="4"/>
  <c r="H83" i="4"/>
  <c r="H91" i="4"/>
  <c r="I29" i="4"/>
  <c r="H81" i="4"/>
  <c r="H349" i="4" s="1"/>
  <c r="I28" i="4"/>
  <c r="I24" i="4"/>
  <c r="I26" i="4"/>
  <c r="I27" i="4"/>
  <c r="I36" i="4"/>
  <c r="H3" i="4"/>
  <c r="H374" i="4" s="1"/>
  <c r="G6" i="4"/>
  <c r="G13" i="4"/>
  <c r="G14" i="4" s="1"/>
  <c r="G5" i="4"/>
  <c r="G53" i="4"/>
  <c r="G54" i="4"/>
  <c r="G15" i="4"/>
  <c r="G52" i="4"/>
  <c r="J3" i="8"/>
  <c r="I48" i="4"/>
  <c r="H40" i="4"/>
  <c r="I47" i="4"/>
  <c r="H39" i="4"/>
  <c r="I46" i="4"/>
  <c r="I51" i="4"/>
  <c r="I43" i="4"/>
  <c r="H42" i="4"/>
  <c r="H38" i="4"/>
  <c r="I45" i="4"/>
  <c r="I49" i="4"/>
  <c r="H41" i="4"/>
  <c r="F59" i="4"/>
  <c r="L335" i="4"/>
  <c r="M67" i="4"/>
  <c r="C348" i="4"/>
  <c r="D102" i="4"/>
  <c r="D96" i="4"/>
  <c r="D94" i="4"/>
  <c r="E20" i="4"/>
  <c r="E21" i="4" s="1"/>
  <c r="E61" i="4" s="1"/>
  <c r="E63" i="4" s="1"/>
  <c r="P8" i="4"/>
  <c r="H2" i="4"/>
  <c r="G56" i="4"/>
  <c r="G19" i="4"/>
  <c r="G57" i="4"/>
  <c r="G18" i="4"/>
  <c r="G17" i="4"/>
  <c r="G58" i="4"/>
  <c r="J2" i="8"/>
  <c r="K1" i="8"/>
  <c r="I1" i="4"/>
  <c r="G374" i="4"/>
  <c r="D348" i="8" l="1"/>
  <c r="E102" i="8"/>
  <c r="F367" i="8"/>
  <c r="F376" i="8" s="1"/>
  <c r="F94" i="8"/>
  <c r="F368" i="8" s="1"/>
  <c r="F377" i="8" s="1"/>
  <c r="F96" i="8"/>
  <c r="G66" i="8"/>
  <c r="H62" i="8"/>
  <c r="H20" i="8" s="1"/>
  <c r="H21" i="8" s="1"/>
  <c r="H61" i="8" s="1"/>
  <c r="H63" i="8" s="1"/>
  <c r="L335" i="8"/>
  <c r="M67" i="8"/>
  <c r="D110" i="8"/>
  <c r="C114" i="8" s="1"/>
  <c r="E97" i="8"/>
  <c r="I59" i="8"/>
  <c r="N8" i="8"/>
  <c r="J56" i="8"/>
  <c r="J57" i="8"/>
  <c r="J17" i="8"/>
  <c r="J58" i="8"/>
  <c r="J18" i="8"/>
  <c r="J19" i="8"/>
  <c r="J80" i="8"/>
  <c r="H80" i="4"/>
  <c r="J35" i="4"/>
  <c r="J34" i="4"/>
  <c r="J33" i="4"/>
  <c r="J32" i="4"/>
  <c r="J30" i="4"/>
  <c r="J31" i="4"/>
  <c r="I3" i="4"/>
  <c r="I13" i="4" s="1"/>
  <c r="I14" i="4" s="1"/>
  <c r="I88" i="4"/>
  <c r="I84" i="4"/>
  <c r="I93" i="4"/>
  <c r="I361" i="4" s="1"/>
  <c r="I83" i="4"/>
  <c r="I91" i="4"/>
  <c r="I85" i="4"/>
  <c r="I92" i="4"/>
  <c r="I86" i="4"/>
  <c r="I89" i="4"/>
  <c r="I90" i="4"/>
  <c r="I87" i="4"/>
  <c r="J29" i="4"/>
  <c r="I81" i="4"/>
  <c r="I349" i="4" s="1"/>
  <c r="J26" i="4"/>
  <c r="J27" i="4"/>
  <c r="J28" i="4"/>
  <c r="J24" i="4"/>
  <c r="J36" i="4"/>
  <c r="G59" i="4"/>
  <c r="K3" i="8"/>
  <c r="H52" i="4"/>
  <c r="H13" i="4"/>
  <c r="H14" i="4" s="1"/>
  <c r="H54" i="4"/>
  <c r="H5" i="4"/>
  <c r="H15" i="4"/>
  <c r="H53" i="4"/>
  <c r="H6" i="4"/>
  <c r="J47" i="4"/>
  <c r="J51" i="4"/>
  <c r="I40" i="4"/>
  <c r="J43" i="4"/>
  <c r="J49" i="4"/>
  <c r="I38" i="4"/>
  <c r="I39" i="4"/>
  <c r="J48" i="4"/>
  <c r="I42" i="4"/>
  <c r="J45" i="4"/>
  <c r="J46" i="4"/>
  <c r="I41" i="4"/>
  <c r="I2" i="4"/>
  <c r="H58" i="4"/>
  <c r="H57" i="4"/>
  <c r="H18" i="4"/>
  <c r="H56" i="4"/>
  <c r="H17" i="4"/>
  <c r="H19" i="4"/>
  <c r="D97" i="4"/>
  <c r="D103" i="4" s="1"/>
  <c r="D104" i="4" s="1"/>
  <c r="Q8" i="4"/>
  <c r="F62" i="4"/>
  <c r="F20" i="4" s="1"/>
  <c r="F21" i="4" s="1"/>
  <c r="F61" i="4" s="1"/>
  <c r="F63" i="4" s="1"/>
  <c r="E66" i="4"/>
  <c r="M335" i="4"/>
  <c r="N67" i="4"/>
  <c r="K2" i="8"/>
  <c r="J1" i="4"/>
  <c r="L1" i="8"/>
  <c r="C286" i="8" l="1"/>
  <c r="C305" i="8" s="1"/>
  <c r="C345" i="8" s="1"/>
  <c r="C117" i="8"/>
  <c r="C116" i="8"/>
  <c r="M335" i="8"/>
  <c r="N67" i="8"/>
  <c r="H66" i="8"/>
  <c r="I62" i="8"/>
  <c r="I20" i="8" s="1"/>
  <c r="I21" i="8" s="1"/>
  <c r="I61" i="8" s="1"/>
  <c r="I63" i="8" s="1"/>
  <c r="G367" i="8"/>
  <c r="G376" i="8" s="1"/>
  <c r="G94" i="8"/>
  <c r="G368" i="8" s="1"/>
  <c r="G377" i="8" s="1"/>
  <c r="G96" i="8"/>
  <c r="F97" i="8"/>
  <c r="O8" i="8"/>
  <c r="J59" i="8"/>
  <c r="K57" i="8"/>
  <c r="K58" i="8"/>
  <c r="K19" i="8"/>
  <c r="K17" i="8"/>
  <c r="K56" i="8"/>
  <c r="K59" i="8" s="1"/>
  <c r="K18" i="8"/>
  <c r="K80" i="8"/>
  <c r="E103" i="8"/>
  <c r="I80" i="4"/>
  <c r="K33" i="4"/>
  <c r="K30" i="4"/>
  <c r="K31" i="4"/>
  <c r="K35" i="4"/>
  <c r="K34" i="4"/>
  <c r="K32" i="4"/>
  <c r="I5" i="4"/>
  <c r="I374" i="4"/>
  <c r="I54" i="4"/>
  <c r="I52" i="4"/>
  <c r="J3" i="4"/>
  <c r="J15" i="4" s="1"/>
  <c r="I6" i="4"/>
  <c r="I53" i="4"/>
  <c r="I15" i="4"/>
  <c r="J83" i="4"/>
  <c r="J89" i="4"/>
  <c r="J88" i="4"/>
  <c r="J93" i="4"/>
  <c r="J361" i="4" s="1"/>
  <c r="J91" i="4"/>
  <c r="J90" i="4"/>
  <c r="J86" i="4"/>
  <c r="J92" i="4"/>
  <c r="J87" i="4"/>
  <c r="J84" i="4"/>
  <c r="J85" i="4"/>
  <c r="J81" i="4"/>
  <c r="J349" i="4" s="1"/>
  <c r="K29" i="4"/>
  <c r="K24" i="4"/>
  <c r="K28" i="4"/>
  <c r="K27" i="4"/>
  <c r="K26" i="4"/>
  <c r="K36" i="4"/>
  <c r="L3" i="8"/>
  <c r="K47" i="4"/>
  <c r="J39" i="4"/>
  <c r="K46" i="4"/>
  <c r="J38" i="4"/>
  <c r="K51" i="4"/>
  <c r="K43" i="4"/>
  <c r="K49" i="4"/>
  <c r="K45" i="4"/>
  <c r="J40" i="4"/>
  <c r="J41" i="4"/>
  <c r="J42" i="4"/>
  <c r="K48" i="4"/>
  <c r="H59" i="4"/>
  <c r="D106" i="4"/>
  <c r="D107" i="4" s="1"/>
  <c r="D109" i="4" s="1"/>
  <c r="N335" i="4"/>
  <c r="O67" i="4"/>
  <c r="E94" i="4"/>
  <c r="E96" i="4"/>
  <c r="D105" i="4"/>
  <c r="G62" i="4"/>
  <c r="G20" i="4" s="1"/>
  <c r="G21" i="4" s="1"/>
  <c r="G61" i="4" s="1"/>
  <c r="G63" i="4" s="1"/>
  <c r="F66" i="4"/>
  <c r="R8" i="4"/>
  <c r="J2" i="4"/>
  <c r="I18" i="4"/>
  <c r="I17" i="4"/>
  <c r="I58" i="4"/>
  <c r="I56" i="4"/>
  <c r="I57" i="4"/>
  <c r="I19" i="4"/>
  <c r="L2" i="8"/>
  <c r="M1" i="8"/>
  <c r="K1" i="4"/>
  <c r="E104" i="8" l="1"/>
  <c r="E105" i="8" s="1"/>
  <c r="G97" i="8"/>
  <c r="H367" i="8"/>
  <c r="H376" i="8" s="1"/>
  <c r="H94" i="8"/>
  <c r="H368" i="8" s="1"/>
  <c r="H377" i="8" s="1"/>
  <c r="H96" i="8"/>
  <c r="L57" i="8"/>
  <c r="L58" i="8"/>
  <c r="L19" i="8"/>
  <c r="L17" i="8"/>
  <c r="L56" i="8"/>
  <c r="L18" i="8"/>
  <c r="N335" i="8"/>
  <c r="O67" i="8"/>
  <c r="D113" i="8"/>
  <c r="C120" i="8"/>
  <c r="I66" i="8"/>
  <c r="J62" i="8"/>
  <c r="J20" i="8" s="1"/>
  <c r="J21" i="8" s="1"/>
  <c r="J61" i="8" s="1"/>
  <c r="J63" i="8" s="1"/>
  <c r="L80" i="8"/>
  <c r="P8" i="8"/>
  <c r="E106" i="8"/>
  <c r="E107" i="8" s="1"/>
  <c r="J80" i="4"/>
  <c r="J13" i="4"/>
  <c r="J14" i="4" s="1"/>
  <c r="K3" i="4"/>
  <c r="K53" i="4" s="1"/>
  <c r="J54" i="4"/>
  <c r="L35" i="4"/>
  <c r="L31" i="4"/>
  <c r="L30" i="4"/>
  <c r="L33" i="4"/>
  <c r="L34" i="4"/>
  <c r="L32" i="4"/>
  <c r="J52" i="4"/>
  <c r="J6" i="4"/>
  <c r="J5" i="4"/>
  <c r="J53" i="4"/>
  <c r="J374" i="4"/>
  <c r="K83" i="4"/>
  <c r="K89" i="4"/>
  <c r="K93" i="4"/>
  <c r="K361" i="4" s="1"/>
  <c r="K90" i="4"/>
  <c r="K88" i="4"/>
  <c r="K87" i="4"/>
  <c r="K86" i="4"/>
  <c r="K92" i="4"/>
  <c r="K84" i="4"/>
  <c r="K85" i="4"/>
  <c r="K91" i="4"/>
  <c r="L29" i="4"/>
  <c r="K81" i="4"/>
  <c r="K349" i="4" s="1"/>
  <c r="L27" i="4"/>
  <c r="L26" i="4"/>
  <c r="L28" i="4"/>
  <c r="L24" i="4"/>
  <c r="L36" i="4"/>
  <c r="L46" i="4"/>
  <c r="L49" i="4"/>
  <c r="K38" i="4"/>
  <c r="L48" i="4"/>
  <c r="L45" i="4"/>
  <c r="L47" i="4"/>
  <c r="L43" i="4"/>
  <c r="L51" i="4"/>
  <c r="K39" i="4"/>
  <c r="K40" i="4"/>
  <c r="K42" i="4"/>
  <c r="K41" i="4"/>
  <c r="M3" i="8"/>
  <c r="D110" i="4"/>
  <c r="D348" i="4"/>
  <c r="E102" i="4"/>
  <c r="E97" i="4"/>
  <c r="H62" i="4"/>
  <c r="H20" i="4" s="1"/>
  <c r="H21" i="4" s="1"/>
  <c r="H61" i="4" s="1"/>
  <c r="H63" i="4" s="1"/>
  <c r="G66" i="4"/>
  <c r="I59" i="4"/>
  <c r="O335" i="4"/>
  <c r="P67" i="4"/>
  <c r="J57" i="4"/>
  <c r="J58" i="4"/>
  <c r="J56" i="4"/>
  <c r="J17" i="4"/>
  <c r="J19" i="4"/>
  <c r="J18" i="4"/>
  <c r="K2" i="4"/>
  <c r="S8" i="4"/>
  <c r="F94" i="4"/>
  <c r="F96" i="4"/>
  <c r="M2" i="8"/>
  <c r="N1" i="8"/>
  <c r="L1" i="4"/>
  <c r="M80" i="8" l="1"/>
  <c r="L59" i="8"/>
  <c r="F102" i="8"/>
  <c r="F103" i="8" s="1"/>
  <c r="F106" i="8" s="1"/>
  <c r="F107" i="8" s="1"/>
  <c r="F109" i="8" s="1"/>
  <c r="E348" i="8"/>
  <c r="Q8" i="8"/>
  <c r="M56" i="8"/>
  <c r="M58" i="8"/>
  <c r="M19" i="8"/>
  <c r="M18" i="8"/>
  <c r="M57" i="8"/>
  <c r="M17" i="8"/>
  <c r="J66" i="8"/>
  <c r="K62" i="8"/>
  <c r="K20" i="8" s="1"/>
  <c r="K21" i="8" s="1"/>
  <c r="K61" i="8" s="1"/>
  <c r="K63" i="8" s="1"/>
  <c r="C310" i="8"/>
  <c r="C329" i="8" s="1"/>
  <c r="C358" i="8" s="1"/>
  <c r="C121" i="8"/>
  <c r="I367" i="8"/>
  <c r="I376" i="8" s="1"/>
  <c r="I94" i="8"/>
  <c r="I368" i="8" s="1"/>
  <c r="I377" i="8" s="1"/>
  <c r="I96" i="8"/>
  <c r="D119" i="8"/>
  <c r="D118" i="8"/>
  <c r="H97" i="8"/>
  <c r="O335" i="8"/>
  <c r="P67" i="8"/>
  <c r="E109" i="8"/>
  <c r="K80" i="4"/>
  <c r="L3" i="4"/>
  <c r="K374" i="4"/>
  <c r="K54" i="4"/>
  <c r="K13" i="4"/>
  <c r="K14" i="4" s="1"/>
  <c r="K15" i="4"/>
  <c r="K6" i="4"/>
  <c r="K5" i="4"/>
  <c r="K52" i="4"/>
  <c r="M33" i="4"/>
  <c r="M35" i="4"/>
  <c r="M31" i="4"/>
  <c r="M34" i="4"/>
  <c r="M32" i="4"/>
  <c r="M30" i="4"/>
  <c r="C114" i="4"/>
  <c r="C117" i="4" s="1"/>
  <c r="L83" i="4"/>
  <c r="L84" i="4"/>
  <c r="L91" i="4"/>
  <c r="L90" i="4"/>
  <c r="L93" i="4"/>
  <c r="L361" i="4" s="1"/>
  <c r="L86" i="4"/>
  <c r="L88" i="4"/>
  <c r="L85" i="4"/>
  <c r="L92" i="4"/>
  <c r="L89" i="4"/>
  <c r="L87" i="4"/>
  <c r="M29" i="4"/>
  <c r="L81" i="4"/>
  <c r="L349" i="4" s="1"/>
  <c r="M27" i="4"/>
  <c r="M26" i="4"/>
  <c r="M24" i="4"/>
  <c r="M28" i="4"/>
  <c r="M36" i="4"/>
  <c r="E103" i="4"/>
  <c r="E104" i="4" s="1"/>
  <c r="L53" i="4"/>
  <c r="L15" i="4"/>
  <c r="L5" i="4"/>
  <c r="L54" i="4"/>
  <c r="L13" i="4"/>
  <c r="L14" i="4" s="1"/>
  <c r="L6" i="4"/>
  <c r="L374" i="4"/>
  <c r="M3" i="4"/>
  <c r="M374" i="4" s="1"/>
  <c r="M46" i="4"/>
  <c r="L38" i="4"/>
  <c r="M45" i="4"/>
  <c r="M49" i="4"/>
  <c r="M48" i="4"/>
  <c r="L41" i="4"/>
  <c r="L42" i="4"/>
  <c r="M51" i="4"/>
  <c r="L39" i="4"/>
  <c r="L40" i="4"/>
  <c r="M47" i="4"/>
  <c r="M43" i="4"/>
  <c r="N3" i="8"/>
  <c r="L52" i="4"/>
  <c r="K18" i="4"/>
  <c r="K58" i="4"/>
  <c r="K17" i="4"/>
  <c r="K19" i="4"/>
  <c r="K57" i="4"/>
  <c r="K56" i="4"/>
  <c r="L2" i="4"/>
  <c r="F97" i="4"/>
  <c r="G96" i="4"/>
  <c r="G94" i="4"/>
  <c r="T8" i="4"/>
  <c r="J59" i="4"/>
  <c r="P335" i="4"/>
  <c r="Q67" i="4"/>
  <c r="H66" i="4"/>
  <c r="I62" i="4"/>
  <c r="I20" i="4" s="1"/>
  <c r="I21" i="4" s="1"/>
  <c r="I61" i="4" s="1"/>
  <c r="I63" i="4" s="1"/>
  <c r="N2" i="8"/>
  <c r="N80" i="8" s="1"/>
  <c r="O1" i="8"/>
  <c r="M1" i="4"/>
  <c r="C367" i="4"/>
  <c r="F104" i="8" l="1"/>
  <c r="F105" i="8" s="1"/>
  <c r="E110" i="8"/>
  <c r="D114" i="8" s="1"/>
  <c r="I97" i="8"/>
  <c r="M59" i="8"/>
  <c r="R8" i="8"/>
  <c r="F348" i="8"/>
  <c r="G102" i="8"/>
  <c r="C123" i="8"/>
  <c r="K66" i="8"/>
  <c r="L62" i="8"/>
  <c r="L20" i="8" s="1"/>
  <c r="L21" i="8" s="1"/>
  <c r="L61" i="8" s="1"/>
  <c r="L63" i="8" s="1"/>
  <c r="P335" i="8"/>
  <c r="Q67" i="8"/>
  <c r="J367" i="8"/>
  <c r="J376" i="8" s="1"/>
  <c r="J94" i="8"/>
  <c r="J368" i="8" s="1"/>
  <c r="J377" i="8" s="1"/>
  <c r="J96" i="8"/>
  <c r="N18" i="8"/>
  <c r="N56" i="8"/>
  <c r="N57" i="8"/>
  <c r="N58" i="8"/>
  <c r="N17" i="8"/>
  <c r="N19" i="8"/>
  <c r="L80" i="4"/>
  <c r="N35" i="4"/>
  <c r="N32" i="4"/>
  <c r="N31" i="4"/>
  <c r="N30" i="4"/>
  <c r="N34" i="4"/>
  <c r="N33" i="4"/>
  <c r="C116" i="4"/>
  <c r="C120" i="4" s="1"/>
  <c r="C286" i="4"/>
  <c r="C305" i="4" s="1"/>
  <c r="C345" i="4" s="1"/>
  <c r="M93" i="4"/>
  <c r="M361" i="4" s="1"/>
  <c r="M89" i="4"/>
  <c r="M85" i="4"/>
  <c r="M92" i="4"/>
  <c r="M88" i="4"/>
  <c r="M84" i="4"/>
  <c r="M83" i="4"/>
  <c r="M91" i="4"/>
  <c r="M90" i="4"/>
  <c r="M87" i="4"/>
  <c r="M86" i="4"/>
  <c r="M81" i="4"/>
  <c r="M349" i="4" s="1"/>
  <c r="N29" i="4"/>
  <c r="N26" i="4"/>
  <c r="N27" i="4"/>
  <c r="N28" i="4"/>
  <c r="N24" i="4"/>
  <c r="N36" i="4"/>
  <c r="N3" i="4"/>
  <c r="O3" i="4" s="1"/>
  <c r="O3" i="8"/>
  <c r="M52" i="4"/>
  <c r="M53" i="4"/>
  <c r="M5" i="4"/>
  <c r="M54" i="4"/>
  <c r="M6" i="4"/>
  <c r="M15" i="4"/>
  <c r="M13" i="4"/>
  <c r="M14" i="4" s="1"/>
  <c r="N45" i="4"/>
  <c r="N48" i="4"/>
  <c r="M38" i="4"/>
  <c r="M41" i="4"/>
  <c r="M39" i="4"/>
  <c r="N47" i="4"/>
  <c r="N51" i="4"/>
  <c r="N46" i="4"/>
  <c r="N43" i="4"/>
  <c r="M42" i="4"/>
  <c r="N49" i="4"/>
  <c r="M40" i="4"/>
  <c r="K59" i="4"/>
  <c r="E105" i="4"/>
  <c r="U8" i="4"/>
  <c r="G97" i="4"/>
  <c r="I66" i="4"/>
  <c r="J62" i="4"/>
  <c r="J20" i="4" s="1"/>
  <c r="J21" i="4" s="1"/>
  <c r="J61" i="4" s="1"/>
  <c r="J63" i="4" s="1"/>
  <c r="Q335" i="4"/>
  <c r="R67" i="4"/>
  <c r="E106" i="4"/>
  <c r="E107" i="4" s="1"/>
  <c r="L19" i="4"/>
  <c r="L56" i="4"/>
  <c r="L58" i="4"/>
  <c r="L17" i="4"/>
  <c r="L18" i="4"/>
  <c r="L57" i="4"/>
  <c r="M2" i="4"/>
  <c r="H96" i="4"/>
  <c r="H94" i="4"/>
  <c r="O2" i="8"/>
  <c r="O80" i="8" s="1"/>
  <c r="P1" i="8"/>
  <c r="N1" i="4"/>
  <c r="C368" i="4"/>
  <c r="C377" i="4" s="1"/>
  <c r="C376" i="4"/>
  <c r="D367" i="4"/>
  <c r="D368" i="4"/>
  <c r="D377" i="4" s="1"/>
  <c r="G103" i="8" l="1"/>
  <c r="G104" i="8" s="1"/>
  <c r="J97" i="8"/>
  <c r="S8" i="8"/>
  <c r="Q335" i="8"/>
  <c r="R67" i="8"/>
  <c r="L66" i="8"/>
  <c r="M62" i="8"/>
  <c r="M20" i="8" s="1"/>
  <c r="M21" i="8" s="1"/>
  <c r="M61" i="8" s="1"/>
  <c r="M63" i="8" s="1"/>
  <c r="D117" i="8"/>
  <c r="D286" i="8"/>
  <c r="D305" i="8" s="1"/>
  <c r="D345" i="8" s="1"/>
  <c r="D115" i="8"/>
  <c r="D116" i="8" s="1"/>
  <c r="K367" i="8"/>
  <c r="K376" i="8" s="1"/>
  <c r="K94" i="8"/>
  <c r="K368" i="8" s="1"/>
  <c r="K377" i="8" s="1"/>
  <c r="K96" i="8"/>
  <c r="O18" i="8"/>
  <c r="O17" i="8"/>
  <c r="O56" i="8"/>
  <c r="O57" i="8"/>
  <c r="O58" i="8"/>
  <c r="O19" i="8"/>
  <c r="N59" i="8"/>
  <c r="C124" i="8"/>
  <c r="C125" i="8" s="1"/>
  <c r="C126" i="8" s="1"/>
  <c r="F110" i="8"/>
  <c r="M80" i="4"/>
  <c r="O33" i="4"/>
  <c r="O34" i="4"/>
  <c r="O31" i="4"/>
  <c r="O32" i="4"/>
  <c r="O35" i="4"/>
  <c r="O30" i="4"/>
  <c r="D113" i="4"/>
  <c r="D119" i="4" s="1"/>
  <c r="N90" i="4"/>
  <c r="N86" i="4"/>
  <c r="N93" i="4"/>
  <c r="N361" i="4" s="1"/>
  <c r="N89" i="4"/>
  <c r="N85" i="4"/>
  <c r="N84" i="4"/>
  <c r="N83" i="4"/>
  <c r="N92" i="4"/>
  <c r="N88" i="4"/>
  <c r="N91" i="4"/>
  <c r="N87" i="4"/>
  <c r="O29" i="4"/>
  <c r="N81" i="4"/>
  <c r="N349" i="4" s="1"/>
  <c r="O24" i="4"/>
  <c r="O26" i="4"/>
  <c r="O28" i="4"/>
  <c r="O27" i="4"/>
  <c r="O36" i="4"/>
  <c r="N52" i="4"/>
  <c r="N15" i="4"/>
  <c r="N6" i="4"/>
  <c r="N5" i="4"/>
  <c r="N53" i="4"/>
  <c r="N374" i="4"/>
  <c r="N13" i="4"/>
  <c r="N14" i="4" s="1"/>
  <c r="N54" i="4"/>
  <c r="O45" i="4"/>
  <c r="O43" i="4"/>
  <c r="O48" i="4"/>
  <c r="N41" i="4"/>
  <c r="N40" i="4"/>
  <c r="N38" i="4"/>
  <c r="O51" i="4"/>
  <c r="O52" i="4" s="1"/>
  <c r="O46" i="4"/>
  <c r="N39" i="4"/>
  <c r="N42" i="4"/>
  <c r="O47" i="4"/>
  <c r="O49" i="4"/>
  <c r="P3" i="8"/>
  <c r="O54" i="4"/>
  <c r="O53" i="4"/>
  <c r="O6" i="4"/>
  <c r="O15" i="4"/>
  <c r="O13" i="4"/>
  <c r="O14" i="4" s="1"/>
  <c r="O5" i="4"/>
  <c r="E109" i="4"/>
  <c r="E348" i="4"/>
  <c r="F102" i="4"/>
  <c r="C310" i="4"/>
  <c r="C329" i="4" s="1"/>
  <c r="R335" i="4"/>
  <c r="S67" i="4"/>
  <c r="I96" i="4"/>
  <c r="I94" i="4"/>
  <c r="J66" i="4"/>
  <c r="K62" i="4"/>
  <c r="K20" i="4" s="1"/>
  <c r="K21" i="4" s="1"/>
  <c r="K61" i="4" s="1"/>
  <c r="K63" i="4" s="1"/>
  <c r="V8" i="4"/>
  <c r="H97" i="4"/>
  <c r="M58" i="4"/>
  <c r="M57" i="4"/>
  <c r="M19" i="4"/>
  <c r="M17" i="4"/>
  <c r="M18" i="4"/>
  <c r="M56" i="4"/>
  <c r="N2" i="4"/>
  <c r="L59" i="4"/>
  <c r="C121" i="4"/>
  <c r="P2" i="8"/>
  <c r="O1" i="4"/>
  <c r="Q1" i="8"/>
  <c r="P3" i="4"/>
  <c r="O374" i="4"/>
  <c r="D376" i="4"/>
  <c r="E367" i="4"/>
  <c r="E376" i="4" s="1"/>
  <c r="E368" i="4"/>
  <c r="E377" i="4" s="1"/>
  <c r="E113" i="8" l="1"/>
  <c r="D120" i="8"/>
  <c r="L367" i="8"/>
  <c r="L376" i="8" s="1"/>
  <c r="L96" i="8"/>
  <c r="L94" i="8"/>
  <c r="L368" i="8" s="1"/>
  <c r="L377" i="8" s="1"/>
  <c r="R335" i="8"/>
  <c r="S67" i="8"/>
  <c r="E114" i="8"/>
  <c r="K97" i="8"/>
  <c r="T8" i="8"/>
  <c r="C127" i="8"/>
  <c r="G106" i="8"/>
  <c r="G107" i="8" s="1"/>
  <c r="G105" i="8"/>
  <c r="P17" i="8"/>
  <c r="P56" i="8"/>
  <c r="P57" i="8"/>
  <c r="P58" i="8"/>
  <c r="P19" i="8"/>
  <c r="P18" i="8"/>
  <c r="O59" i="8"/>
  <c r="N62" i="8"/>
  <c r="N20" i="8" s="1"/>
  <c r="N21" i="8" s="1"/>
  <c r="N61" i="8" s="1"/>
  <c r="N63" i="8" s="1"/>
  <c r="M66" i="8"/>
  <c r="P80" i="8"/>
  <c r="N80" i="4"/>
  <c r="F103" i="4"/>
  <c r="F104" i="4" s="1"/>
  <c r="D118" i="4"/>
  <c r="P35" i="4"/>
  <c r="P33" i="4"/>
  <c r="P34" i="4"/>
  <c r="P32" i="4"/>
  <c r="P31" i="4"/>
  <c r="P30" i="4"/>
  <c r="O90" i="4"/>
  <c r="O91" i="4"/>
  <c r="O87" i="4"/>
  <c r="O83" i="4"/>
  <c r="O86" i="4"/>
  <c r="O89" i="4"/>
  <c r="O93" i="4"/>
  <c r="O361" i="4" s="1"/>
  <c r="O85" i="4"/>
  <c r="O84" i="4"/>
  <c r="O92" i="4"/>
  <c r="O88" i="4"/>
  <c r="O81" i="4"/>
  <c r="O349" i="4" s="1"/>
  <c r="P29" i="4"/>
  <c r="P28" i="4"/>
  <c r="P27" i="4"/>
  <c r="P24" i="4"/>
  <c r="P26" i="4"/>
  <c r="P36" i="4"/>
  <c r="Q3" i="8"/>
  <c r="P51" i="4"/>
  <c r="P52" i="4" s="1"/>
  <c r="P45" i="4"/>
  <c r="O39" i="4"/>
  <c r="O40" i="4"/>
  <c r="P49" i="4"/>
  <c r="P46" i="4"/>
  <c r="O41" i="4"/>
  <c r="P43" i="4"/>
  <c r="O42" i="4"/>
  <c r="P47" i="4"/>
  <c r="O38" i="4"/>
  <c r="P48" i="4"/>
  <c r="P54" i="4"/>
  <c r="P53" i="4"/>
  <c r="P6" i="4"/>
  <c r="P15" i="4"/>
  <c r="P13" i="4"/>
  <c r="P14" i="4" s="1"/>
  <c r="P5" i="4"/>
  <c r="C123" i="4"/>
  <c r="W8" i="4"/>
  <c r="K66" i="4"/>
  <c r="L62" i="4"/>
  <c r="L20" i="4" s="1"/>
  <c r="L21" i="4" s="1"/>
  <c r="L61" i="4" s="1"/>
  <c r="L63" i="4" s="1"/>
  <c r="M59" i="4"/>
  <c r="J94" i="4"/>
  <c r="J96" i="4"/>
  <c r="N19" i="4"/>
  <c r="N58" i="4"/>
  <c r="N18" i="4"/>
  <c r="N57" i="4"/>
  <c r="N17" i="4"/>
  <c r="N56" i="4"/>
  <c r="O2" i="4"/>
  <c r="I97" i="4"/>
  <c r="S335" i="4"/>
  <c r="T67" i="4"/>
  <c r="E110" i="4"/>
  <c r="D114" i="4" s="1"/>
  <c r="D117" i="4" s="1"/>
  <c r="Q2" i="8"/>
  <c r="R1" i="8"/>
  <c r="P1" i="4"/>
  <c r="P374" i="4"/>
  <c r="Q3" i="4"/>
  <c r="H367" i="4"/>
  <c r="H376" i="4" s="1"/>
  <c r="F367" i="4"/>
  <c r="F376" i="4" s="1"/>
  <c r="F368" i="4"/>
  <c r="F377" i="4" s="1"/>
  <c r="E117" i="8" l="1"/>
  <c r="E286" i="8"/>
  <c r="E305" i="8" s="1"/>
  <c r="E345" i="8" s="1"/>
  <c r="G109" i="8"/>
  <c r="S335" i="8"/>
  <c r="T67" i="8"/>
  <c r="G348" i="8"/>
  <c r="H102" i="8"/>
  <c r="M367" i="8"/>
  <c r="M376" i="8" s="1"/>
  <c r="M96" i="8"/>
  <c r="M94" i="8"/>
  <c r="M368" i="8" s="1"/>
  <c r="M377" i="8" s="1"/>
  <c r="L97" i="8"/>
  <c r="N66" i="8"/>
  <c r="O62" i="8"/>
  <c r="O20" i="8" s="1"/>
  <c r="O21" i="8" s="1"/>
  <c r="O61" i="8" s="1"/>
  <c r="O63" i="8" s="1"/>
  <c r="Q17" i="8"/>
  <c r="Q57" i="8"/>
  <c r="Q58" i="8"/>
  <c r="Q18" i="8"/>
  <c r="Q56" i="8"/>
  <c r="Q19" i="8"/>
  <c r="P59" i="8"/>
  <c r="Q80" i="8"/>
  <c r="D310" i="8"/>
  <c r="D329" i="8" s="1"/>
  <c r="D358" i="8" s="1"/>
  <c r="D121" i="8"/>
  <c r="U8" i="8"/>
  <c r="E118" i="8"/>
  <c r="E119" i="8"/>
  <c r="E115" i="8"/>
  <c r="E116" i="8" s="1"/>
  <c r="O80" i="4"/>
  <c r="Q33" i="4"/>
  <c r="Q30" i="4"/>
  <c r="Q32" i="4"/>
  <c r="Q35" i="4"/>
  <c r="Q34" i="4"/>
  <c r="Q31" i="4"/>
  <c r="P91" i="4"/>
  <c r="P90" i="4"/>
  <c r="P86" i="4"/>
  <c r="P92" i="4"/>
  <c r="P89" i="4"/>
  <c r="P88" i="4"/>
  <c r="P83" i="4"/>
  <c r="P84" i="4"/>
  <c r="P93" i="4"/>
  <c r="P361" i="4" s="1"/>
  <c r="P87" i="4"/>
  <c r="P85" i="4"/>
  <c r="D286" i="4"/>
  <c r="D305" i="4" s="1"/>
  <c r="D345" i="4" s="1"/>
  <c r="D115" i="4"/>
  <c r="D116" i="4" s="1"/>
  <c r="D120" i="4" s="1"/>
  <c r="P81" i="4"/>
  <c r="P349" i="4" s="1"/>
  <c r="Q29" i="4"/>
  <c r="Q28" i="4"/>
  <c r="Q27" i="4"/>
  <c r="Q26" i="4"/>
  <c r="Q24" i="4"/>
  <c r="Q36" i="4"/>
  <c r="R3" i="8"/>
  <c r="Q54" i="4"/>
  <c r="Q15" i="4"/>
  <c r="Q6" i="4"/>
  <c r="Q13" i="4"/>
  <c r="Q14" i="4" s="1"/>
  <c r="Q5" i="4"/>
  <c r="Q53" i="4"/>
  <c r="Q43" i="4"/>
  <c r="Q51" i="4"/>
  <c r="Q52" i="4" s="1"/>
  <c r="Q49" i="4"/>
  <c r="P42" i="4"/>
  <c r="Q45" i="4"/>
  <c r="P39" i="4"/>
  <c r="Q47" i="4"/>
  <c r="Q46" i="4"/>
  <c r="P40" i="4"/>
  <c r="P38" i="4"/>
  <c r="Q48" i="4"/>
  <c r="P41" i="4"/>
  <c r="N59" i="4"/>
  <c r="F106" i="4"/>
  <c r="F107" i="4" s="1"/>
  <c r="F105" i="4"/>
  <c r="X8" i="4"/>
  <c r="J97" i="4"/>
  <c r="K94" i="4"/>
  <c r="K96" i="4"/>
  <c r="T335" i="4"/>
  <c r="U67" i="4"/>
  <c r="M62" i="4"/>
  <c r="M20" i="4" s="1"/>
  <c r="M21" i="4" s="1"/>
  <c r="M61" i="4" s="1"/>
  <c r="M63" i="4" s="1"/>
  <c r="L66" i="4"/>
  <c r="O58" i="4"/>
  <c r="O57" i="4"/>
  <c r="O56" i="4"/>
  <c r="O17" i="4"/>
  <c r="O19" i="4"/>
  <c r="O18" i="4"/>
  <c r="P2" i="4"/>
  <c r="C124" i="4"/>
  <c r="C125" i="4" s="1"/>
  <c r="C126" i="4" s="1"/>
  <c r="C127" i="4" s="1"/>
  <c r="R2" i="8"/>
  <c r="S1" i="8"/>
  <c r="Q1" i="4"/>
  <c r="Q374" i="4"/>
  <c r="R3" i="4"/>
  <c r="H368" i="4"/>
  <c r="H377" i="4" s="1"/>
  <c r="G368" i="4"/>
  <c r="G377" i="4" s="1"/>
  <c r="G367" i="4"/>
  <c r="Q59" i="8" l="1"/>
  <c r="F113" i="8"/>
  <c r="E120" i="8"/>
  <c r="E121" i="8" s="1"/>
  <c r="E123" i="8" s="1"/>
  <c r="M97" i="8"/>
  <c r="V8" i="8"/>
  <c r="O66" i="8"/>
  <c r="P62" i="8"/>
  <c r="P20" i="8" s="1"/>
  <c r="P21" i="8" s="1"/>
  <c r="P61" i="8" s="1"/>
  <c r="P63" i="8" s="1"/>
  <c r="R58" i="8"/>
  <c r="R19" i="8"/>
  <c r="R17" i="8"/>
  <c r="R57" i="8"/>
  <c r="R56" i="8"/>
  <c r="R18" i="8"/>
  <c r="D123" i="8"/>
  <c r="N367" i="8"/>
  <c r="N376" i="8" s="1"/>
  <c r="N96" i="8"/>
  <c r="N94" i="8"/>
  <c r="N368" i="8" s="1"/>
  <c r="N377" i="8" s="1"/>
  <c r="H103" i="8"/>
  <c r="R80" i="8"/>
  <c r="G110" i="8"/>
  <c r="F114" i="8" s="1"/>
  <c r="T335" i="8"/>
  <c r="U67" i="8"/>
  <c r="P80" i="4"/>
  <c r="R35" i="4"/>
  <c r="R33" i="4"/>
  <c r="R32" i="4"/>
  <c r="R30" i="4"/>
  <c r="R31" i="4"/>
  <c r="R34" i="4"/>
  <c r="Q89" i="4"/>
  <c r="Q83" i="4"/>
  <c r="Q90" i="4"/>
  <c r="Q87" i="4"/>
  <c r="Q91" i="4"/>
  <c r="Q93" i="4"/>
  <c r="Q361" i="4" s="1"/>
  <c r="Q85" i="4"/>
  <c r="Q88" i="4"/>
  <c r="Q92" i="4"/>
  <c r="Q86" i="4"/>
  <c r="Q84" i="4"/>
  <c r="R29" i="4"/>
  <c r="Q81" i="4"/>
  <c r="Q349" i="4" s="1"/>
  <c r="R28" i="4"/>
  <c r="R27" i="4"/>
  <c r="R26" i="4"/>
  <c r="R24" i="4"/>
  <c r="R36" i="4"/>
  <c r="S3" i="8"/>
  <c r="R53" i="4"/>
  <c r="R54" i="4"/>
  <c r="R15" i="4"/>
  <c r="R13" i="4"/>
  <c r="R14" i="4" s="1"/>
  <c r="R6" i="4"/>
  <c r="R5" i="4"/>
  <c r="R51" i="4"/>
  <c r="R52" i="4" s="1"/>
  <c r="R49" i="4"/>
  <c r="Q41" i="4"/>
  <c r="Q39" i="4"/>
  <c r="R47" i="4"/>
  <c r="R43" i="4"/>
  <c r="Q40" i="4"/>
  <c r="R46" i="4"/>
  <c r="Q42" i="4"/>
  <c r="R45" i="4"/>
  <c r="Q38" i="4"/>
  <c r="R48" i="4"/>
  <c r="F109" i="4"/>
  <c r="O59" i="4"/>
  <c r="K97" i="4"/>
  <c r="L94" i="4"/>
  <c r="L96" i="4"/>
  <c r="N62" i="4"/>
  <c r="N20" i="4" s="1"/>
  <c r="N21" i="4" s="1"/>
  <c r="N61" i="4" s="1"/>
  <c r="N63" i="4" s="1"/>
  <c r="M66" i="4"/>
  <c r="F348" i="4"/>
  <c r="G102" i="4"/>
  <c r="U335" i="4"/>
  <c r="V67" i="4"/>
  <c r="E113" i="4"/>
  <c r="Y8" i="4"/>
  <c r="P18" i="4"/>
  <c r="P57" i="4"/>
  <c r="P56" i="4"/>
  <c r="P17" i="4"/>
  <c r="P58" i="4"/>
  <c r="P19" i="4"/>
  <c r="Q2" i="4"/>
  <c r="S2" i="8"/>
  <c r="T1" i="8"/>
  <c r="R1" i="4"/>
  <c r="R374" i="4"/>
  <c r="S3" i="4"/>
  <c r="J367" i="4"/>
  <c r="J376" i="4" s="1"/>
  <c r="J368" i="4"/>
  <c r="J377" i="4" s="1"/>
  <c r="I367" i="4"/>
  <c r="I376" i="4" s="1"/>
  <c r="I368" i="4"/>
  <c r="I377" i="4" s="1"/>
  <c r="G376" i="4"/>
  <c r="N97" i="8" l="1"/>
  <c r="P66" i="8"/>
  <c r="Q62" i="8"/>
  <c r="Q20" i="8" s="1"/>
  <c r="Q21" i="8" s="1"/>
  <c r="Q61" i="8" s="1"/>
  <c r="Q63" i="8" s="1"/>
  <c r="O367" i="8"/>
  <c r="O376" i="8" s="1"/>
  <c r="O96" i="8"/>
  <c r="O94" i="8"/>
  <c r="O368" i="8" s="1"/>
  <c r="O377" i="8" s="1"/>
  <c r="U335" i="8"/>
  <c r="V67" i="8"/>
  <c r="E124" i="8"/>
  <c r="E125" i="8" s="1"/>
  <c r="D124" i="8"/>
  <c r="D125" i="8" s="1"/>
  <c r="D126" i="8" s="1"/>
  <c r="W8" i="8"/>
  <c r="F117" i="8"/>
  <c r="F286" i="8"/>
  <c r="F305" i="8" s="1"/>
  <c r="F345" i="8" s="1"/>
  <c r="S80" i="8"/>
  <c r="R59" i="8"/>
  <c r="H106" i="8"/>
  <c r="H107" i="8" s="1"/>
  <c r="E310" i="8"/>
  <c r="E329" i="8" s="1"/>
  <c r="E358" i="8" s="1"/>
  <c r="S18" i="8"/>
  <c r="S58" i="8"/>
  <c r="S19" i="8"/>
  <c r="S56" i="8"/>
  <c r="S57" i="8"/>
  <c r="S17" i="8"/>
  <c r="H104" i="8"/>
  <c r="H105" i="8" s="1"/>
  <c r="F118" i="8"/>
  <c r="F119" i="8"/>
  <c r="F115" i="8"/>
  <c r="F116" i="8" s="1"/>
  <c r="Q80" i="4"/>
  <c r="G103" i="4"/>
  <c r="G104" i="4" s="1"/>
  <c r="S30" i="4"/>
  <c r="S34" i="4"/>
  <c r="S32" i="4"/>
  <c r="S35" i="4"/>
  <c r="S31" i="4"/>
  <c r="S33" i="4"/>
  <c r="R89" i="4"/>
  <c r="R92" i="4"/>
  <c r="R91" i="4"/>
  <c r="R83" i="4"/>
  <c r="R88" i="4"/>
  <c r="R93" i="4"/>
  <c r="R361" i="4" s="1"/>
  <c r="R85" i="4"/>
  <c r="R84" i="4"/>
  <c r="R86" i="4"/>
  <c r="R87" i="4"/>
  <c r="R90" i="4"/>
  <c r="D310" i="4"/>
  <c r="R81" i="4"/>
  <c r="R349" i="4" s="1"/>
  <c r="S29" i="4"/>
  <c r="S26" i="4"/>
  <c r="S28" i="4"/>
  <c r="S24" i="4"/>
  <c r="S27" i="4"/>
  <c r="S36" i="4"/>
  <c r="S49" i="4"/>
  <c r="R42" i="4"/>
  <c r="S48" i="4"/>
  <c r="R40" i="4"/>
  <c r="S47" i="4"/>
  <c r="S51" i="4"/>
  <c r="S52" i="4" s="1"/>
  <c r="R38" i="4"/>
  <c r="S46" i="4"/>
  <c r="S45" i="4"/>
  <c r="R39" i="4"/>
  <c r="S43" i="4"/>
  <c r="R41" i="4"/>
  <c r="T3" i="8"/>
  <c r="S54" i="4"/>
  <c r="S13" i="4"/>
  <c r="S53" i="4"/>
  <c r="S15" i="4"/>
  <c r="S5" i="4"/>
  <c r="S6" i="4"/>
  <c r="Z8" i="4"/>
  <c r="E118" i="4"/>
  <c r="E119" i="4"/>
  <c r="V335" i="4"/>
  <c r="W67" i="4"/>
  <c r="P59" i="4"/>
  <c r="O62" i="4"/>
  <c r="O20" i="4" s="1"/>
  <c r="O21" i="4" s="1"/>
  <c r="O61" i="4" s="1"/>
  <c r="O63" i="4" s="1"/>
  <c r="N66" i="4"/>
  <c r="D121" i="4"/>
  <c r="Q57" i="4"/>
  <c r="Q56" i="4"/>
  <c r="Q17" i="4"/>
  <c r="Q58" i="4"/>
  <c r="Q19" i="4"/>
  <c r="Q18" i="4"/>
  <c r="R2" i="4"/>
  <c r="F110" i="4"/>
  <c r="E114" i="4" s="1"/>
  <c r="E117" i="4" s="1"/>
  <c r="L97" i="4"/>
  <c r="M94" i="4"/>
  <c r="M96" i="4"/>
  <c r="T2" i="8"/>
  <c r="U1" i="8"/>
  <c r="S1" i="4"/>
  <c r="T3" i="4"/>
  <c r="S374" i="4"/>
  <c r="K367" i="4"/>
  <c r="K376" i="4" s="1"/>
  <c r="K368" i="4"/>
  <c r="K377" i="4" s="1"/>
  <c r="S59" i="8" l="1"/>
  <c r="E126" i="8"/>
  <c r="D127" i="8"/>
  <c r="C131" i="8" s="1"/>
  <c r="G113" i="8"/>
  <c r="F120" i="8"/>
  <c r="V335" i="8"/>
  <c r="W67" i="8"/>
  <c r="H109" i="8"/>
  <c r="O97" i="8"/>
  <c r="T80" i="8"/>
  <c r="R62" i="8"/>
  <c r="R20" i="8" s="1"/>
  <c r="R21" i="8" s="1"/>
  <c r="R61" i="8" s="1"/>
  <c r="R63" i="8" s="1"/>
  <c r="Q66" i="8"/>
  <c r="T18" i="8"/>
  <c r="T19" i="8"/>
  <c r="T17" i="8"/>
  <c r="T58" i="8"/>
  <c r="T57" i="8"/>
  <c r="T56" i="8"/>
  <c r="P367" i="8"/>
  <c r="P376" i="8" s="1"/>
  <c r="P94" i="8"/>
  <c r="P368" i="8" s="1"/>
  <c r="P377" i="8" s="1"/>
  <c r="P96" i="8"/>
  <c r="X8" i="8"/>
  <c r="H348" i="8"/>
  <c r="I102" i="8"/>
  <c r="R80" i="4"/>
  <c r="T33" i="4"/>
  <c r="T30" i="4"/>
  <c r="T34" i="4"/>
  <c r="T35" i="4"/>
  <c r="T31" i="4"/>
  <c r="T32" i="4"/>
  <c r="S92" i="4"/>
  <c r="S93" i="4"/>
  <c r="S361" i="4" s="1"/>
  <c r="S90" i="4"/>
  <c r="S87" i="4"/>
  <c r="S84" i="4"/>
  <c r="S91" i="4"/>
  <c r="S86" i="4"/>
  <c r="S85" i="4"/>
  <c r="S88" i="4"/>
  <c r="S89" i="4"/>
  <c r="S83" i="4"/>
  <c r="D329" i="4"/>
  <c r="E286" i="4"/>
  <c r="E305" i="4" s="1"/>
  <c r="E345" i="4" s="1"/>
  <c r="E115" i="4"/>
  <c r="E116" i="4" s="1"/>
  <c r="E120" i="4" s="1"/>
  <c r="T29" i="4"/>
  <c r="S81" i="4"/>
  <c r="S349" i="4" s="1"/>
  <c r="T27" i="4"/>
  <c r="T28" i="4"/>
  <c r="T26" i="4"/>
  <c r="T24" i="4"/>
  <c r="T36" i="4"/>
  <c r="U3" i="8"/>
  <c r="T54" i="4"/>
  <c r="T13" i="4"/>
  <c r="T6" i="4"/>
  <c r="T15" i="4"/>
  <c r="T5" i="4"/>
  <c r="S41" i="4"/>
  <c r="T48" i="4"/>
  <c r="S42" i="4"/>
  <c r="T46" i="4"/>
  <c r="T49" i="4"/>
  <c r="T47" i="4"/>
  <c r="T45" i="4"/>
  <c r="S39" i="4"/>
  <c r="T43" i="4"/>
  <c r="S38" i="4"/>
  <c r="T51" i="4"/>
  <c r="T53" i="4" s="1"/>
  <c r="S40" i="4"/>
  <c r="S14" i="4"/>
  <c r="Q59" i="4"/>
  <c r="R17" i="4"/>
  <c r="R56" i="4"/>
  <c r="R57" i="4"/>
  <c r="R58" i="4"/>
  <c r="R19" i="4"/>
  <c r="R18" i="4"/>
  <c r="S2" i="4"/>
  <c r="W335" i="4"/>
  <c r="X67" i="4"/>
  <c r="G106" i="4"/>
  <c r="G107" i="4" s="1"/>
  <c r="M97" i="4"/>
  <c r="D123" i="4"/>
  <c r="N96" i="4"/>
  <c r="N94" i="4"/>
  <c r="G105" i="4"/>
  <c r="P62" i="4"/>
  <c r="P20" i="4" s="1"/>
  <c r="P21" i="4" s="1"/>
  <c r="P61" i="4" s="1"/>
  <c r="P63" i="4" s="1"/>
  <c r="O66" i="4"/>
  <c r="AA8" i="4"/>
  <c r="U2" i="8"/>
  <c r="T1" i="4"/>
  <c r="V1" i="8"/>
  <c r="T374" i="4"/>
  <c r="U3" i="4"/>
  <c r="L367" i="4"/>
  <c r="L376" i="4" s="1"/>
  <c r="L368" i="4"/>
  <c r="L377" i="4" s="1"/>
  <c r="T59" i="8" l="1"/>
  <c r="Y8" i="8"/>
  <c r="Q367" i="8"/>
  <c r="Q376" i="8" s="1"/>
  <c r="Q96" i="8"/>
  <c r="Q94" i="8"/>
  <c r="Q368" i="8" s="1"/>
  <c r="Q377" i="8" s="1"/>
  <c r="S62" i="8"/>
  <c r="S20" i="8" s="1"/>
  <c r="S21" i="8" s="1"/>
  <c r="S61" i="8" s="1"/>
  <c r="S63" i="8" s="1"/>
  <c r="R66" i="8"/>
  <c r="F310" i="8"/>
  <c r="F329" i="8" s="1"/>
  <c r="F358" i="8" s="1"/>
  <c r="P97" i="8"/>
  <c r="U80" i="8"/>
  <c r="G118" i="8"/>
  <c r="G119" i="8"/>
  <c r="H110" i="8"/>
  <c r="G114" i="8" s="1"/>
  <c r="C287" i="8"/>
  <c r="C304" i="8" s="1"/>
  <c r="C344" i="8" s="1"/>
  <c r="C134" i="8"/>
  <c r="C133" i="8"/>
  <c r="I103" i="8"/>
  <c r="I104" i="8" s="1"/>
  <c r="E127" i="8"/>
  <c r="U58" i="8"/>
  <c r="U56" i="8"/>
  <c r="U19" i="8"/>
  <c r="U57" i="8"/>
  <c r="U18" i="8"/>
  <c r="U17" i="8"/>
  <c r="W335" i="8"/>
  <c r="X67" i="8"/>
  <c r="F121" i="8"/>
  <c r="S80" i="4"/>
  <c r="U32" i="4"/>
  <c r="U33" i="4"/>
  <c r="U34" i="4"/>
  <c r="U35" i="4"/>
  <c r="U31" i="4"/>
  <c r="U30" i="4"/>
  <c r="T93" i="4"/>
  <c r="T361" i="4" s="1"/>
  <c r="T84" i="4"/>
  <c r="T92" i="4"/>
  <c r="T89" i="4"/>
  <c r="T91" i="4"/>
  <c r="T88" i="4"/>
  <c r="T85" i="4"/>
  <c r="T87" i="4"/>
  <c r="T86" i="4"/>
  <c r="T83" i="4"/>
  <c r="T90" i="4"/>
  <c r="F113" i="4"/>
  <c r="T81" i="4"/>
  <c r="T349" i="4" s="1"/>
  <c r="U29" i="4"/>
  <c r="U24" i="4"/>
  <c r="U27" i="4"/>
  <c r="U28" i="4"/>
  <c r="U26" i="4"/>
  <c r="U36" i="4"/>
  <c r="T14" i="4"/>
  <c r="T52" i="4"/>
  <c r="U48" i="4"/>
  <c r="T40" i="4"/>
  <c r="U47" i="4"/>
  <c r="T39" i="4"/>
  <c r="T42" i="4"/>
  <c r="U49" i="4"/>
  <c r="U43" i="4"/>
  <c r="U46" i="4"/>
  <c r="T38" i="4"/>
  <c r="U45" i="4"/>
  <c r="U51" i="4"/>
  <c r="U53" i="4" s="1"/>
  <c r="T41" i="4"/>
  <c r="U13" i="4"/>
  <c r="U14" i="4" s="1"/>
  <c r="U54" i="4"/>
  <c r="U6" i="4"/>
  <c r="U52" i="4"/>
  <c r="U15" i="4"/>
  <c r="U5" i="4"/>
  <c r="V3" i="8"/>
  <c r="G348" i="4"/>
  <c r="H102" i="4"/>
  <c r="X335" i="4"/>
  <c r="Y67" i="4"/>
  <c r="AB8" i="4"/>
  <c r="S56" i="4"/>
  <c r="S19" i="4"/>
  <c r="S58" i="4"/>
  <c r="S18" i="4"/>
  <c r="S57" i="4"/>
  <c r="S17" i="4"/>
  <c r="T2" i="4"/>
  <c r="N97" i="4"/>
  <c r="D124" i="4"/>
  <c r="D125" i="4" s="1"/>
  <c r="D126" i="4" s="1"/>
  <c r="O94" i="4"/>
  <c r="O96" i="4"/>
  <c r="Q62" i="4"/>
  <c r="Q20" i="4" s="1"/>
  <c r="Q21" i="4" s="1"/>
  <c r="Q61" i="4" s="1"/>
  <c r="Q63" i="4" s="1"/>
  <c r="P66" i="4"/>
  <c r="R59" i="4"/>
  <c r="G109" i="4"/>
  <c r="V2" i="8"/>
  <c r="U1" i="4"/>
  <c r="W1" i="8"/>
  <c r="U374" i="4"/>
  <c r="V3" i="4"/>
  <c r="M367" i="4"/>
  <c r="M376" i="4" s="1"/>
  <c r="M368" i="4"/>
  <c r="M377" i="4" s="1"/>
  <c r="U59" i="8" l="1"/>
  <c r="V80" i="8"/>
  <c r="F123" i="8"/>
  <c r="I106" i="8"/>
  <c r="I107" i="8" s="1"/>
  <c r="I105" i="8"/>
  <c r="R367" i="8"/>
  <c r="R376" i="8" s="1"/>
  <c r="R94" i="8"/>
  <c r="R368" i="8" s="1"/>
  <c r="R377" i="8" s="1"/>
  <c r="R96" i="8"/>
  <c r="D130" i="8"/>
  <c r="D131" i="8" s="1"/>
  <c r="C137" i="8"/>
  <c r="T62" i="8"/>
  <c r="T20" i="8" s="1"/>
  <c r="T21" i="8" s="1"/>
  <c r="T61" i="8" s="1"/>
  <c r="T63" i="8" s="1"/>
  <c r="S66" i="8"/>
  <c r="X335" i="8"/>
  <c r="Y67" i="8"/>
  <c r="V56" i="8"/>
  <c r="V57" i="8"/>
  <c r="V17" i="8"/>
  <c r="V19" i="8"/>
  <c r="V18" i="8"/>
  <c r="V58" i="8"/>
  <c r="Q97" i="8"/>
  <c r="G117" i="8"/>
  <c r="G286" i="8"/>
  <c r="G305" i="8" s="1"/>
  <c r="G345" i="8" s="1"/>
  <c r="G115" i="8"/>
  <c r="G116" i="8" s="1"/>
  <c r="Z8" i="8"/>
  <c r="T80" i="4"/>
  <c r="H103" i="4"/>
  <c r="H104" i="4" s="1"/>
  <c r="V31" i="4"/>
  <c r="V34" i="4"/>
  <c r="V32" i="4"/>
  <c r="V35" i="4"/>
  <c r="V33" i="4"/>
  <c r="V30" i="4"/>
  <c r="U88" i="4"/>
  <c r="U87" i="4"/>
  <c r="U86" i="4"/>
  <c r="U91" i="4"/>
  <c r="U83" i="4"/>
  <c r="U92" i="4"/>
  <c r="U84" i="4"/>
  <c r="U89" i="4"/>
  <c r="U93" i="4"/>
  <c r="U361" i="4" s="1"/>
  <c r="U90" i="4"/>
  <c r="U85" i="4"/>
  <c r="E121" i="4"/>
  <c r="E123" i="4" s="1"/>
  <c r="E124" i="4" s="1"/>
  <c r="E125" i="4" s="1"/>
  <c r="E126" i="4" s="1"/>
  <c r="E310" i="4"/>
  <c r="F119" i="4"/>
  <c r="F118" i="4"/>
  <c r="V29" i="4"/>
  <c r="U81" i="4"/>
  <c r="U349" i="4" s="1"/>
  <c r="V26" i="4"/>
  <c r="V24" i="4"/>
  <c r="V28" i="4"/>
  <c r="V27" i="4"/>
  <c r="V36" i="4"/>
  <c r="V54" i="4"/>
  <c r="V13" i="4"/>
  <c r="V14" i="4" s="1"/>
  <c r="V15" i="4"/>
  <c r="V6" i="4"/>
  <c r="V52" i="4"/>
  <c r="V5" i="4"/>
  <c r="W3" i="8"/>
  <c r="V47" i="4"/>
  <c r="U42" i="4"/>
  <c r="V46" i="4"/>
  <c r="U40" i="4"/>
  <c r="V45" i="4"/>
  <c r="U41" i="4"/>
  <c r="V49" i="4"/>
  <c r="U38" i="4"/>
  <c r="V43" i="4"/>
  <c r="V48" i="4"/>
  <c r="U39" i="4"/>
  <c r="V51" i="4"/>
  <c r="V53" i="4" s="1"/>
  <c r="P96" i="4"/>
  <c r="P94" i="4"/>
  <c r="S59" i="4"/>
  <c r="AC8" i="4"/>
  <c r="Y335" i="4"/>
  <c r="Z67" i="4"/>
  <c r="R62" i="4"/>
  <c r="R20" i="4" s="1"/>
  <c r="R21" i="4" s="1"/>
  <c r="R61" i="4" s="1"/>
  <c r="R63" i="4" s="1"/>
  <c r="Q66" i="4"/>
  <c r="T58" i="4"/>
  <c r="T56" i="4"/>
  <c r="T19" i="4"/>
  <c r="T57" i="4"/>
  <c r="T18" i="4"/>
  <c r="T17" i="4"/>
  <c r="U2" i="4"/>
  <c r="O97" i="4"/>
  <c r="G110" i="4"/>
  <c r="F114" i="4" s="1"/>
  <c r="F117" i="4" s="1"/>
  <c r="W2" i="8"/>
  <c r="X1" i="8"/>
  <c r="V1" i="4"/>
  <c r="V374" i="4"/>
  <c r="W3" i="4"/>
  <c r="N367" i="4"/>
  <c r="N376" i="4" s="1"/>
  <c r="N368" i="4"/>
  <c r="N377" i="4" s="1"/>
  <c r="W80" i="8" l="1"/>
  <c r="D287" i="8"/>
  <c r="D304" i="8" s="1"/>
  <c r="D344" i="8" s="1"/>
  <c r="D134" i="8"/>
  <c r="H113" i="8"/>
  <c r="G120" i="8"/>
  <c r="I109" i="8"/>
  <c r="D135" i="8"/>
  <c r="D136" i="8"/>
  <c r="D132" i="8"/>
  <c r="D133" i="8" s="1"/>
  <c r="E130" i="8" s="1"/>
  <c r="R97" i="8"/>
  <c r="V59" i="8"/>
  <c r="I348" i="8"/>
  <c r="J102" i="8"/>
  <c r="Y335" i="8"/>
  <c r="Z67" i="8"/>
  <c r="W57" i="8"/>
  <c r="W56" i="8"/>
  <c r="W19" i="8"/>
  <c r="W18" i="8"/>
  <c r="W17" i="8"/>
  <c r="W58" i="8"/>
  <c r="S367" i="8"/>
  <c r="S376" i="8" s="1"/>
  <c r="S96" i="8"/>
  <c r="S94" i="8"/>
  <c r="S368" i="8" s="1"/>
  <c r="S377" i="8" s="1"/>
  <c r="F124" i="8"/>
  <c r="F125" i="8" s="1"/>
  <c r="F126" i="8" s="1"/>
  <c r="U62" i="8"/>
  <c r="U20" i="8" s="1"/>
  <c r="U21" i="8" s="1"/>
  <c r="U61" i="8" s="1"/>
  <c r="U63" i="8" s="1"/>
  <c r="T66" i="8"/>
  <c r="AA8" i="8"/>
  <c r="C311" i="8"/>
  <c r="C328" i="8" s="1"/>
  <c r="C357" i="8" s="1"/>
  <c r="C138" i="8"/>
  <c r="U80" i="4"/>
  <c r="W32" i="4"/>
  <c r="W31" i="4"/>
  <c r="W35" i="4"/>
  <c r="W33" i="4"/>
  <c r="W30" i="4"/>
  <c r="W34" i="4"/>
  <c r="V93" i="4"/>
  <c r="V361" i="4" s="1"/>
  <c r="V89" i="4"/>
  <c r="V83" i="4"/>
  <c r="V90" i="4"/>
  <c r="V88" i="4"/>
  <c r="V92" i="4"/>
  <c r="V86" i="4"/>
  <c r="V91" i="4"/>
  <c r="V85" i="4"/>
  <c r="V84" i="4"/>
  <c r="V87" i="4"/>
  <c r="E329" i="4"/>
  <c r="F286" i="4"/>
  <c r="F305" i="4" s="1"/>
  <c r="F345" i="4" s="1"/>
  <c r="F115" i="4"/>
  <c r="F116" i="4" s="1"/>
  <c r="F120" i="4" s="1"/>
  <c r="V81" i="4"/>
  <c r="V349" i="4" s="1"/>
  <c r="W29" i="4"/>
  <c r="W24" i="4"/>
  <c r="W26" i="4"/>
  <c r="W27" i="4"/>
  <c r="W28" i="4"/>
  <c r="W36" i="4"/>
  <c r="W47" i="4"/>
  <c r="V39" i="4"/>
  <c r="W46" i="4"/>
  <c r="V38" i="4"/>
  <c r="W51" i="4"/>
  <c r="W53" i="4" s="1"/>
  <c r="V40" i="4"/>
  <c r="W43" i="4"/>
  <c r="W48" i="4"/>
  <c r="W49" i="4"/>
  <c r="V41" i="4"/>
  <c r="V42" i="4"/>
  <c r="W45" i="4"/>
  <c r="X3" i="8"/>
  <c r="W6" i="4"/>
  <c r="W54" i="4"/>
  <c r="W52" i="4"/>
  <c r="W5" i="4"/>
  <c r="W15" i="4"/>
  <c r="W13" i="4"/>
  <c r="W14" i="4" s="1"/>
  <c r="S62" i="4"/>
  <c r="S20" i="4" s="1"/>
  <c r="S21" i="4" s="1"/>
  <c r="S61" i="4" s="1"/>
  <c r="S63" i="4" s="1"/>
  <c r="R66" i="4"/>
  <c r="AD8" i="4"/>
  <c r="Q96" i="4"/>
  <c r="Q94" i="4"/>
  <c r="U18" i="4"/>
  <c r="U19" i="4"/>
  <c r="U56" i="4"/>
  <c r="U57" i="4"/>
  <c r="U58" i="4"/>
  <c r="U17" i="4"/>
  <c r="V2" i="4"/>
  <c r="Z335" i="4"/>
  <c r="AA67" i="4"/>
  <c r="P97" i="4"/>
  <c r="T59" i="4"/>
  <c r="H106" i="4"/>
  <c r="H107" i="4" s="1"/>
  <c r="H105" i="4"/>
  <c r="X2" i="8"/>
  <c r="X80" i="8" s="1"/>
  <c r="Y1" i="8"/>
  <c r="W1" i="4"/>
  <c r="X3" i="4"/>
  <c r="W374" i="4"/>
  <c r="O367" i="4"/>
  <c r="O376" i="4" s="1"/>
  <c r="O368" i="4"/>
  <c r="O377" i="4" s="1"/>
  <c r="E135" i="8" l="1"/>
  <c r="E136" i="8"/>
  <c r="S97" i="8"/>
  <c r="C140" i="8"/>
  <c r="J103" i="8"/>
  <c r="AB8" i="8"/>
  <c r="W59" i="8"/>
  <c r="T367" i="8"/>
  <c r="T376" i="8" s="1"/>
  <c r="T94" i="8"/>
  <c r="T368" i="8" s="1"/>
  <c r="T377" i="8" s="1"/>
  <c r="T96" i="8"/>
  <c r="V62" i="8"/>
  <c r="V20" i="8" s="1"/>
  <c r="V21" i="8" s="1"/>
  <c r="V61" i="8" s="1"/>
  <c r="V63" i="8" s="1"/>
  <c r="U66" i="8"/>
  <c r="I110" i="8"/>
  <c r="H114" i="8" s="1"/>
  <c r="X57" i="8"/>
  <c r="X19" i="8"/>
  <c r="X58" i="8"/>
  <c r="X18" i="8"/>
  <c r="X56" i="8"/>
  <c r="X17" i="8"/>
  <c r="F127" i="8"/>
  <c r="E131" i="8" s="1"/>
  <c r="Z335" i="8"/>
  <c r="AA67" i="8"/>
  <c r="D137" i="8"/>
  <c r="G310" i="8"/>
  <c r="G329" i="8" s="1"/>
  <c r="G358" i="8" s="1"/>
  <c r="G121" i="8"/>
  <c r="H118" i="8"/>
  <c r="H119" i="8"/>
  <c r="V80" i="4"/>
  <c r="X30" i="4"/>
  <c r="X34" i="4"/>
  <c r="X32" i="4"/>
  <c r="X31" i="4"/>
  <c r="X33" i="4"/>
  <c r="X35" i="4"/>
  <c r="W90" i="4"/>
  <c r="W88" i="4"/>
  <c r="W85" i="4"/>
  <c r="W89" i="4"/>
  <c r="W93" i="4"/>
  <c r="W361" i="4" s="1"/>
  <c r="W87" i="4"/>
  <c r="W92" i="4"/>
  <c r="W86" i="4"/>
  <c r="W83" i="4"/>
  <c r="W84" i="4"/>
  <c r="W91" i="4"/>
  <c r="X29" i="4"/>
  <c r="W81" i="4"/>
  <c r="W349" i="4" s="1"/>
  <c r="X24" i="4"/>
  <c r="X26" i="4"/>
  <c r="X28" i="4"/>
  <c r="X27" i="4"/>
  <c r="X36" i="4"/>
  <c r="Y3" i="8"/>
  <c r="X46" i="4"/>
  <c r="X49" i="4"/>
  <c r="W40" i="4"/>
  <c r="X43" i="4"/>
  <c r="W41" i="4"/>
  <c r="X47" i="4"/>
  <c r="X51" i="4"/>
  <c r="X53" i="4" s="1"/>
  <c r="X48" i="4"/>
  <c r="X45" i="4"/>
  <c r="W38" i="4"/>
  <c r="W42" i="4"/>
  <c r="W39" i="4"/>
  <c r="X15" i="4"/>
  <c r="X5" i="4"/>
  <c r="X52" i="4"/>
  <c r="X6" i="4"/>
  <c r="X13" i="4"/>
  <c r="X14" i="4" s="1"/>
  <c r="X54" i="4"/>
  <c r="G113" i="4"/>
  <c r="H109" i="4"/>
  <c r="Q97" i="4"/>
  <c r="AB67" i="4"/>
  <c r="AA335" i="4"/>
  <c r="AE8" i="4"/>
  <c r="V57" i="4"/>
  <c r="V17" i="4"/>
  <c r="V19" i="4"/>
  <c r="V56" i="4"/>
  <c r="V18" i="4"/>
  <c r="V58" i="4"/>
  <c r="W2" i="4"/>
  <c r="R96" i="4"/>
  <c r="R94" i="4"/>
  <c r="S66" i="4"/>
  <c r="T62" i="4"/>
  <c r="T20" i="4" s="1"/>
  <c r="T21" i="4" s="1"/>
  <c r="T61" i="4" s="1"/>
  <c r="T63" i="4" s="1"/>
  <c r="H348" i="4"/>
  <c r="I102" i="4"/>
  <c r="U59" i="4"/>
  <c r="Y2" i="8"/>
  <c r="X1" i="4"/>
  <c r="Z1" i="8"/>
  <c r="Y3" i="4"/>
  <c r="X374" i="4"/>
  <c r="P367" i="4"/>
  <c r="P376" i="4" s="1"/>
  <c r="P368" i="4"/>
  <c r="P377" i="4" s="1"/>
  <c r="X59" i="8" l="1"/>
  <c r="G123" i="8"/>
  <c r="H117" i="8"/>
  <c r="H286" i="8"/>
  <c r="H305" i="8" s="1"/>
  <c r="H345" i="8" s="1"/>
  <c r="U367" i="8"/>
  <c r="U376" i="8" s="1"/>
  <c r="U94" i="8"/>
  <c r="U368" i="8" s="1"/>
  <c r="U377" i="8" s="1"/>
  <c r="U96" i="8"/>
  <c r="Y56" i="8"/>
  <c r="Y57" i="8"/>
  <c r="Y19" i="8"/>
  <c r="Y58" i="8"/>
  <c r="Y18" i="8"/>
  <c r="Y17" i="8"/>
  <c r="C141" i="8"/>
  <c r="C142" i="8" s="1"/>
  <c r="C143" i="8" s="1"/>
  <c r="H115" i="8"/>
  <c r="H116" i="8" s="1"/>
  <c r="Y80" i="8"/>
  <c r="E132" i="8"/>
  <c r="E133" i="8" s="1"/>
  <c r="W62" i="8"/>
  <c r="W20" i="8" s="1"/>
  <c r="W21" i="8" s="1"/>
  <c r="W61" i="8" s="1"/>
  <c r="W63" i="8" s="1"/>
  <c r="V66" i="8"/>
  <c r="J106" i="8"/>
  <c r="J107" i="8" s="1"/>
  <c r="AC8" i="8"/>
  <c r="D311" i="8"/>
  <c r="D328" i="8" s="1"/>
  <c r="D357" i="8" s="1"/>
  <c r="J104" i="8"/>
  <c r="J105" i="8" s="1"/>
  <c r="E134" i="8"/>
  <c r="E287" i="8"/>
  <c r="E304" i="8" s="1"/>
  <c r="E344" i="8" s="1"/>
  <c r="T97" i="8"/>
  <c r="D138" i="8"/>
  <c r="AA335" i="8"/>
  <c r="AB67" i="8"/>
  <c r="W80" i="4"/>
  <c r="I103" i="4"/>
  <c r="Y35" i="4"/>
  <c r="Y31" i="4"/>
  <c r="Y33" i="4"/>
  <c r="Y32" i="4"/>
  <c r="Y30" i="4"/>
  <c r="Y34" i="4"/>
  <c r="X91" i="4"/>
  <c r="X90" i="4"/>
  <c r="X83" i="4"/>
  <c r="X89" i="4"/>
  <c r="X85" i="4"/>
  <c r="X88" i="4"/>
  <c r="X93" i="4"/>
  <c r="X361" i="4" s="1"/>
  <c r="X87" i="4"/>
  <c r="X92" i="4"/>
  <c r="X84" i="4"/>
  <c r="X86" i="4"/>
  <c r="F310" i="4"/>
  <c r="Y29" i="4"/>
  <c r="X81" i="4"/>
  <c r="X349" i="4" s="1"/>
  <c r="Y26" i="4"/>
  <c r="Y27" i="4"/>
  <c r="Y28" i="4"/>
  <c r="Y24" i="4"/>
  <c r="Y36" i="4"/>
  <c r="Y52" i="4"/>
  <c r="Y5" i="4"/>
  <c r="Y15" i="4"/>
  <c r="Y13" i="4"/>
  <c r="Y14" i="4" s="1"/>
  <c r="Y6" i="4"/>
  <c r="Y54" i="4"/>
  <c r="Z3" i="8"/>
  <c r="Y46" i="4"/>
  <c r="X38" i="4"/>
  <c r="Y45" i="4"/>
  <c r="Y43" i="4"/>
  <c r="Y51" i="4"/>
  <c r="Y53" i="4" s="1"/>
  <c r="X39" i="4"/>
  <c r="X41" i="4"/>
  <c r="Y47" i="4"/>
  <c r="X42" i="4"/>
  <c r="Y48" i="4"/>
  <c r="Y49" i="4"/>
  <c r="X40" i="4"/>
  <c r="V59" i="4"/>
  <c r="T66" i="4"/>
  <c r="U62" i="4"/>
  <c r="U20" i="4" s="1"/>
  <c r="U21" i="4" s="1"/>
  <c r="U61" i="4" s="1"/>
  <c r="U63" i="4" s="1"/>
  <c r="H110" i="4"/>
  <c r="G114" i="4" s="1"/>
  <c r="G117" i="4" s="1"/>
  <c r="S96" i="4"/>
  <c r="S94" i="4"/>
  <c r="AF8" i="4"/>
  <c r="W56" i="4"/>
  <c r="W18" i="4"/>
  <c r="W19" i="4"/>
  <c r="W17" i="4"/>
  <c r="W57" i="4"/>
  <c r="W58" i="4"/>
  <c r="X2" i="4"/>
  <c r="AB335" i="4"/>
  <c r="AC67" i="4"/>
  <c r="F121" i="4"/>
  <c r="R97" i="4"/>
  <c r="G119" i="4"/>
  <c r="G118" i="4"/>
  <c r="Z2" i="8"/>
  <c r="AA1" i="8"/>
  <c r="Y1" i="4"/>
  <c r="Y374" i="4"/>
  <c r="Z3" i="4"/>
  <c r="Q367" i="4"/>
  <c r="Q376" i="4" s="1"/>
  <c r="Q368" i="4"/>
  <c r="Q377" i="4" s="1"/>
  <c r="J348" i="8" l="1"/>
  <c r="K102" i="8"/>
  <c r="J109" i="8"/>
  <c r="F130" i="8"/>
  <c r="E137" i="8"/>
  <c r="E138" i="8" s="1"/>
  <c r="E140" i="8" s="1"/>
  <c r="H121" i="8"/>
  <c r="Z58" i="8"/>
  <c r="Z18" i="8"/>
  <c r="Z19" i="8"/>
  <c r="Z17" i="8"/>
  <c r="Z57" i="8"/>
  <c r="Z56" i="8"/>
  <c r="D140" i="8"/>
  <c r="I113" i="8"/>
  <c r="H120" i="8"/>
  <c r="H310" i="8" s="1"/>
  <c r="H329" i="8" s="1"/>
  <c r="H358" i="8" s="1"/>
  <c r="Z80" i="8"/>
  <c r="Y59" i="8"/>
  <c r="U97" i="8"/>
  <c r="AD8" i="8"/>
  <c r="C144" i="8"/>
  <c r="G124" i="8"/>
  <c r="G125" i="8" s="1"/>
  <c r="G126" i="8" s="1"/>
  <c r="V367" i="8"/>
  <c r="V376" i="8" s="1"/>
  <c r="V94" i="8"/>
  <c r="V368" i="8" s="1"/>
  <c r="V377" i="8" s="1"/>
  <c r="V96" i="8"/>
  <c r="AB335" i="8"/>
  <c r="AC67" i="8"/>
  <c r="X62" i="8"/>
  <c r="X20" i="8" s="1"/>
  <c r="X21" i="8" s="1"/>
  <c r="X61" i="8" s="1"/>
  <c r="X63" i="8" s="1"/>
  <c r="W66" i="8"/>
  <c r="I104" i="4"/>
  <c r="X80" i="4"/>
  <c r="Z30" i="4"/>
  <c r="Z32" i="4"/>
  <c r="Z31" i="4"/>
  <c r="Z35" i="4"/>
  <c r="Z34" i="4"/>
  <c r="Z33" i="4"/>
  <c r="Y91" i="4"/>
  <c r="Y87" i="4"/>
  <c r="Y92" i="4"/>
  <c r="Y88" i="4"/>
  <c r="Y84" i="4"/>
  <c r="Y83" i="4"/>
  <c r="Y90" i="4"/>
  <c r="Y86" i="4"/>
  <c r="Y93" i="4"/>
  <c r="Y361" i="4" s="1"/>
  <c r="Y89" i="4"/>
  <c r="Y85" i="4"/>
  <c r="F329" i="4"/>
  <c r="G286" i="4"/>
  <c r="G305" i="4" s="1"/>
  <c r="G345" i="4" s="1"/>
  <c r="G115" i="4"/>
  <c r="G116" i="4" s="1"/>
  <c r="G120" i="4" s="1"/>
  <c r="Z29" i="4"/>
  <c r="Y81" i="4"/>
  <c r="Y349" i="4" s="1"/>
  <c r="Z28" i="4"/>
  <c r="Z27" i="4"/>
  <c r="Z26" i="4"/>
  <c r="Z24" i="4"/>
  <c r="Z36" i="4"/>
  <c r="Z52" i="4"/>
  <c r="Z54" i="4"/>
  <c r="Z5" i="4"/>
  <c r="Z15" i="4"/>
  <c r="Z13" i="4"/>
  <c r="Z14" i="4" s="1"/>
  <c r="Z6" i="4"/>
  <c r="Z45" i="4"/>
  <c r="Z48" i="4"/>
  <c r="Z51" i="4"/>
  <c r="Z53" i="4" s="1"/>
  <c r="Z46" i="4"/>
  <c r="Y38" i="4"/>
  <c r="Z47" i="4"/>
  <c r="Y42" i="4"/>
  <c r="Y39" i="4"/>
  <c r="Z43" i="4"/>
  <c r="Z49" i="4"/>
  <c r="Y40" i="4"/>
  <c r="Y41" i="4"/>
  <c r="AA3" i="8"/>
  <c r="U66" i="4"/>
  <c r="V62" i="4"/>
  <c r="V20" i="4" s="1"/>
  <c r="V21" i="4" s="1"/>
  <c r="V61" i="4" s="1"/>
  <c r="V63" i="4" s="1"/>
  <c r="AG8" i="4"/>
  <c r="T96" i="4"/>
  <c r="T94" i="4"/>
  <c r="W59" i="4"/>
  <c r="AC335" i="4"/>
  <c r="AD67" i="4"/>
  <c r="I106" i="4"/>
  <c r="I107" i="4" s="1"/>
  <c r="F123" i="4"/>
  <c r="S97" i="4"/>
  <c r="X19" i="4"/>
  <c r="X56" i="4"/>
  <c r="X18" i="4"/>
  <c r="X58" i="4"/>
  <c r="X17" i="4"/>
  <c r="X57" i="4"/>
  <c r="Y2" i="4"/>
  <c r="AA2" i="8"/>
  <c r="Z1" i="4"/>
  <c r="AB1" i="8"/>
  <c r="Z374" i="4"/>
  <c r="AA3" i="4"/>
  <c r="R368" i="4"/>
  <c r="R377" i="4" s="1"/>
  <c r="R367" i="4"/>
  <c r="R376" i="4" s="1"/>
  <c r="I105" i="4" l="1"/>
  <c r="G127" i="8"/>
  <c r="F131" i="8" s="1"/>
  <c r="E141" i="8"/>
  <c r="E142" i="8" s="1"/>
  <c r="W367" i="8"/>
  <c r="W376" i="8" s="1"/>
  <c r="W94" i="8"/>
  <c r="W368" i="8" s="1"/>
  <c r="W377" i="8" s="1"/>
  <c r="W96" i="8"/>
  <c r="Z59" i="8"/>
  <c r="X66" i="8"/>
  <c r="Y62" i="8"/>
  <c r="Y20" i="8" s="1"/>
  <c r="Y21" i="8" s="1"/>
  <c r="Y61" i="8" s="1"/>
  <c r="Y63" i="8" s="1"/>
  <c r="AE8" i="8"/>
  <c r="AA80" i="8"/>
  <c r="J110" i="8"/>
  <c r="I114" i="8" s="1"/>
  <c r="AA18" i="8"/>
  <c r="AA17" i="8"/>
  <c r="AA58" i="8"/>
  <c r="AA56" i="8"/>
  <c r="AA19" i="8"/>
  <c r="AA57" i="8"/>
  <c r="I118" i="8"/>
  <c r="I119" i="8"/>
  <c r="H123" i="8"/>
  <c r="V97" i="8"/>
  <c r="E311" i="8"/>
  <c r="E328" i="8" s="1"/>
  <c r="E357" i="8" s="1"/>
  <c r="AC335" i="8"/>
  <c r="AD67" i="8"/>
  <c r="D141" i="8"/>
  <c r="D142" i="8" s="1"/>
  <c r="F135" i="8"/>
  <c r="F136" i="8"/>
  <c r="F132" i="8"/>
  <c r="F133" i="8" s="1"/>
  <c r="K103" i="8"/>
  <c r="K104" i="8" s="1"/>
  <c r="J102" i="4"/>
  <c r="J103" i="4" s="1"/>
  <c r="I348" i="4"/>
  <c r="Y80" i="4"/>
  <c r="AA33" i="4"/>
  <c r="AA35" i="4"/>
  <c r="AA34" i="4"/>
  <c r="AA32" i="4"/>
  <c r="AA30" i="4"/>
  <c r="AA31" i="4"/>
  <c r="Z88" i="4"/>
  <c r="Z93" i="4"/>
  <c r="Z361" i="4" s="1"/>
  <c r="Z89" i="4"/>
  <c r="Z85" i="4"/>
  <c r="Z84" i="4"/>
  <c r="Z92" i="4"/>
  <c r="Z87" i="4"/>
  <c r="Z91" i="4"/>
  <c r="Z83" i="4"/>
  <c r="Z86" i="4"/>
  <c r="Z90" i="4"/>
  <c r="Z81" i="4"/>
  <c r="Z349" i="4" s="1"/>
  <c r="AA29" i="4"/>
  <c r="AA24" i="4"/>
  <c r="AA27" i="4"/>
  <c r="AA28" i="4"/>
  <c r="AA26" i="4"/>
  <c r="AA36" i="4"/>
  <c r="AB3" i="8"/>
  <c r="AA45" i="4"/>
  <c r="AA43" i="4"/>
  <c r="AA51" i="4"/>
  <c r="AA53" i="4" s="1"/>
  <c r="AA46" i="4"/>
  <c r="Z38" i="4"/>
  <c r="AA49" i="4"/>
  <c r="Z41" i="4"/>
  <c r="AA47" i="4"/>
  <c r="Z42" i="4"/>
  <c r="Z39" i="4"/>
  <c r="AA48" i="4"/>
  <c r="Z40" i="4"/>
  <c r="AA52" i="4"/>
  <c r="AA54" i="4"/>
  <c r="AA5" i="4"/>
  <c r="AA6" i="4"/>
  <c r="AA15" i="4"/>
  <c r="AA13" i="4"/>
  <c r="AA14" i="4" s="1"/>
  <c r="H113" i="4"/>
  <c r="I109" i="4"/>
  <c r="V66" i="4"/>
  <c r="W62" i="4"/>
  <c r="W20" i="4" s="1"/>
  <c r="W21" i="4" s="1"/>
  <c r="W61" i="4" s="1"/>
  <c r="W63" i="4" s="1"/>
  <c r="F124" i="4"/>
  <c r="F125" i="4" s="1"/>
  <c r="F126" i="4" s="1"/>
  <c r="U96" i="4"/>
  <c r="U94" i="4"/>
  <c r="Y58" i="4"/>
  <c r="Y18" i="4"/>
  <c r="Y57" i="4"/>
  <c r="Y17" i="4"/>
  <c r="Y19" i="4"/>
  <c r="Y56" i="4"/>
  <c r="Z2" i="4"/>
  <c r="AD335" i="4"/>
  <c r="AE67" i="4"/>
  <c r="T97" i="4"/>
  <c r="X59" i="4"/>
  <c r="AH8" i="4"/>
  <c r="AB2" i="8"/>
  <c r="AC1" i="8"/>
  <c r="AA1" i="4"/>
  <c r="AB3" i="4"/>
  <c r="AA374" i="4"/>
  <c r="S367" i="4"/>
  <c r="S376" i="4" s="1"/>
  <c r="S368" i="4"/>
  <c r="S377" i="4" s="1"/>
  <c r="E143" i="8" l="1"/>
  <c r="D143" i="8"/>
  <c r="D144" i="8" s="1"/>
  <c r="C148" i="8" s="1"/>
  <c r="I115" i="8"/>
  <c r="I116" i="8" s="1"/>
  <c r="G130" i="8"/>
  <c r="F137" i="8"/>
  <c r="AD335" i="8"/>
  <c r="AE67" i="8"/>
  <c r="AF8" i="8"/>
  <c r="Y66" i="8"/>
  <c r="Z62" i="8"/>
  <c r="Z20" i="8" s="1"/>
  <c r="Z21" i="8" s="1"/>
  <c r="Z61" i="8" s="1"/>
  <c r="Z63" i="8" s="1"/>
  <c r="W97" i="8"/>
  <c r="H124" i="8"/>
  <c r="H125" i="8" s="1"/>
  <c r="H126" i="8" s="1"/>
  <c r="AA59" i="8"/>
  <c r="X367" i="8"/>
  <c r="X376" i="8" s="1"/>
  <c r="X94" i="8"/>
  <c r="X368" i="8" s="1"/>
  <c r="X377" i="8" s="1"/>
  <c r="X96" i="8"/>
  <c r="AB17" i="8"/>
  <c r="AB18" i="8"/>
  <c r="AB56" i="8"/>
  <c r="AB19" i="8"/>
  <c r="AB58" i="8"/>
  <c r="AB57" i="8"/>
  <c r="K106" i="8"/>
  <c r="K107" i="8" s="1"/>
  <c r="I117" i="8"/>
  <c r="I286" i="8"/>
  <c r="I305" i="8" s="1"/>
  <c r="I345" i="8" s="1"/>
  <c r="K105" i="8"/>
  <c r="F134" i="8"/>
  <c r="F287" i="8"/>
  <c r="F304" i="8" s="1"/>
  <c r="F344" i="8" s="1"/>
  <c r="AB80" i="8"/>
  <c r="Z80" i="4"/>
  <c r="J104" i="4"/>
  <c r="AB30" i="4"/>
  <c r="AB34" i="4"/>
  <c r="AB32" i="4"/>
  <c r="AB33" i="4"/>
  <c r="AB31" i="4"/>
  <c r="AB35" i="4"/>
  <c r="AA90" i="4"/>
  <c r="AA91" i="4"/>
  <c r="AA87" i="4"/>
  <c r="AA83" i="4"/>
  <c r="AA86" i="4"/>
  <c r="AA93" i="4"/>
  <c r="AA361" i="4" s="1"/>
  <c r="AA89" i="4"/>
  <c r="AA85" i="4"/>
  <c r="AA84" i="4"/>
  <c r="AA92" i="4"/>
  <c r="AA88" i="4"/>
  <c r="G121" i="4"/>
  <c r="G123" i="4" s="1"/>
  <c r="G124" i="4" s="1"/>
  <c r="G125" i="4" s="1"/>
  <c r="G126" i="4" s="1"/>
  <c r="G310" i="4"/>
  <c r="AB29" i="4"/>
  <c r="AA81" i="4"/>
  <c r="AA349" i="4" s="1"/>
  <c r="AB28" i="4"/>
  <c r="AB24" i="4"/>
  <c r="AB26" i="4"/>
  <c r="AB27" i="4"/>
  <c r="AB36" i="4"/>
  <c r="AC3" i="8"/>
  <c r="AB54" i="4"/>
  <c r="AB6" i="4"/>
  <c r="AB13" i="4"/>
  <c r="AB14" i="4" s="1"/>
  <c r="AB5" i="4"/>
  <c r="AB52" i="4"/>
  <c r="AB15" i="4"/>
  <c r="AB51" i="4"/>
  <c r="AB53" i="4" s="1"/>
  <c r="AA38" i="4"/>
  <c r="AB49" i="4"/>
  <c r="AA41" i="4"/>
  <c r="AA42" i="4"/>
  <c r="AB48" i="4"/>
  <c r="AB43" i="4"/>
  <c r="AB47" i="4"/>
  <c r="AB46" i="4"/>
  <c r="AA40" i="4"/>
  <c r="AA39" i="4"/>
  <c r="AB45" i="4"/>
  <c r="H118" i="4"/>
  <c r="H119" i="4"/>
  <c r="I110" i="4"/>
  <c r="H114" i="4" s="1"/>
  <c r="J106" i="4"/>
  <c r="J107" i="4" s="1"/>
  <c r="U97" i="4"/>
  <c r="W66" i="4"/>
  <c r="X62" i="4"/>
  <c r="X20" i="4" s="1"/>
  <c r="X21" i="4" s="1"/>
  <c r="X61" i="4" s="1"/>
  <c r="X63" i="4" s="1"/>
  <c r="Z19" i="4"/>
  <c r="Z58" i="4"/>
  <c r="Z18" i="4"/>
  <c r="Z57" i="4"/>
  <c r="Z17" i="4"/>
  <c r="Z56" i="4"/>
  <c r="AA2" i="4"/>
  <c r="V94" i="4"/>
  <c r="V96" i="4"/>
  <c r="AE335" i="4"/>
  <c r="AF67" i="4"/>
  <c r="AI8" i="4"/>
  <c r="Y59" i="4"/>
  <c r="AC2" i="8"/>
  <c r="AB1" i="4"/>
  <c r="AD1" i="8"/>
  <c r="AB374" i="4"/>
  <c r="AC3" i="4"/>
  <c r="T367" i="4"/>
  <c r="T376" i="4" s="1"/>
  <c r="T368" i="4"/>
  <c r="T377" i="4" s="1"/>
  <c r="J105" i="4" l="1"/>
  <c r="K102" i="4" s="1"/>
  <c r="J113" i="8"/>
  <c r="I120" i="8"/>
  <c r="I310" i="8" s="1"/>
  <c r="I329" i="8" s="1"/>
  <c r="I358" i="8" s="1"/>
  <c r="K109" i="8"/>
  <c r="H127" i="8"/>
  <c r="G131" i="8" s="1"/>
  <c r="G132" i="8" s="1"/>
  <c r="G133" i="8" s="1"/>
  <c r="K348" i="8"/>
  <c r="L102" i="8"/>
  <c r="AG8" i="8"/>
  <c r="AC17" i="8"/>
  <c r="AC56" i="8"/>
  <c r="AC18" i="8"/>
  <c r="AC58" i="8"/>
  <c r="AC57" i="8"/>
  <c r="AC19" i="8"/>
  <c r="X97" i="8"/>
  <c r="AF67" i="8"/>
  <c r="AE335" i="8"/>
  <c r="C288" i="8"/>
  <c r="C303" i="8" s="1"/>
  <c r="C343" i="8" s="1"/>
  <c r="C151" i="8"/>
  <c r="C150" i="8"/>
  <c r="E144" i="8"/>
  <c r="D148" i="8" s="1"/>
  <c r="D288" i="8" s="1"/>
  <c r="D303" i="8" s="1"/>
  <c r="D343" i="8" s="1"/>
  <c r="F311" i="8"/>
  <c r="F328" i="8" s="1"/>
  <c r="F357" i="8" s="1"/>
  <c r="AB59" i="8"/>
  <c r="G136" i="8"/>
  <c r="G135" i="8"/>
  <c r="AC80" i="8"/>
  <c r="F138" i="8"/>
  <c r="Z66" i="8"/>
  <c r="AA62" i="8"/>
  <c r="AA20" i="8" s="1"/>
  <c r="AA21" i="8" s="1"/>
  <c r="AA61" i="8" s="1"/>
  <c r="AA63" i="8" s="1"/>
  <c r="Y367" i="8"/>
  <c r="Y376" i="8" s="1"/>
  <c r="Y96" i="8"/>
  <c r="Y94" i="8"/>
  <c r="Y368" i="8" s="1"/>
  <c r="Y377" i="8" s="1"/>
  <c r="J119" i="8"/>
  <c r="J118" i="8"/>
  <c r="AA80" i="4"/>
  <c r="AC34" i="4"/>
  <c r="AC32" i="4"/>
  <c r="AC35" i="4"/>
  <c r="AC33" i="4"/>
  <c r="AC30" i="4"/>
  <c r="AC31" i="4"/>
  <c r="H286" i="4"/>
  <c r="H305" i="4" s="1"/>
  <c r="H345" i="4" s="1"/>
  <c r="H117" i="4"/>
  <c r="AB88" i="4"/>
  <c r="AB87" i="4"/>
  <c r="AB90" i="4"/>
  <c r="AB85" i="4"/>
  <c r="AB84" i="4"/>
  <c r="AB83" i="4"/>
  <c r="AB89" i="4"/>
  <c r="AB92" i="4"/>
  <c r="AB93" i="4"/>
  <c r="AB361" i="4" s="1"/>
  <c r="AB86" i="4"/>
  <c r="AB91" i="4"/>
  <c r="G329" i="4"/>
  <c r="H115" i="4"/>
  <c r="H116" i="4" s="1"/>
  <c r="H120" i="4" s="1"/>
  <c r="AC29" i="4"/>
  <c r="AB81" i="4"/>
  <c r="AB349" i="4" s="1"/>
  <c r="AC28" i="4"/>
  <c r="AC24" i="4"/>
  <c r="AC27" i="4"/>
  <c r="AC26" i="4"/>
  <c r="AC36" i="4"/>
  <c r="AD3" i="8"/>
  <c r="AC54" i="4"/>
  <c r="AC6" i="4"/>
  <c r="AC52" i="4"/>
  <c r="AC13" i="4"/>
  <c r="AC14" i="4" s="1"/>
  <c r="AC5" i="4"/>
  <c r="AC15" i="4"/>
  <c r="AC43" i="4"/>
  <c r="AC51" i="4"/>
  <c r="AC53" i="4" s="1"/>
  <c r="AC49" i="4"/>
  <c r="AB42" i="4"/>
  <c r="AB41" i="4"/>
  <c r="AC48" i="4"/>
  <c r="AB40" i="4"/>
  <c r="AB38" i="4"/>
  <c r="AC47" i="4"/>
  <c r="AC46" i="4"/>
  <c r="AB39" i="4"/>
  <c r="AC45" i="4"/>
  <c r="Z59" i="4"/>
  <c r="J109" i="4"/>
  <c r="V97" i="4"/>
  <c r="AA58" i="4"/>
  <c r="AA57" i="4"/>
  <c r="AA18" i="4"/>
  <c r="AA17" i="4"/>
  <c r="AA19" i="4"/>
  <c r="AA56" i="4"/>
  <c r="AB2" i="4"/>
  <c r="AJ8" i="4"/>
  <c r="AF335" i="4"/>
  <c r="AG67" i="4"/>
  <c r="Y62" i="4"/>
  <c r="Y20" i="4" s="1"/>
  <c r="Y21" i="4" s="1"/>
  <c r="Y61" i="4" s="1"/>
  <c r="Y63" i="4" s="1"/>
  <c r="X66" i="4"/>
  <c r="W96" i="4"/>
  <c r="W94" i="4"/>
  <c r="AD2" i="8"/>
  <c r="AC1" i="4"/>
  <c r="AE1" i="8"/>
  <c r="AD3" i="4"/>
  <c r="AC374" i="4"/>
  <c r="U367" i="4"/>
  <c r="U376" i="4" s="1"/>
  <c r="U368" i="4"/>
  <c r="U377" i="4" s="1"/>
  <c r="J348" i="4" l="1"/>
  <c r="I121" i="8"/>
  <c r="I123" i="8" s="1"/>
  <c r="AD80" i="8"/>
  <c r="H130" i="8"/>
  <c r="G137" i="8"/>
  <c r="AA66" i="8"/>
  <c r="AB62" i="8"/>
  <c r="AB20" i="8" s="1"/>
  <c r="AB21" i="8" s="1"/>
  <c r="AB61" i="8" s="1"/>
  <c r="AB63" i="8" s="1"/>
  <c r="Z367" i="8"/>
  <c r="Z376" i="8" s="1"/>
  <c r="Z96" i="8"/>
  <c r="Z94" i="8"/>
  <c r="Z368" i="8" s="1"/>
  <c r="Z377" i="8" s="1"/>
  <c r="F140" i="8"/>
  <c r="AH8" i="8"/>
  <c r="L103" i="8"/>
  <c r="L104" i="8" s="1"/>
  <c r="I124" i="8"/>
  <c r="I125" i="8" s="1"/>
  <c r="I126" i="8" s="1"/>
  <c r="K110" i="8"/>
  <c r="J114" i="8" s="1"/>
  <c r="G134" i="8"/>
  <c r="G287" i="8"/>
  <c r="G304" i="8" s="1"/>
  <c r="G344" i="8" s="1"/>
  <c r="AF335" i="8"/>
  <c r="AG67" i="8"/>
  <c r="AD57" i="8"/>
  <c r="AD19" i="8"/>
  <c r="AD17" i="8"/>
  <c r="AD56" i="8"/>
  <c r="AD18" i="8"/>
  <c r="AD58" i="8"/>
  <c r="D151" i="8"/>
  <c r="Y97" i="8"/>
  <c r="D147" i="8"/>
  <c r="C154" i="8"/>
  <c r="AC59" i="8"/>
  <c r="AB80" i="4"/>
  <c r="K103" i="4"/>
  <c r="K104" i="4" s="1"/>
  <c r="AD30" i="4"/>
  <c r="AD35" i="4"/>
  <c r="AD31" i="4"/>
  <c r="AD33" i="4"/>
  <c r="AD34" i="4"/>
  <c r="AD32" i="4"/>
  <c r="AC90" i="4"/>
  <c r="AC91" i="4"/>
  <c r="AC84" i="4"/>
  <c r="AC93" i="4"/>
  <c r="AC361" i="4" s="1"/>
  <c r="AC88" i="4"/>
  <c r="AC87" i="4"/>
  <c r="AC86" i="4"/>
  <c r="AC89" i="4"/>
  <c r="AC85" i="4"/>
  <c r="AC92" i="4"/>
  <c r="AC83" i="4"/>
  <c r="AC81" i="4"/>
  <c r="AC349" i="4" s="1"/>
  <c r="AD29" i="4"/>
  <c r="AD24" i="4"/>
  <c r="AD27" i="4"/>
  <c r="AD26" i="4"/>
  <c r="AD28" i="4"/>
  <c r="AD36" i="4"/>
  <c r="AE3" i="8"/>
  <c r="AD15" i="4"/>
  <c r="AD52" i="4"/>
  <c r="AD5" i="4"/>
  <c r="AD13" i="4"/>
  <c r="AD14" i="4" s="1"/>
  <c r="AD6" i="4"/>
  <c r="AD51" i="4"/>
  <c r="AD54" i="4" s="1"/>
  <c r="AD49" i="4"/>
  <c r="AC41" i="4"/>
  <c r="AD48" i="4"/>
  <c r="AD45" i="4"/>
  <c r="AC39" i="4"/>
  <c r="AC42" i="4"/>
  <c r="AD43" i="4"/>
  <c r="AC40" i="4"/>
  <c r="AD46" i="4"/>
  <c r="AC38" i="4"/>
  <c r="AD47" i="4"/>
  <c r="AA59" i="4"/>
  <c r="I113" i="4"/>
  <c r="H310" i="4"/>
  <c r="AG335" i="4"/>
  <c r="AH67" i="4"/>
  <c r="X94" i="4"/>
  <c r="X96" i="4"/>
  <c r="W97" i="4"/>
  <c r="Y66" i="4"/>
  <c r="Z62" i="4"/>
  <c r="Z20" i="4" s="1"/>
  <c r="Z21" i="4" s="1"/>
  <c r="Z61" i="4" s="1"/>
  <c r="Z63" i="4" s="1"/>
  <c r="AK8" i="4"/>
  <c r="AB18" i="4"/>
  <c r="AB57" i="4"/>
  <c r="AB17" i="4"/>
  <c r="AB58" i="4"/>
  <c r="AB19" i="4"/>
  <c r="AB56" i="4"/>
  <c r="AC2" i="4"/>
  <c r="J110" i="4"/>
  <c r="I114" i="4" s="1"/>
  <c r="AE2" i="8"/>
  <c r="AF1" i="8"/>
  <c r="AD1" i="4"/>
  <c r="AE3" i="4"/>
  <c r="AD374" i="4"/>
  <c r="V367" i="4"/>
  <c r="V376" i="4" s="1"/>
  <c r="V368" i="4"/>
  <c r="V377" i="4" s="1"/>
  <c r="G138" i="8" l="1"/>
  <c r="G140" i="8" s="1"/>
  <c r="AI8" i="8"/>
  <c r="AG335" i="8"/>
  <c r="AH67" i="8"/>
  <c r="F141" i="8"/>
  <c r="F142" i="8" s="1"/>
  <c r="F143" i="8" s="1"/>
  <c r="J117" i="8"/>
  <c r="J286" i="8"/>
  <c r="J305" i="8" s="1"/>
  <c r="J345" i="8" s="1"/>
  <c r="J115" i="8"/>
  <c r="J116" i="8" s="1"/>
  <c r="Z97" i="8"/>
  <c r="AE58" i="8"/>
  <c r="AE17" i="8"/>
  <c r="AE57" i="8"/>
  <c r="AE56" i="8"/>
  <c r="AE18" i="8"/>
  <c r="AE19" i="8"/>
  <c r="AB66" i="8"/>
  <c r="AC62" i="8"/>
  <c r="AC20" i="8" s="1"/>
  <c r="AC21" i="8" s="1"/>
  <c r="AC61" i="8" s="1"/>
  <c r="AC63" i="8" s="1"/>
  <c r="I127" i="8"/>
  <c r="H131" i="8" s="1"/>
  <c r="C312" i="8"/>
  <c r="C327" i="8" s="1"/>
  <c r="C356" i="8" s="1"/>
  <c r="AD59" i="8"/>
  <c r="G311" i="8"/>
  <c r="G328" i="8" s="1"/>
  <c r="G357" i="8" s="1"/>
  <c r="L106" i="8"/>
  <c r="L107" i="8" s="1"/>
  <c r="D152" i="8"/>
  <c r="D153" i="8"/>
  <c r="D149" i="8"/>
  <c r="D150" i="8" s="1"/>
  <c r="E147" i="8" s="1"/>
  <c r="L105" i="8"/>
  <c r="H135" i="8"/>
  <c r="H136" i="8"/>
  <c r="AE80" i="8"/>
  <c r="AA367" i="8"/>
  <c r="AA376" i="8" s="1"/>
  <c r="AA96" i="8"/>
  <c r="AA94" i="8"/>
  <c r="AA368" i="8" s="1"/>
  <c r="AA377" i="8" s="1"/>
  <c r="C155" i="8"/>
  <c r="AC80" i="4"/>
  <c r="AE35" i="4"/>
  <c r="AE31" i="4"/>
  <c r="AE30" i="4"/>
  <c r="AE34" i="4"/>
  <c r="AE33" i="4"/>
  <c r="AE32" i="4"/>
  <c r="I286" i="4"/>
  <c r="I305" i="4" s="1"/>
  <c r="I345" i="4" s="1"/>
  <c r="I117" i="4"/>
  <c r="AD88" i="4"/>
  <c r="AD92" i="4"/>
  <c r="AD89" i="4"/>
  <c r="AD91" i="4"/>
  <c r="AD84" i="4"/>
  <c r="AD90" i="4"/>
  <c r="AD86" i="4"/>
  <c r="AD87" i="4"/>
  <c r="AD85" i="4"/>
  <c r="AD93" i="4"/>
  <c r="AD361" i="4" s="1"/>
  <c r="AD83" i="4"/>
  <c r="H329" i="4"/>
  <c r="I115" i="4"/>
  <c r="I116" i="4" s="1"/>
  <c r="J113" i="4" s="1"/>
  <c r="AE29" i="4"/>
  <c r="AD81" i="4"/>
  <c r="AD349" i="4" s="1"/>
  <c r="AE24" i="4"/>
  <c r="AE26" i="4"/>
  <c r="AE28" i="4"/>
  <c r="AE27" i="4"/>
  <c r="AE36" i="4"/>
  <c r="AD53" i="4"/>
  <c r="AE49" i="4"/>
  <c r="AD42" i="4"/>
  <c r="AE48" i="4"/>
  <c r="AD40" i="4"/>
  <c r="AE45" i="4"/>
  <c r="AD39" i="4"/>
  <c r="AE43" i="4"/>
  <c r="AD38" i="4"/>
  <c r="AE47" i="4"/>
  <c r="AD41" i="4"/>
  <c r="AE51" i="4"/>
  <c r="AE54" i="4" s="1"/>
  <c r="AE46" i="4"/>
  <c r="AF3" i="8"/>
  <c r="AE53" i="4"/>
  <c r="AE15" i="4"/>
  <c r="AE52" i="4"/>
  <c r="AE13" i="4"/>
  <c r="AE14" i="4" s="1"/>
  <c r="AE5" i="4"/>
  <c r="AE6" i="4"/>
  <c r="H121" i="4"/>
  <c r="H123" i="4" s="1"/>
  <c r="AB59" i="4"/>
  <c r="AL8" i="4"/>
  <c r="AA62" i="4"/>
  <c r="AA20" i="4" s="1"/>
  <c r="AA21" i="4" s="1"/>
  <c r="AA61" i="4" s="1"/>
  <c r="AA63" i="4" s="1"/>
  <c r="Z66" i="4"/>
  <c r="Y96" i="4"/>
  <c r="Y94" i="4"/>
  <c r="K106" i="4"/>
  <c r="K107" i="4" s="1"/>
  <c r="K105" i="4"/>
  <c r="I119" i="4"/>
  <c r="I118" i="4"/>
  <c r="AH335" i="4"/>
  <c r="AI67" i="4"/>
  <c r="X97" i="4"/>
  <c r="AC57" i="4"/>
  <c r="AC56" i="4"/>
  <c r="AC58" i="4"/>
  <c r="AC17" i="4"/>
  <c r="AC19" i="4"/>
  <c r="AC18" i="4"/>
  <c r="AD2" i="4"/>
  <c r="AF2" i="8"/>
  <c r="AE1" i="4"/>
  <c r="AG1" i="8"/>
  <c r="AE374" i="4"/>
  <c r="AF3" i="4"/>
  <c r="W367" i="4"/>
  <c r="W376" i="4" s="1"/>
  <c r="W368" i="4"/>
  <c r="W377" i="4" s="1"/>
  <c r="H132" i="8" l="1"/>
  <c r="H133" i="8" s="1"/>
  <c r="K113" i="8"/>
  <c r="J120" i="8"/>
  <c r="J310" i="8" s="1"/>
  <c r="J329" i="8" s="1"/>
  <c r="J358" i="8" s="1"/>
  <c r="F144" i="8"/>
  <c r="E148" i="8" s="1"/>
  <c r="E149" i="8" s="1"/>
  <c r="E150" i="8" s="1"/>
  <c r="AF18" i="8"/>
  <c r="AF58" i="8"/>
  <c r="AF56" i="8"/>
  <c r="AF57" i="8"/>
  <c r="AF19" i="8"/>
  <c r="AF17" i="8"/>
  <c r="AB367" i="8"/>
  <c r="AB376" i="8" s="1"/>
  <c r="AB96" i="8"/>
  <c r="AB94" i="8"/>
  <c r="AB368" i="8" s="1"/>
  <c r="AB377" i="8" s="1"/>
  <c r="L348" i="8"/>
  <c r="M102" i="8"/>
  <c r="C157" i="8"/>
  <c r="AE59" i="8"/>
  <c r="E153" i="8"/>
  <c r="E152" i="8"/>
  <c r="AA97" i="8"/>
  <c r="AH335" i="8"/>
  <c r="AI67" i="8"/>
  <c r="D154" i="8"/>
  <c r="AF80" i="8"/>
  <c r="L109" i="8"/>
  <c r="AJ8" i="8"/>
  <c r="H134" i="8"/>
  <c r="H287" i="8"/>
  <c r="H304" i="8" s="1"/>
  <c r="H344" i="8" s="1"/>
  <c r="AD62" i="8"/>
  <c r="AD20" i="8" s="1"/>
  <c r="AD21" i="8" s="1"/>
  <c r="AD61" i="8" s="1"/>
  <c r="AD63" i="8" s="1"/>
  <c r="AC66" i="8"/>
  <c r="G141" i="8"/>
  <c r="G142" i="8" s="1"/>
  <c r="G143" i="8" s="1"/>
  <c r="AD80" i="4"/>
  <c r="AF30" i="4"/>
  <c r="AF34" i="4"/>
  <c r="AF33" i="4"/>
  <c r="AF32" i="4"/>
  <c r="AF35" i="4"/>
  <c r="AF31" i="4"/>
  <c r="AE93" i="4"/>
  <c r="AE361" i="4" s="1"/>
  <c r="AE91" i="4"/>
  <c r="AE85" i="4"/>
  <c r="AE86" i="4"/>
  <c r="AE89" i="4"/>
  <c r="AE87" i="4"/>
  <c r="AE90" i="4"/>
  <c r="AE92" i="4"/>
  <c r="AE83" i="4"/>
  <c r="AE84" i="4"/>
  <c r="AE88" i="4"/>
  <c r="I120" i="4"/>
  <c r="I310" i="4" s="1"/>
  <c r="AE81" i="4"/>
  <c r="AE349" i="4" s="1"/>
  <c r="AF29" i="4"/>
  <c r="AF24" i="4"/>
  <c r="AF28" i="4"/>
  <c r="AF27" i="4"/>
  <c r="AF26" i="4"/>
  <c r="AF36" i="4"/>
  <c r="AG3" i="8"/>
  <c r="AF52" i="4"/>
  <c r="AF13" i="4"/>
  <c r="AF14" i="4" s="1"/>
  <c r="AF15" i="4"/>
  <c r="AF53" i="4"/>
  <c r="AF5" i="4"/>
  <c r="AF6" i="4"/>
  <c r="AE41" i="4"/>
  <c r="AF48" i="4"/>
  <c r="AF49" i="4"/>
  <c r="AF45" i="4"/>
  <c r="AE39" i="4"/>
  <c r="AF47" i="4"/>
  <c r="AF46" i="4"/>
  <c r="AF43" i="4"/>
  <c r="AE38" i="4"/>
  <c r="AE42" i="4"/>
  <c r="AE40" i="4"/>
  <c r="AF51" i="4"/>
  <c r="AF54" i="4" s="1"/>
  <c r="AC59" i="4"/>
  <c r="K109" i="4"/>
  <c r="J118" i="4"/>
  <c r="J119" i="4"/>
  <c r="Y97" i="4"/>
  <c r="Z96" i="4"/>
  <c r="Z94" i="4"/>
  <c r="AB62" i="4"/>
  <c r="AB20" i="4" s="1"/>
  <c r="AB21" i="4" s="1"/>
  <c r="AB61" i="4" s="1"/>
  <c r="AB63" i="4" s="1"/>
  <c r="AA66" i="4"/>
  <c r="AM8" i="4"/>
  <c r="K348" i="4"/>
  <c r="L102" i="4"/>
  <c r="AD17" i="4"/>
  <c r="AD56" i="4"/>
  <c r="AD58" i="4"/>
  <c r="AD57" i="4"/>
  <c r="AD19" i="4"/>
  <c r="AD18" i="4"/>
  <c r="AE2" i="4"/>
  <c r="H124" i="4"/>
  <c r="H125" i="4" s="1"/>
  <c r="H126" i="4" s="1"/>
  <c r="AI335" i="4"/>
  <c r="AJ67" i="4"/>
  <c r="AG2" i="8"/>
  <c r="AH1" i="8"/>
  <c r="AF1" i="4"/>
  <c r="AF374" i="4"/>
  <c r="AG3" i="4"/>
  <c r="X367" i="4"/>
  <c r="X376" i="4" s="1"/>
  <c r="X368" i="4"/>
  <c r="X377" i="4" s="1"/>
  <c r="I130" i="8" l="1"/>
  <c r="H137" i="8"/>
  <c r="H311" i="8" s="1"/>
  <c r="H328" i="8" s="1"/>
  <c r="H357" i="8" s="1"/>
  <c r="G144" i="8"/>
  <c r="F147" i="8"/>
  <c r="E154" i="8"/>
  <c r="E312" i="8" s="1"/>
  <c r="E327" i="8" s="1"/>
  <c r="E356" i="8" s="1"/>
  <c r="C158" i="8"/>
  <c r="C159" i="8" s="1"/>
  <c r="C160" i="8" s="1"/>
  <c r="M103" i="8"/>
  <c r="L110" i="8"/>
  <c r="K114" i="8" s="1"/>
  <c r="AF59" i="8"/>
  <c r="E151" i="8"/>
  <c r="E288" i="8"/>
  <c r="E303" i="8" s="1"/>
  <c r="E343" i="8" s="1"/>
  <c r="AK8" i="8"/>
  <c r="AC367" i="8"/>
  <c r="AC376" i="8" s="1"/>
  <c r="AC96" i="8"/>
  <c r="AC94" i="8"/>
  <c r="AC368" i="8" s="1"/>
  <c r="AC377" i="8" s="1"/>
  <c r="AG80" i="8"/>
  <c r="K119" i="8"/>
  <c r="K118" i="8"/>
  <c r="AB97" i="8"/>
  <c r="AE62" i="8"/>
  <c r="AE20" i="8" s="1"/>
  <c r="AE21" i="8" s="1"/>
  <c r="AE61" i="8" s="1"/>
  <c r="AE63" i="8" s="1"/>
  <c r="AD66" i="8"/>
  <c r="D312" i="8"/>
  <c r="D327" i="8" s="1"/>
  <c r="D356" i="8" s="1"/>
  <c r="D155" i="8"/>
  <c r="AG58" i="8"/>
  <c r="AG56" i="8"/>
  <c r="AG57" i="8"/>
  <c r="AG17" i="8"/>
  <c r="AG18" i="8"/>
  <c r="AG19" i="8"/>
  <c r="AI335" i="8"/>
  <c r="AJ67" i="8"/>
  <c r="J121" i="8"/>
  <c r="AE80" i="4"/>
  <c r="L103" i="4"/>
  <c r="L104" i="4" s="1"/>
  <c r="AG32" i="4"/>
  <c r="AG30" i="4"/>
  <c r="AG33" i="4"/>
  <c r="AG35" i="4"/>
  <c r="AG31" i="4"/>
  <c r="AG34" i="4"/>
  <c r="AF89" i="4"/>
  <c r="AF83" i="4"/>
  <c r="AF92" i="4"/>
  <c r="AF90" i="4"/>
  <c r="AF87" i="4"/>
  <c r="AF86" i="4"/>
  <c r="AF88" i="4"/>
  <c r="AF85" i="4"/>
  <c r="AF91" i="4"/>
  <c r="AF93" i="4"/>
  <c r="AF361" i="4" s="1"/>
  <c r="AF84" i="4"/>
  <c r="I329" i="4"/>
  <c r="AF81" i="4"/>
  <c r="AF349" i="4" s="1"/>
  <c r="AG29" i="4"/>
  <c r="AG27" i="4"/>
  <c r="AG26" i="4"/>
  <c r="AG24" i="4"/>
  <c r="AG28" i="4"/>
  <c r="AG36" i="4"/>
  <c r="AH3" i="8"/>
  <c r="AG48" i="4"/>
  <c r="AF40" i="4"/>
  <c r="AG47" i="4"/>
  <c r="AF39" i="4"/>
  <c r="AF38" i="4"/>
  <c r="AG43" i="4"/>
  <c r="AG51" i="4"/>
  <c r="AG54" i="4" s="1"/>
  <c r="AG45" i="4"/>
  <c r="AG46" i="4"/>
  <c r="AF41" i="4"/>
  <c r="AG49" i="4"/>
  <c r="AF42" i="4"/>
  <c r="AG52" i="4"/>
  <c r="AG53" i="4"/>
  <c r="AG13" i="4"/>
  <c r="AG14" i="4" s="1"/>
  <c r="AG5" i="4"/>
  <c r="AG15" i="4"/>
  <c r="AG6" i="4"/>
  <c r="K110" i="4"/>
  <c r="J114" i="4" s="1"/>
  <c r="AA94" i="4"/>
  <c r="AA96" i="4"/>
  <c r="AE56" i="4"/>
  <c r="AE19" i="4"/>
  <c r="AE58" i="4"/>
  <c r="AE57" i="4"/>
  <c r="AE17" i="4"/>
  <c r="AE18" i="4"/>
  <c r="AF2" i="4"/>
  <c r="AC62" i="4"/>
  <c r="AC20" i="4" s="1"/>
  <c r="AC21" i="4" s="1"/>
  <c r="AC61" i="4" s="1"/>
  <c r="AC63" i="4" s="1"/>
  <c r="AB66" i="4"/>
  <c r="Z97" i="4"/>
  <c r="AJ335" i="4"/>
  <c r="AK67" i="4"/>
  <c r="AD59" i="4"/>
  <c r="I121" i="4"/>
  <c r="AH2" i="8"/>
  <c r="AG1" i="4"/>
  <c r="AI1" i="8"/>
  <c r="AG374" i="4"/>
  <c r="AH3" i="4"/>
  <c r="Y367" i="4"/>
  <c r="Y376" i="4" s="1"/>
  <c r="Y368" i="4"/>
  <c r="Y377" i="4" s="1"/>
  <c r="E155" i="8" l="1"/>
  <c r="I135" i="8"/>
  <c r="I136" i="8"/>
  <c r="H138" i="8"/>
  <c r="H140" i="8" s="1"/>
  <c r="H141" i="8" s="1"/>
  <c r="H142" i="8" s="1"/>
  <c r="H143" i="8" s="1"/>
  <c r="C161" i="8"/>
  <c r="AH56" i="8"/>
  <c r="AH17" i="8"/>
  <c r="AH57" i="8"/>
  <c r="AH58" i="8"/>
  <c r="AH18" i="8"/>
  <c r="AH19" i="8"/>
  <c r="K117" i="8"/>
  <c r="K286" i="8"/>
  <c r="K305" i="8" s="1"/>
  <c r="K345" i="8" s="1"/>
  <c r="AH80" i="8"/>
  <c r="M106" i="8"/>
  <c r="M107" i="8" s="1"/>
  <c r="M104" i="8"/>
  <c r="AG59" i="8"/>
  <c r="J123" i="8"/>
  <c r="AD367" i="8"/>
  <c r="AD376" i="8" s="1"/>
  <c r="AD94" i="8"/>
  <c r="AD368" i="8" s="1"/>
  <c r="AD377" i="8" s="1"/>
  <c r="AD96" i="8"/>
  <c r="M105" i="8"/>
  <c r="AF62" i="8"/>
  <c r="AF20" i="8" s="1"/>
  <c r="AF21" i="8" s="1"/>
  <c r="AF61" i="8" s="1"/>
  <c r="AF63" i="8" s="1"/>
  <c r="AE66" i="8"/>
  <c r="AJ335" i="8"/>
  <c r="AK67" i="8"/>
  <c r="D157" i="8"/>
  <c r="E157" i="8"/>
  <c r="AC97" i="8"/>
  <c r="AL8" i="8"/>
  <c r="F153" i="8"/>
  <c r="F152" i="8"/>
  <c r="K115" i="8"/>
  <c r="K116" i="8" s="1"/>
  <c r="F148" i="8"/>
  <c r="AF80" i="4"/>
  <c r="AH34" i="4"/>
  <c r="AH35" i="4"/>
  <c r="AH30" i="4"/>
  <c r="AH33" i="4"/>
  <c r="AH32" i="4"/>
  <c r="AH31" i="4"/>
  <c r="J286" i="4"/>
  <c r="J305" i="4" s="1"/>
  <c r="J345" i="4" s="1"/>
  <c r="J117" i="4"/>
  <c r="AG86" i="4"/>
  <c r="AG91" i="4"/>
  <c r="AG90" i="4"/>
  <c r="AG83" i="4"/>
  <c r="AG89" i="4"/>
  <c r="AG87" i="4"/>
  <c r="AG85" i="4"/>
  <c r="AG88" i="4"/>
  <c r="AG92" i="4"/>
  <c r="AG84" i="4"/>
  <c r="AG93" i="4"/>
  <c r="AG361" i="4" s="1"/>
  <c r="J115" i="4"/>
  <c r="J116" i="4" s="1"/>
  <c r="J120" i="4" s="1"/>
  <c r="AG81" i="4"/>
  <c r="AG349" i="4" s="1"/>
  <c r="AH29" i="4"/>
  <c r="AH28" i="4"/>
  <c r="AH27" i="4"/>
  <c r="AH24" i="4"/>
  <c r="AH26" i="4"/>
  <c r="AH36" i="4"/>
  <c r="AI3" i="8"/>
  <c r="AH13" i="4"/>
  <c r="AH14" i="4" s="1"/>
  <c r="AH52" i="4"/>
  <c r="AH15" i="4"/>
  <c r="AH53" i="4"/>
  <c r="AH6" i="4"/>
  <c r="AH5" i="4"/>
  <c r="AH47" i="4"/>
  <c r="AH48" i="4"/>
  <c r="AG42" i="4"/>
  <c r="AG38" i="4"/>
  <c r="AH51" i="4"/>
  <c r="AH54" i="4" s="1"/>
  <c r="AH45" i="4"/>
  <c r="AG39" i="4"/>
  <c r="AG41" i="4"/>
  <c r="AG40" i="4"/>
  <c r="AH49" i="4"/>
  <c r="AH43" i="4"/>
  <c r="AH46" i="4"/>
  <c r="AE59" i="4"/>
  <c r="AA97" i="4"/>
  <c r="L106" i="4"/>
  <c r="L107" i="4" s="1"/>
  <c r="AD62" i="4"/>
  <c r="AD20" i="4" s="1"/>
  <c r="AD21" i="4" s="1"/>
  <c r="AD61" i="4" s="1"/>
  <c r="AD63" i="4" s="1"/>
  <c r="AC66" i="4"/>
  <c r="L105" i="4"/>
  <c r="I123" i="4"/>
  <c r="AB94" i="4"/>
  <c r="AB96" i="4"/>
  <c r="AF58" i="4"/>
  <c r="AF57" i="4"/>
  <c r="AF17" i="4"/>
  <c r="AF56" i="4"/>
  <c r="AF18" i="4"/>
  <c r="AF19" i="4"/>
  <c r="AG2" i="4"/>
  <c r="AK335" i="4"/>
  <c r="AL67" i="4"/>
  <c r="AI2" i="8"/>
  <c r="AJ1" i="8"/>
  <c r="AH1" i="4"/>
  <c r="AI3" i="4"/>
  <c r="AH374" i="4"/>
  <c r="Z367" i="4"/>
  <c r="Z376" i="4" s="1"/>
  <c r="Z368" i="4"/>
  <c r="Z377" i="4" s="1"/>
  <c r="F149" i="8" l="1"/>
  <c r="F150" i="8" s="1"/>
  <c r="AH59" i="8"/>
  <c r="H144" i="8"/>
  <c r="L113" i="8"/>
  <c r="K120" i="8"/>
  <c r="K310" i="8" s="1"/>
  <c r="K329" i="8" s="1"/>
  <c r="K358" i="8" s="1"/>
  <c r="AD97" i="8"/>
  <c r="M348" i="8"/>
  <c r="N102" i="8"/>
  <c r="D158" i="8"/>
  <c r="D159" i="8" s="1"/>
  <c r="D160" i="8" s="1"/>
  <c r="J124" i="8"/>
  <c r="J125" i="8" s="1"/>
  <c r="J126" i="8" s="1"/>
  <c r="AK335" i="8"/>
  <c r="AL67" i="8"/>
  <c r="E158" i="8"/>
  <c r="E159" i="8" s="1"/>
  <c r="F151" i="8"/>
  <c r="F288" i="8"/>
  <c r="F303" i="8" s="1"/>
  <c r="F343" i="8" s="1"/>
  <c r="AM8" i="8"/>
  <c r="AI57" i="8"/>
  <c r="AI56" i="8"/>
  <c r="AI19" i="8"/>
  <c r="AI58" i="8"/>
  <c r="AI17" i="8"/>
  <c r="AI18" i="8"/>
  <c r="AI80" i="8"/>
  <c r="M109" i="8"/>
  <c r="AE367" i="8"/>
  <c r="AE376" i="8" s="1"/>
  <c r="AE94" i="8"/>
  <c r="AE368" i="8" s="1"/>
  <c r="AE377" i="8" s="1"/>
  <c r="AE96" i="8"/>
  <c r="AG62" i="8"/>
  <c r="AG20" i="8" s="1"/>
  <c r="AG21" i="8" s="1"/>
  <c r="AG61" i="8" s="1"/>
  <c r="AG63" i="8" s="1"/>
  <c r="AF66" i="8"/>
  <c r="AG80" i="4"/>
  <c r="AI33" i="4"/>
  <c r="AI35" i="4"/>
  <c r="AI34" i="4"/>
  <c r="AI30" i="4"/>
  <c r="AI32" i="4"/>
  <c r="AI31" i="4"/>
  <c r="AH92" i="4"/>
  <c r="AH88" i="4"/>
  <c r="AH93" i="4"/>
  <c r="AH361" i="4" s="1"/>
  <c r="AH87" i="4"/>
  <c r="AH86" i="4"/>
  <c r="AH85" i="4"/>
  <c r="AH90" i="4"/>
  <c r="AH84" i="4"/>
  <c r="AH89" i="4"/>
  <c r="AH83" i="4"/>
  <c r="AH91" i="4"/>
  <c r="AI29" i="4"/>
  <c r="AH81" i="4"/>
  <c r="AH349" i="4" s="1"/>
  <c r="AI27" i="4"/>
  <c r="AI24" i="4"/>
  <c r="AI26" i="4"/>
  <c r="AI28" i="4"/>
  <c r="AI36" i="4"/>
  <c r="AJ3" i="8"/>
  <c r="AI47" i="4"/>
  <c r="AH39" i="4"/>
  <c r="AI46" i="4"/>
  <c r="AH38" i="4"/>
  <c r="AI51" i="4"/>
  <c r="AI54" i="4" s="1"/>
  <c r="AH42" i="4"/>
  <c r="AI45" i="4"/>
  <c r="AI48" i="4"/>
  <c r="AH41" i="4"/>
  <c r="AH40" i="4"/>
  <c r="AI43" i="4"/>
  <c r="AI49" i="4"/>
  <c r="AI52" i="4"/>
  <c r="AI6" i="4"/>
  <c r="AI13" i="4"/>
  <c r="AI14" i="4" s="1"/>
  <c r="AI53" i="4"/>
  <c r="AI15" i="4"/>
  <c r="AI5" i="4"/>
  <c r="L348" i="4"/>
  <c r="M102" i="4"/>
  <c r="L109" i="4"/>
  <c r="AF59" i="4"/>
  <c r="AC96" i="4"/>
  <c r="AC94" i="4"/>
  <c r="K113" i="4"/>
  <c r="J310" i="4"/>
  <c r="AE62" i="4"/>
  <c r="AE20" i="4" s="1"/>
  <c r="AE21" i="4" s="1"/>
  <c r="AE61" i="4" s="1"/>
  <c r="AE63" i="4" s="1"/>
  <c r="AD66" i="4"/>
  <c r="AB97" i="4"/>
  <c r="AG18" i="4"/>
  <c r="AG57" i="4"/>
  <c r="AG56" i="4"/>
  <c r="AG17" i="4"/>
  <c r="AG19" i="4"/>
  <c r="AG58" i="4"/>
  <c r="AH2" i="4"/>
  <c r="I124" i="4"/>
  <c r="I125" i="4" s="1"/>
  <c r="I126" i="4" s="1"/>
  <c r="AM67" i="4"/>
  <c r="AM335" i="4" s="1"/>
  <c r="AL335" i="4"/>
  <c r="AJ2" i="8"/>
  <c r="AK1" i="8"/>
  <c r="AI1" i="4"/>
  <c r="AI374" i="4"/>
  <c r="AJ3" i="4"/>
  <c r="AA367" i="4"/>
  <c r="AA376" i="4" s="1"/>
  <c r="AA368" i="4"/>
  <c r="AA377" i="4" s="1"/>
  <c r="K121" i="8" l="1"/>
  <c r="E160" i="8"/>
  <c r="G147" i="8"/>
  <c r="G148" i="8" s="1"/>
  <c r="G288" i="8" s="1"/>
  <c r="G303" i="8" s="1"/>
  <c r="G343" i="8" s="1"/>
  <c r="F154" i="8"/>
  <c r="F155" i="8" s="1"/>
  <c r="F157" i="8" s="1"/>
  <c r="J127" i="8"/>
  <c r="I131" i="8" s="1"/>
  <c r="M110" i="8"/>
  <c r="L114" i="8" s="1"/>
  <c r="D161" i="8"/>
  <c r="C165" i="8" s="1"/>
  <c r="AJ80" i="8"/>
  <c r="AL335" i="8"/>
  <c r="AM67" i="8"/>
  <c r="AM335" i="8" s="1"/>
  <c r="N103" i="8"/>
  <c r="N104" i="8" s="1"/>
  <c r="N105" i="8" s="1"/>
  <c r="AJ56" i="8"/>
  <c r="AJ19" i="8"/>
  <c r="AJ57" i="8"/>
  <c r="AJ58" i="8"/>
  <c r="AJ18" i="8"/>
  <c r="AJ17" i="8"/>
  <c r="AI59" i="8"/>
  <c r="K123" i="8"/>
  <c r="AG66" i="8"/>
  <c r="AH62" i="8"/>
  <c r="AH20" i="8" s="1"/>
  <c r="AH21" i="8" s="1"/>
  <c r="AH61" i="8" s="1"/>
  <c r="AH63" i="8" s="1"/>
  <c r="L119" i="8"/>
  <c r="L118" i="8"/>
  <c r="AE97" i="8"/>
  <c r="AF367" i="8"/>
  <c r="AF376" i="8" s="1"/>
  <c r="AF96" i="8"/>
  <c r="AF94" i="8"/>
  <c r="AF368" i="8" s="1"/>
  <c r="AF377" i="8" s="1"/>
  <c r="AH80" i="4"/>
  <c r="M103" i="4"/>
  <c r="M104" i="4" s="1"/>
  <c r="AJ35" i="4"/>
  <c r="AJ33" i="4"/>
  <c r="AJ34" i="4"/>
  <c r="AJ31" i="4"/>
  <c r="AJ30" i="4"/>
  <c r="AJ32" i="4"/>
  <c r="AI93" i="4"/>
  <c r="AI361" i="4" s="1"/>
  <c r="AI89" i="4"/>
  <c r="AI88" i="4"/>
  <c r="AI90" i="4"/>
  <c r="AI85" i="4"/>
  <c r="AI86" i="4"/>
  <c r="AI84" i="4"/>
  <c r="AI92" i="4"/>
  <c r="AI83" i="4"/>
  <c r="AI87" i="4"/>
  <c r="AI91" i="4"/>
  <c r="J329" i="4"/>
  <c r="AJ29" i="4"/>
  <c r="AI81" i="4"/>
  <c r="AI349" i="4" s="1"/>
  <c r="AJ28" i="4"/>
  <c r="AJ27" i="4"/>
  <c r="AJ24" i="4"/>
  <c r="AJ26" i="4"/>
  <c r="AJ36" i="4"/>
  <c r="AJ53" i="4"/>
  <c r="AJ15" i="4"/>
  <c r="AJ5" i="4"/>
  <c r="AJ13" i="4"/>
  <c r="AJ14" i="4" s="1"/>
  <c r="AJ52" i="4"/>
  <c r="AJ6" i="4"/>
  <c r="AK3" i="8"/>
  <c r="AJ46" i="4"/>
  <c r="AJ49" i="4"/>
  <c r="AI42" i="4"/>
  <c r="AJ47" i="4"/>
  <c r="AI40" i="4"/>
  <c r="AJ51" i="4"/>
  <c r="AJ54" i="4" s="1"/>
  <c r="AI41" i="4"/>
  <c r="AJ45" i="4"/>
  <c r="AJ48" i="4"/>
  <c r="AI39" i="4"/>
  <c r="AI38" i="4"/>
  <c r="AJ43" i="4"/>
  <c r="AC97" i="4"/>
  <c r="AD96" i="4"/>
  <c r="AD94" i="4"/>
  <c r="AF62" i="4"/>
  <c r="AF20" i="4" s="1"/>
  <c r="AF21" i="4" s="1"/>
  <c r="AF61" i="4" s="1"/>
  <c r="AF63" i="4" s="1"/>
  <c r="AE66" i="4"/>
  <c r="L110" i="4"/>
  <c r="K114" i="4" s="1"/>
  <c r="J121" i="4"/>
  <c r="AG59" i="4"/>
  <c r="AH57" i="4"/>
  <c r="AH56" i="4"/>
  <c r="AH19" i="4"/>
  <c r="AH18" i="4"/>
  <c r="AH17" i="4"/>
  <c r="AH58" i="4"/>
  <c r="AI2" i="4"/>
  <c r="K118" i="4"/>
  <c r="K119" i="4"/>
  <c r="AK2" i="8"/>
  <c r="AJ1" i="4"/>
  <c r="AL1" i="8"/>
  <c r="AJ374" i="4"/>
  <c r="AK3" i="4"/>
  <c r="AB367" i="4"/>
  <c r="AB376" i="4" s="1"/>
  <c r="AB368" i="4"/>
  <c r="AB377" i="4" s="1"/>
  <c r="F312" i="8" l="1"/>
  <c r="F327" i="8" s="1"/>
  <c r="F356" i="8" s="1"/>
  <c r="G151" i="8"/>
  <c r="G152" i="8"/>
  <c r="G153" i="8"/>
  <c r="G149" i="8"/>
  <c r="G150" i="8" s="1"/>
  <c r="N348" i="8"/>
  <c r="O102" i="8"/>
  <c r="E161" i="8"/>
  <c r="D165" i="8" s="1"/>
  <c r="AK56" i="8"/>
  <c r="AK19" i="8"/>
  <c r="AK57" i="8"/>
  <c r="AK58" i="8"/>
  <c r="AK18" i="8"/>
  <c r="AK17" i="8"/>
  <c r="AJ59" i="8"/>
  <c r="AI62" i="8"/>
  <c r="AI20" i="8" s="1"/>
  <c r="AI21" i="8" s="1"/>
  <c r="AI61" i="8" s="1"/>
  <c r="AI63" i="8" s="1"/>
  <c r="AH66" i="8"/>
  <c r="AG367" i="8"/>
  <c r="AG376" i="8" s="1"/>
  <c r="AG96" i="8"/>
  <c r="AG94" i="8"/>
  <c r="AG368" i="8" s="1"/>
  <c r="AG377" i="8" s="1"/>
  <c r="L117" i="8"/>
  <c r="L286" i="8"/>
  <c r="L305" i="8" s="1"/>
  <c r="L345" i="8" s="1"/>
  <c r="N106" i="8"/>
  <c r="N107" i="8" s="1"/>
  <c r="C289" i="8"/>
  <c r="C301" i="8" s="1"/>
  <c r="C340" i="8" s="1"/>
  <c r="C168" i="8"/>
  <c r="C167" i="8"/>
  <c r="AF97" i="8"/>
  <c r="K124" i="8"/>
  <c r="K125" i="8" s="1"/>
  <c r="K126" i="8" s="1"/>
  <c r="F158" i="8"/>
  <c r="F159" i="8" s="1"/>
  <c r="F160" i="8" s="1"/>
  <c r="AK80" i="8"/>
  <c r="L115" i="8"/>
  <c r="L116" i="8" s="1"/>
  <c r="I134" i="8"/>
  <c r="I287" i="8"/>
  <c r="I304" i="8" s="1"/>
  <c r="I344" i="8" s="1"/>
  <c r="I132" i="8"/>
  <c r="I133" i="8" s="1"/>
  <c r="AI80" i="4"/>
  <c r="AK32" i="4"/>
  <c r="AK30" i="4"/>
  <c r="AK35" i="4"/>
  <c r="AK31" i="4"/>
  <c r="AK34" i="4"/>
  <c r="AK33" i="4"/>
  <c r="K286" i="4"/>
  <c r="K305" i="4" s="1"/>
  <c r="K345" i="4" s="1"/>
  <c r="K117" i="4"/>
  <c r="AJ85" i="4"/>
  <c r="AJ89" i="4"/>
  <c r="AJ90" i="4"/>
  <c r="AJ84" i="4"/>
  <c r="AJ86" i="4"/>
  <c r="AJ88" i="4"/>
  <c r="AJ92" i="4"/>
  <c r="AJ87" i="4"/>
  <c r="AJ83" i="4"/>
  <c r="AJ93" i="4"/>
  <c r="AJ361" i="4" s="1"/>
  <c r="AJ91" i="4"/>
  <c r="K115" i="4"/>
  <c r="K116" i="4" s="1"/>
  <c r="K120" i="4" s="1"/>
  <c r="AK29" i="4"/>
  <c r="AJ81" i="4"/>
  <c r="AJ349" i="4" s="1"/>
  <c r="AK28" i="4"/>
  <c r="AK26" i="4"/>
  <c r="AK27" i="4"/>
  <c r="AK24" i="4"/>
  <c r="AK36" i="4"/>
  <c r="AK46" i="4"/>
  <c r="AJ38" i="4"/>
  <c r="AK45" i="4"/>
  <c r="AK47" i="4"/>
  <c r="AJ40" i="4"/>
  <c r="AK43" i="4"/>
  <c r="AK48" i="4"/>
  <c r="AJ39" i="4"/>
  <c r="AK51" i="4"/>
  <c r="AK54" i="4" s="1"/>
  <c r="AK49" i="4"/>
  <c r="AJ41" i="4"/>
  <c r="AJ42" i="4"/>
  <c r="AK52" i="4"/>
  <c r="AK53" i="4"/>
  <c r="AK5" i="4"/>
  <c r="AK6" i="4"/>
  <c r="AK15" i="4"/>
  <c r="AK13" i="4"/>
  <c r="AK14" i="4" s="1"/>
  <c r="AL3" i="8"/>
  <c r="AD97" i="4"/>
  <c r="AH59" i="4"/>
  <c r="M106" i="4"/>
  <c r="M107" i="4" s="1"/>
  <c r="AE96" i="4"/>
  <c r="AE94" i="4"/>
  <c r="M105" i="4"/>
  <c r="AG62" i="4"/>
  <c r="AG20" i="4" s="1"/>
  <c r="AG21" i="4" s="1"/>
  <c r="AG61" i="4" s="1"/>
  <c r="AG63" i="4" s="1"/>
  <c r="AF66" i="4"/>
  <c r="J123" i="4"/>
  <c r="AI57" i="4"/>
  <c r="AI19" i="4"/>
  <c r="AI17" i="4"/>
  <c r="AI56" i="4"/>
  <c r="AI58" i="4"/>
  <c r="AI18" i="4"/>
  <c r="AJ2" i="4"/>
  <c r="AL2" i="8"/>
  <c r="AM1" i="8"/>
  <c r="AK1" i="4"/>
  <c r="AL3" i="4"/>
  <c r="AK374" i="4"/>
  <c r="AC367" i="4"/>
  <c r="AC376" i="4" s="1"/>
  <c r="AC368" i="4"/>
  <c r="AC377" i="4" s="1"/>
  <c r="H147" i="8" l="1"/>
  <c r="G154" i="8"/>
  <c r="G312" i="8" s="1"/>
  <c r="G327" i="8" s="1"/>
  <c r="G356" i="8" s="1"/>
  <c r="K127" i="8"/>
  <c r="AL57" i="8"/>
  <c r="AL58" i="8"/>
  <c r="AL18" i="8"/>
  <c r="AL17" i="8"/>
  <c r="AL56" i="8"/>
  <c r="AL19" i="8"/>
  <c r="AL80" i="8"/>
  <c r="D289" i="8"/>
  <c r="D301" i="8" s="1"/>
  <c r="D340" i="8" s="1"/>
  <c r="AK59" i="8"/>
  <c r="D168" i="8"/>
  <c r="D164" i="8"/>
  <c r="C171" i="8"/>
  <c r="AH367" i="8"/>
  <c r="AH376" i="8" s="1"/>
  <c r="AH94" i="8"/>
  <c r="AH368" i="8" s="1"/>
  <c r="AH377" i="8" s="1"/>
  <c r="AH96" i="8"/>
  <c r="F161" i="8"/>
  <c r="AJ62" i="8"/>
  <c r="AJ20" i="8" s="1"/>
  <c r="AJ21" i="8" s="1"/>
  <c r="AJ61" i="8" s="1"/>
  <c r="AJ63" i="8" s="1"/>
  <c r="AI66" i="8"/>
  <c r="M113" i="8"/>
  <c r="L120" i="8"/>
  <c r="O103" i="8"/>
  <c r="O104" i="8" s="1"/>
  <c r="N109" i="8"/>
  <c r="J130" i="8"/>
  <c r="I137" i="8"/>
  <c r="I311" i="8" s="1"/>
  <c r="I328" i="8" s="1"/>
  <c r="I357" i="8" s="1"/>
  <c r="AG97" i="8"/>
  <c r="AJ80" i="4"/>
  <c r="AL32" i="4"/>
  <c r="AL31" i="4"/>
  <c r="AL30" i="4"/>
  <c r="AL34" i="4"/>
  <c r="AL33" i="4"/>
  <c r="AL35" i="4"/>
  <c r="AK87" i="4"/>
  <c r="AK92" i="4"/>
  <c r="AK88" i="4"/>
  <c r="AK84" i="4"/>
  <c r="AK91" i="4"/>
  <c r="AK83" i="4"/>
  <c r="AK90" i="4"/>
  <c r="AK86" i="4"/>
  <c r="AK85" i="4"/>
  <c r="AK89" i="4"/>
  <c r="AK93" i="4"/>
  <c r="AK361" i="4" s="1"/>
  <c r="AK81" i="4"/>
  <c r="AK349" i="4" s="1"/>
  <c r="AL29" i="4"/>
  <c r="AL26" i="4"/>
  <c r="AL27" i="4"/>
  <c r="AL24" i="4"/>
  <c r="AL28" i="4"/>
  <c r="AL36" i="4"/>
  <c r="AM3" i="8"/>
  <c r="AL52" i="4"/>
  <c r="AL53" i="4"/>
  <c r="AL5" i="4"/>
  <c r="AL6" i="4"/>
  <c r="AL15" i="4"/>
  <c r="AL13" i="4"/>
  <c r="AL14" i="4" s="1"/>
  <c r="AL45" i="4"/>
  <c r="AL48" i="4"/>
  <c r="AK40" i="4"/>
  <c r="AL43" i="4"/>
  <c r="AL49" i="4"/>
  <c r="AL51" i="4"/>
  <c r="AL54" i="4" s="1"/>
  <c r="AK41" i="4"/>
  <c r="AL47" i="4"/>
  <c r="AK39" i="4"/>
  <c r="AL46" i="4"/>
  <c r="AK42" i="4"/>
  <c r="AK38" i="4"/>
  <c r="AI59" i="4"/>
  <c r="M109" i="4"/>
  <c r="M348" i="4"/>
  <c r="N102" i="4"/>
  <c r="AJ19" i="4"/>
  <c r="AJ56" i="4"/>
  <c r="AJ58" i="4"/>
  <c r="AJ18" i="4"/>
  <c r="AJ17" i="4"/>
  <c r="AJ57" i="4"/>
  <c r="AK2" i="4"/>
  <c r="AF96" i="4"/>
  <c r="AF94" i="4"/>
  <c r="AH62" i="4"/>
  <c r="AH20" i="4" s="1"/>
  <c r="AH21" i="4" s="1"/>
  <c r="AH61" i="4" s="1"/>
  <c r="AH63" i="4" s="1"/>
  <c r="AG66" i="4"/>
  <c r="L113" i="4"/>
  <c r="K310" i="4"/>
  <c r="AE97" i="4"/>
  <c r="J124" i="4"/>
  <c r="J125" i="4" s="1"/>
  <c r="J126" i="4" s="1"/>
  <c r="AM2" i="8"/>
  <c r="AL1" i="4"/>
  <c r="AL374" i="4"/>
  <c r="AM3" i="4"/>
  <c r="AD367" i="4"/>
  <c r="AD376" i="4" s="1"/>
  <c r="AD368" i="4"/>
  <c r="AD377" i="4" s="1"/>
  <c r="H152" i="8" l="1"/>
  <c r="H153" i="8"/>
  <c r="G155" i="8"/>
  <c r="G157" i="8" s="1"/>
  <c r="G158" i="8" s="1"/>
  <c r="G159" i="8" s="1"/>
  <c r="G160" i="8" s="1"/>
  <c r="G161" i="8" s="1"/>
  <c r="AL59" i="8"/>
  <c r="J135" i="8"/>
  <c r="J136" i="8"/>
  <c r="N110" i="8"/>
  <c r="M114" i="8" s="1"/>
  <c r="O106" i="8"/>
  <c r="O107" i="8" s="1"/>
  <c r="D169" i="8"/>
  <c r="D170" i="8"/>
  <c r="D166" i="8"/>
  <c r="D167" i="8" s="1"/>
  <c r="E164" i="8" s="1"/>
  <c r="E165" i="8" s="1"/>
  <c r="O105" i="8"/>
  <c r="L310" i="8"/>
  <c r="L329" i="8" s="1"/>
  <c r="L358" i="8" s="1"/>
  <c r="L121" i="8"/>
  <c r="C313" i="8"/>
  <c r="C325" i="8" s="1"/>
  <c r="C354" i="8" s="1"/>
  <c r="C172" i="8"/>
  <c r="M118" i="8"/>
  <c r="M119" i="8"/>
  <c r="AM58" i="8"/>
  <c r="AM18" i="8"/>
  <c r="AM17" i="8"/>
  <c r="AM19" i="8"/>
  <c r="AM57" i="8"/>
  <c r="AM56" i="8"/>
  <c r="AI367" i="8"/>
  <c r="AI376" i="8" s="1"/>
  <c r="AI94" i="8"/>
  <c r="AI368" i="8" s="1"/>
  <c r="AI377" i="8" s="1"/>
  <c r="AI96" i="8"/>
  <c r="AH97" i="8"/>
  <c r="J131" i="8"/>
  <c r="J132" i="8" s="1"/>
  <c r="AK62" i="8"/>
  <c r="AK20" i="8" s="1"/>
  <c r="AK21" i="8" s="1"/>
  <c r="AK61" i="8" s="1"/>
  <c r="AK63" i="8" s="1"/>
  <c r="AJ66" i="8"/>
  <c r="AM80" i="8"/>
  <c r="I138" i="8"/>
  <c r="AK80" i="4"/>
  <c r="N103" i="4"/>
  <c r="N104" i="4" s="1"/>
  <c r="AM34" i="4"/>
  <c r="AM33" i="4"/>
  <c r="AM32" i="4"/>
  <c r="AM31" i="4"/>
  <c r="AM35" i="4"/>
  <c r="AM30" i="4"/>
  <c r="AL92" i="4"/>
  <c r="AL84" i="4"/>
  <c r="AL93" i="4"/>
  <c r="AL361" i="4" s="1"/>
  <c r="AL89" i="4"/>
  <c r="AL85" i="4"/>
  <c r="AL88" i="4"/>
  <c r="AL91" i="4"/>
  <c r="AL87" i="4"/>
  <c r="AL83" i="4"/>
  <c r="AL90" i="4"/>
  <c r="AL86" i="4"/>
  <c r="K329" i="4"/>
  <c r="AL81" i="4"/>
  <c r="AL349" i="4" s="1"/>
  <c r="AM29" i="4"/>
  <c r="AM26" i="4"/>
  <c r="AM27" i="4"/>
  <c r="AM28" i="4"/>
  <c r="AM24" i="4"/>
  <c r="AM36" i="4"/>
  <c r="AM52" i="4"/>
  <c r="AM53" i="4"/>
  <c r="AM5" i="4"/>
  <c r="AM6" i="4"/>
  <c r="AM15" i="4"/>
  <c r="AM13" i="4"/>
  <c r="AM14" i="4" s="1"/>
  <c r="AM45" i="4"/>
  <c r="AM43" i="4"/>
  <c r="AL39" i="4"/>
  <c r="AL40" i="4"/>
  <c r="AM46" i="4"/>
  <c r="AM47" i="4"/>
  <c r="AM49" i="4"/>
  <c r="AM48" i="4"/>
  <c r="AL41" i="4"/>
  <c r="AM51" i="4"/>
  <c r="AM54" i="4" s="1"/>
  <c r="AL42" i="4"/>
  <c r="AL38" i="4"/>
  <c r="AK58" i="4"/>
  <c r="AK56" i="4"/>
  <c r="AK19" i="4"/>
  <c r="AK18" i="4"/>
  <c r="AK17" i="4"/>
  <c r="AK57" i="4"/>
  <c r="AL2" i="4"/>
  <c r="AJ59" i="4"/>
  <c r="L119" i="4"/>
  <c r="L118" i="4"/>
  <c r="AG96" i="4"/>
  <c r="AG94" i="4"/>
  <c r="M110" i="4"/>
  <c r="L114" i="4" s="1"/>
  <c r="AH66" i="4"/>
  <c r="AI62" i="4"/>
  <c r="AI20" i="4" s="1"/>
  <c r="AI21" i="4" s="1"/>
  <c r="AI61" i="4" s="1"/>
  <c r="AI63" i="4" s="1"/>
  <c r="K121" i="4"/>
  <c r="AF97" i="4"/>
  <c r="AM1" i="4"/>
  <c r="AM374" i="4"/>
  <c r="AE367" i="4"/>
  <c r="AE376" i="4" s="1"/>
  <c r="AE368" i="4"/>
  <c r="AE377" i="4" s="1"/>
  <c r="E168" i="8" l="1"/>
  <c r="E289" i="8"/>
  <c r="E301" i="8" s="1"/>
  <c r="E340" i="8" s="1"/>
  <c r="J133" i="8"/>
  <c r="K130" i="8" s="1"/>
  <c r="K136" i="8" s="1"/>
  <c r="O109" i="8"/>
  <c r="L123" i="8"/>
  <c r="E169" i="8"/>
  <c r="E170" i="8"/>
  <c r="E166" i="8"/>
  <c r="E167" i="8" s="1"/>
  <c r="AM59" i="8"/>
  <c r="M117" i="8"/>
  <c r="M286" i="8"/>
  <c r="M305" i="8" s="1"/>
  <c r="M345" i="8" s="1"/>
  <c r="AL62" i="8"/>
  <c r="AL20" i="8" s="1"/>
  <c r="AL21" i="8" s="1"/>
  <c r="AL61" i="8" s="1"/>
  <c r="AL63" i="8" s="1"/>
  <c r="AK66" i="8"/>
  <c r="J134" i="8"/>
  <c r="J287" i="8"/>
  <c r="J304" i="8" s="1"/>
  <c r="J344" i="8" s="1"/>
  <c r="C174" i="8"/>
  <c r="O348" i="8"/>
  <c r="P102" i="8"/>
  <c r="I140" i="8"/>
  <c r="AJ367" i="8"/>
  <c r="AJ376" i="8" s="1"/>
  <c r="AJ94" i="8"/>
  <c r="AJ368" i="8" s="1"/>
  <c r="AJ377" i="8" s="1"/>
  <c r="AJ96" i="8"/>
  <c r="M115" i="8"/>
  <c r="M116" i="8" s="1"/>
  <c r="AI97" i="8"/>
  <c r="D171" i="8"/>
  <c r="D172" i="8" s="1"/>
  <c r="D174" i="8" s="1"/>
  <c r="AL80" i="4"/>
  <c r="L286" i="4"/>
  <c r="L305" i="4" s="1"/>
  <c r="L345" i="4" s="1"/>
  <c r="L117" i="4"/>
  <c r="AM91" i="4"/>
  <c r="AM87" i="4"/>
  <c r="AM83" i="4"/>
  <c r="AM86" i="4"/>
  <c r="AM90" i="4"/>
  <c r="AM88" i="4"/>
  <c r="AM92" i="4"/>
  <c r="AM85" i="4"/>
  <c r="AM84" i="4"/>
  <c r="AM89" i="4"/>
  <c r="AM93" i="4"/>
  <c r="AM361" i="4" s="1"/>
  <c r="L115" i="4"/>
  <c r="L116" i="4" s="1"/>
  <c r="AM81" i="4"/>
  <c r="AM349" i="4" s="1"/>
  <c r="AM38" i="4"/>
  <c r="AM40" i="4"/>
  <c r="AM42" i="4"/>
  <c r="AM39" i="4"/>
  <c r="AM41" i="4"/>
  <c r="AK59" i="4"/>
  <c r="AG97" i="4"/>
  <c r="K123" i="4"/>
  <c r="AI66" i="4"/>
  <c r="AJ62" i="4"/>
  <c r="AJ20" i="4" s="1"/>
  <c r="AJ21" i="4" s="1"/>
  <c r="AJ61" i="4" s="1"/>
  <c r="AJ63" i="4" s="1"/>
  <c r="N105" i="4"/>
  <c r="AL19" i="4"/>
  <c r="AL58" i="4"/>
  <c r="AL18" i="4"/>
  <c r="AL17" i="4"/>
  <c r="AL56" i="4"/>
  <c r="AL57" i="4"/>
  <c r="AM2" i="4"/>
  <c r="AH94" i="4"/>
  <c r="AH96" i="4"/>
  <c r="N106" i="4"/>
  <c r="N107" i="4" s="1"/>
  <c r="AF367" i="4"/>
  <c r="AF376" i="4" s="1"/>
  <c r="AF368" i="4"/>
  <c r="AF377" i="4" s="1"/>
  <c r="J137" i="8" l="1"/>
  <c r="J311" i="8" s="1"/>
  <c r="J328" i="8" s="1"/>
  <c r="J357" i="8" s="1"/>
  <c r="K135" i="8"/>
  <c r="J138" i="8"/>
  <c r="J140" i="8" s="1"/>
  <c r="F164" i="8"/>
  <c r="E171" i="8"/>
  <c r="E172" i="8" s="1"/>
  <c r="E174" i="8" s="1"/>
  <c r="J141" i="8"/>
  <c r="J142" i="8" s="1"/>
  <c r="N113" i="8"/>
  <c r="M120" i="8"/>
  <c r="P103" i="8"/>
  <c r="P104" i="8" s="1"/>
  <c r="P105" i="8" s="1"/>
  <c r="I141" i="8"/>
  <c r="I142" i="8" s="1"/>
  <c r="I143" i="8" s="1"/>
  <c r="D313" i="8"/>
  <c r="D325" i="8" s="1"/>
  <c r="D354" i="8" s="1"/>
  <c r="AK367" i="8"/>
  <c r="AK376" i="8" s="1"/>
  <c r="AK94" i="8"/>
  <c r="AK368" i="8" s="1"/>
  <c r="AK377" i="8" s="1"/>
  <c r="AK96" i="8"/>
  <c r="AL66" i="8"/>
  <c r="AM62" i="8"/>
  <c r="AM20" i="8" s="1"/>
  <c r="AM21" i="8" s="1"/>
  <c r="AM61" i="8" s="1"/>
  <c r="AM63" i="8" s="1"/>
  <c r="AM66" i="8" s="1"/>
  <c r="L124" i="8"/>
  <c r="L125" i="8" s="1"/>
  <c r="L126" i="8" s="1"/>
  <c r="AJ97" i="8"/>
  <c r="C175" i="8"/>
  <c r="C176" i="8" s="1"/>
  <c r="C177" i="8" s="1"/>
  <c r="O110" i="8"/>
  <c r="D175" i="8"/>
  <c r="D176" i="8" s="1"/>
  <c r="AM80" i="4"/>
  <c r="M113" i="4"/>
  <c r="M118" i="4" s="1"/>
  <c r="L120" i="4"/>
  <c r="L310" i="4" s="1"/>
  <c r="AL59" i="4"/>
  <c r="N109" i="4"/>
  <c r="O102" i="4"/>
  <c r="N348" i="4"/>
  <c r="AM58" i="4"/>
  <c r="AM57" i="4"/>
  <c r="AM19" i="4"/>
  <c r="AM18" i="4"/>
  <c r="AM17" i="4"/>
  <c r="AM56" i="4"/>
  <c r="AH97" i="4"/>
  <c r="AK62" i="4"/>
  <c r="AK20" i="4" s="1"/>
  <c r="AK21" i="4" s="1"/>
  <c r="AK61" i="4" s="1"/>
  <c r="AK63" i="4" s="1"/>
  <c r="AJ66" i="4"/>
  <c r="AI96" i="4"/>
  <c r="AI94" i="4"/>
  <c r="K124" i="4"/>
  <c r="K125" i="4" s="1"/>
  <c r="K126" i="4" s="1"/>
  <c r="AG367" i="4"/>
  <c r="AG376" i="4" s="1"/>
  <c r="AG368" i="4"/>
  <c r="AG377" i="4" s="1"/>
  <c r="N114" i="8" l="1"/>
  <c r="E313" i="8"/>
  <c r="E325" i="8" s="1"/>
  <c r="E354" i="8" s="1"/>
  <c r="D177" i="8"/>
  <c r="J143" i="8"/>
  <c r="P348" i="8"/>
  <c r="Q102" i="8"/>
  <c r="C178" i="8"/>
  <c r="D178" i="8" s="1"/>
  <c r="C182" i="8" s="1"/>
  <c r="E175" i="8"/>
  <c r="E176" i="8" s="1"/>
  <c r="E177" i="8" s="1"/>
  <c r="AM367" i="8"/>
  <c r="AM376" i="8" s="1"/>
  <c r="AM96" i="8"/>
  <c r="AM94" i="8"/>
  <c r="AM368" i="8" s="1"/>
  <c r="AM377" i="8" s="1"/>
  <c r="M310" i="8"/>
  <c r="M329" i="8" s="1"/>
  <c r="M358" i="8" s="1"/>
  <c r="M121" i="8"/>
  <c r="AL367" i="8"/>
  <c r="AL376" i="8" s="1"/>
  <c r="AL96" i="8"/>
  <c r="AL94" i="8"/>
  <c r="AL368" i="8" s="1"/>
  <c r="AL377" i="8" s="1"/>
  <c r="N119" i="8"/>
  <c r="N118" i="8"/>
  <c r="N115" i="8"/>
  <c r="N116" i="8" s="1"/>
  <c r="AK97" i="8"/>
  <c r="L127" i="8"/>
  <c r="K131" i="8" s="1"/>
  <c r="P106" i="8"/>
  <c r="P107" i="8" s="1"/>
  <c r="I144" i="8"/>
  <c r="H148" i="8" s="1"/>
  <c r="F169" i="8"/>
  <c r="F170" i="8"/>
  <c r="F165" i="8"/>
  <c r="N117" i="8"/>
  <c r="N286" i="8"/>
  <c r="N305" i="8" s="1"/>
  <c r="N345" i="8" s="1"/>
  <c r="O103" i="4"/>
  <c r="O104" i="4" s="1"/>
  <c r="L329" i="4"/>
  <c r="M119" i="4"/>
  <c r="L121" i="4"/>
  <c r="L123" i="4" s="1"/>
  <c r="L124" i="4" s="1"/>
  <c r="L125" i="4" s="1"/>
  <c r="L126" i="4" s="1"/>
  <c r="AM59" i="4"/>
  <c r="N110" i="4"/>
  <c r="M114" i="4" s="1"/>
  <c r="AJ96" i="4"/>
  <c r="AJ94" i="4"/>
  <c r="AK66" i="4"/>
  <c r="AL62" i="4"/>
  <c r="AL20" i="4" s="1"/>
  <c r="AL21" i="4" s="1"/>
  <c r="AL61" i="4" s="1"/>
  <c r="AL63" i="4" s="1"/>
  <c r="AI97" i="4"/>
  <c r="AH367" i="4"/>
  <c r="AH376" i="4" s="1"/>
  <c r="AH368" i="4"/>
  <c r="AH377" i="4" s="1"/>
  <c r="J144" i="8" l="1"/>
  <c r="P109" i="8"/>
  <c r="O113" i="8"/>
  <c r="N120" i="8"/>
  <c r="N310" i="8" s="1"/>
  <c r="N329" i="8" s="1"/>
  <c r="N358" i="8" s="1"/>
  <c r="E178" i="8"/>
  <c r="D182" i="8" s="1"/>
  <c r="AL97" i="8"/>
  <c r="AM97" i="8" s="1"/>
  <c r="C290" i="8"/>
  <c r="C307" i="8" s="1"/>
  <c r="C347" i="8" s="1"/>
  <c r="C185" i="8"/>
  <c r="C184" i="8"/>
  <c r="K134" i="8"/>
  <c r="K287" i="8"/>
  <c r="K304" i="8" s="1"/>
  <c r="K344" i="8" s="1"/>
  <c r="K132" i="8"/>
  <c r="K133" i="8" s="1"/>
  <c r="H151" i="8"/>
  <c r="H288" i="8"/>
  <c r="H303" i="8" s="1"/>
  <c r="H343" i="8" s="1"/>
  <c r="H149" i="8"/>
  <c r="H150" i="8" s="1"/>
  <c r="F168" i="8"/>
  <c r="F289" i="8"/>
  <c r="F301" i="8" s="1"/>
  <c r="F340" i="8" s="1"/>
  <c r="M123" i="8"/>
  <c r="Q103" i="8"/>
  <c r="F166" i="8"/>
  <c r="F167" i="8" s="1"/>
  <c r="M286" i="4"/>
  <c r="M305" i="4" s="1"/>
  <c r="M345" i="4" s="1"/>
  <c r="M117" i="4"/>
  <c r="M115" i="4"/>
  <c r="M116" i="4" s="1"/>
  <c r="M120" i="4" s="1"/>
  <c r="AJ97" i="4"/>
  <c r="O106" i="4"/>
  <c r="O107" i="4" s="1"/>
  <c r="O105" i="4"/>
  <c r="AL66" i="4"/>
  <c r="AM62" i="4"/>
  <c r="AM20" i="4" s="1"/>
  <c r="AM21" i="4" s="1"/>
  <c r="AM61" i="4" s="1"/>
  <c r="AM63" i="4" s="1"/>
  <c r="AM66" i="4" s="1"/>
  <c r="AK96" i="4"/>
  <c r="AK94" i="4"/>
  <c r="AI368" i="4"/>
  <c r="AI377" i="4" s="1"/>
  <c r="AI367" i="4"/>
  <c r="AI376" i="4" s="1"/>
  <c r="Q106" i="8" l="1"/>
  <c r="Q107" i="8" s="1"/>
  <c r="D181" i="8"/>
  <c r="C188" i="8"/>
  <c r="Q104" i="8"/>
  <c r="Q105" i="8" s="1"/>
  <c r="M124" i="8"/>
  <c r="M125" i="8" s="1"/>
  <c r="M126" i="8" s="1"/>
  <c r="L130" i="8"/>
  <c r="K137" i="8"/>
  <c r="K311" i="8" s="1"/>
  <c r="K328" i="8" s="1"/>
  <c r="K357" i="8" s="1"/>
  <c r="D185" i="8"/>
  <c r="O118" i="8"/>
  <c r="O119" i="8"/>
  <c r="D290" i="8"/>
  <c r="D307" i="8" s="1"/>
  <c r="D347" i="8" s="1"/>
  <c r="N121" i="8"/>
  <c r="I147" i="8"/>
  <c r="H154" i="8"/>
  <c r="H155" i="8" s="1"/>
  <c r="G164" i="8"/>
  <c r="F171" i="8"/>
  <c r="F172" i="8" s="1"/>
  <c r="P110" i="8"/>
  <c r="O114" i="8" s="1"/>
  <c r="N113" i="4"/>
  <c r="M310" i="4"/>
  <c r="O109" i="4"/>
  <c r="P102" i="4"/>
  <c r="O348" i="4"/>
  <c r="AK97" i="4"/>
  <c r="AM94" i="4"/>
  <c r="AM96" i="4"/>
  <c r="AL96" i="4"/>
  <c r="AL94" i="4"/>
  <c r="AJ368" i="4"/>
  <c r="AJ377" i="4" s="1"/>
  <c r="AJ367" i="4"/>
  <c r="AJ376" i="4" s="1"/>
  <c r="Q348" i="8" l="1"/>
  <c r="R102" i="8"/>
  <c r="M127" i="8"/>
  <c r="L131" i="8" s="1"/>
  <c r="L132" i="8" s="1"/>
  <c r="L133" i="8" s="1"/>
  <c r="F174" i="8"/>
  <c r="Q109" i="8"/>
  <c r="N123" i="8"/>
  <c r="I152" i="8"/>
  <c r="I153" i="8"/>
  <c r="I148" i="8"/>
  <c r="O117" i="8"/>
  <c r="O286" i="8"/>
  <c r="O305" i="8" s="1"/>
  <c r="O345" i="8" s="1"/>
  <c r="D186" i="8"/>
  <c r="D187" i="8"/>
  <c r="D183" i="8"/>
  <c r="D184" i="8" s="1"/>
  <c r="C314" i="8"/>
  <c r="C331" i="8" s="1"/>
  <c r="C360" i="8" s="1"/>
  <c r="H157" i="8"/>
  <c r="G170" i="8"/>
  <c r="G169" i="8"/>
  <c r="K138" i="8"/>
  <c r="O115" i="8"/>
  <c r="O116" i="8" s="1"/>
  <c r="F313" i="8"/>
  <c r="F325" i="8" s="1"/>
  <c r="F354" i="8" s="1"/>
  <c r="H312" i="8"/>
  <c r="H327" i="8" s="1"/>
  <c r="H356" i="8" s="1"/>
  <c r="L135" i="8"/>
  <c r="L136" i="8"/>
  <c r="C189" i="8"/>
  <c r="P103" i="4"/>
  <c r="P104" i="4" s="1"/>
  <c r="M329" i="4"/>
  <c r="M121" i="4"/>
  <c r="M123" i="4" s="1"/>
  <c r="AL97" i="4"/>
  <c r="O110" i="4"/>
  <c r="N114" i="4" s="1"/>
  <c r="N119" i="4"/>
  <c r="N118" i="4"/>
  <c r="AK367" i="4"/>
  <c r="AK376" i="4" s="1"/>
  <c r="AK368" i="4"/>
  <c r="AK377" i="4" s="1"/>
  <c r="I149" i="8" l="1"/>
  <c r="I150" i="8" s="1"/>
  <c r="E181" i="8"/>
  <c r="D188" i="8"/>
  <c r="D189" i="8" s="1"/>
  <c r="D191" i="8" s="1"/>
  <c r="M130" i="8"/>
  <c r="L137" i="8"/>
  <c r="L311" i="8" s="1"/>
  <c r="L328" i="8" s="1"/>
  <c r="L357" i="8" s="1"/>
  <c r="K140" i="8"/>
  <c r="N124" i="8"/>
  <c r="N125" i="8" s="1"/>
  <c r="N126" i="8" s="1"/>
  <c r="Q110" i="8"/>
  <c r="P113" i="8"/>
  <c r="O120" i="8"/>
  <c r="O310" i="8" s="1"/>
  <c r="O329" i="8" s="1"/>
  <c r="O358" i="8" s="1"/>
  <c r="F175" i="8"/>
  <c r="F176" i="8" s="1"/>
  <c r="F177" i="8" s="1"/>
  <c r="C191" i="8"/>
  <c r="L134" i="8"/>
  <c r="L287" i="8"/>
  <c r="L304" i="8" s="1"/>
  <c r="L344" i="8" s="1"/>
  <c r="H158" i="8"/>
  <c r="H159" i="8" s="1"/>
  <c r="H160" i="8" s="1"/>
  <c r="I151" i="8"/>
  <c r="I288" i="8"/>
  <c r="I303" i="8" s="1"/>
  <c r="I343" i="8" s="1"/>
  <c r="R103" i="8"/>
  <c r="N286" i="4"/>
  <c r="N305" i="4" s="1"/>
  <c r="N345" i="4" s="1"/>
  <c r="N117" i="4"/>
  <c r="N115" i="4"/>
  <c r="N116" i="4" s="1"/>
  <c r="N120" i="4" s="1"/>
  <c r="AM97" i="4"/>
  <c r="P106" i="4"/>
  <c r="P107" i="4" s="1"/>
  <c r="M124" i="4"/>
  <c r="M125" i="4" s="1"/>
  <c r="M126" i="4" s="1"/>
  <c r="P105" i="4"/>
  <c r="AL367" i="4"/>
  <c r="AL376" i="4" s="1"/>
  <c r="AL368" i="4"/>
  <c r="AL377" i="4" s="1"/>
  <c r="AM367" i="4"/>
  <c r="AM376" i="4" s="1"/>
  <c r="AM368" i="4"/>
  <c r="AM377" i="4" s="1"/>
  <c r="L138" i="8" l="1"/>
  <c r="L140" i="8" s="1"/>
  <c r="J147" i="8"/>
  <c r="I154" i="8"/>
  <c r="I312" i="8" s="1"/>
  <c r="I327" i="8" s="1"/>
  <c r="I356" i="8" s="1"/>
  <c r="H161" i="8"/>
  <c r="G165" i="8" s="1"/>
  <c r="N127" i="8"/>
  <c r="M131" i="8" s="1"/>
  <c r="D192" i="8"/>
  <c r="D193" i="8" s="1"/>
  <c r="K141" i="8"/>
  <c r="K142" i="8" s="1"/>
  <c r="K143" i="8" s="1"/>
  <c r="O121" i="8"/>
  <c r="M135" i="8"/>
  <c r="M136" i="8"/>
  <c r="R106" i="8"/>
  <c r="R107" i="8" s="1"/>
  <c r="D314" i="8"/>
  <c r="D331" i="8" s="1"/>
  <c r="D360" i="8" s="1"/>
  <c r="C192" i="8"/>
  <c r="C193" i="8" s="1"/>
  <c r="C194" i="8" s="1"/>
  <c r="R104" i="8"/>
  <c r="R105" i="8" s="1"/>
  <c r="E187" i="8"/>
  <c r="E186" i="8"/>
  <c r="P118" i="8"/>
  <c r="P119" i="8"/>
  <c r="P114" i="8"/>
  <c r="F178" i="8"/>
  <c r="E182" i="8" s="1"/>
  <c r="O113" i="4"/>
  <c r="N310" i="4"/>
  <c r="Q102" i="4"/>
  <c r="P348" i="4"/>
  <c r="P109" i="4"/>
  <c r="I155" i="8" l="1"/>
  <c r="I157" i="8" s="1"/>
  <c r="J153" i="8"/>
  <c r="J152" i="8"/>
  <c r="R348" i="8"/>
  <c r="S102" i="8"/>
  <c r="K144" i="8"/>
  <c r="J148" i="8" s="1"/>
  <c r="C195" i="8"/>
  <c r="D194" i="8"/>
  <c r="E185" i="8"/>
  <c r="E290" i="8"/>
  <c r="E307" i="8" s="1"/>
  <c r="E347" i="8" s="1"/>
  <c r="P117" i="8"/>
  <c r="P286" i="8"/>
  <c r="P305" i="8" s="1"/>
  <c r="P345" i="8" s="1"/>
  <c r="E183" i="8"/>
  <c r="E184" i="8" s="1"/>
  <c r="G168" i="8"/>
  <c r="G289" i="8"/>
  <c r="G301" i="8" s="1"/>
  <c r="G340" i="8" s="1"/>
  <c r="G166" i="8"/>
  <c r="G167" i="8" s="1"/>
  <c r="P115" i="8"/>
  <c r="L141" i="8"/>
  <c r="L142" i="8" s="1"/>
  <c r="L143" i="8" s="1"/>
  <c r="M134" i="8"/>
  <c r="M287" i="8"/>
  <c r="M304" i="8" s="1"/>
  <c r="M344" i="8" s="1"/>
  <c r="I158" i="8"/>
  <c r="I159" i="8" s="1"/>
  <c r="I160" i="8" s="1"/>
  <c r="R109" i="8"/>
  <c r="M132" i="8"/>
  <c r="M133" i="8" s="1"/>
  <c r="P116" i="8"/>
  <c r="O123" i="8"/>
  <c r="Q103" i="4"/>
  <c r="Q104" i="4" s="1"/>
  <c r="N329" i="4"/>
  <c r="N121" i="4"/>
  <c r="N123" i="4" s="1"/>
  <c r="N124" i="4" s="1"/>
  <c r="N125" i="4" s="1"/>
  <c r="N126" i="4" s="1"/>
  <c r="O118" i="4"/>
  <c r="O119" i="4"/>
  <c r="P110" i="4"/>
  <c r="O114" i="4" s="1"/>
  <c r="N130" i="8" l="1"/>
  <c r="M137" i="8"/>
  <c r="I161" i="8"/>
  <c r="L144" i="8"/>
  <c r="K148" i="8" s="1"/>
  <c r="H164" i="8"/>
  <c r="G171" i="8"/>
  <c r="R110" i="8"/>
  <c r="J151" i="8"/>
  <c r="J149" i="8"/>
  <c r="J150" i="8" s="1"/>
  <c r="J288" i="8"/>
  <c r="J303" i="8" s="1"/>
  <c r="J343" i="8" s="1"/>
  <c r="O124" i="8"/>
  <c r="O125" i="8" s="1"/>
  <c r="O126" i="8" s="1"/>
  <c r="F181" i="8"/>
  <c r="E188" i="8"/>
  <c r="E189" i="8" s="1"/>
  <c r="Q113" i="8"/>
  <c r="P120" i="8"/>
  <c r="D195" i="8"/>
  <c r="C199" i="8" s="1"/>
  <c r="S103" i="8"/>
  <c r="O286" i="4"/>
  <c r="O305" i="4" s="1"/>
  <c r="O345" i="4" s="1"/>
  <c r="O117" i="4"/>
  <c r="O115" i="4"/>
  <c r="O116" i="4" s="1"/>
  <c r="O120" i="4" s="1"/>
  <c r="Q106" i="4"/>
  <c r="Q107" i="4" s="1"/>
  <c r="Q105" i="4"/>
  <c r="Q114" i="8" l="1"/>
  <c r="O127" i="8"/>
  <c r="N131" i="8" s="1"/>
  <c r="E191" i="8"/>
  <c r="G313" i="8"/>
  <c r="G325" i="8" s="1"/>
  <c r="G354" i="8" s="1"/>
  <c r="K151" i="8"/>
  <c r="K288" i="8"/>
  <c r="K303" i="8" s="1"/>
  <c r="K343" i="8" s="1"/>
  <c r="F187" i="8"/>
  <c r="F186" i="8"/>
  <c r="H165" i="8"/>
  <c r="K147" i="8"/>
  <c r="J154" i="8"/>
  <c r="J155" i="8" s="1"/>
  <c r="M311" i="8"/>
  <c r="M328" i="8" s="1"/>
  <c r="M357" i="8" s="1"/>
  <c r="M138" i="8"/>
  <c r="P310" i="8"/>
  <c r="P329" i="8" s="1"/>
  <c r="P358" i="8" s="1"/>
  <c r="P121" i="8"/>
  <c r="S104" i="8"/>
  <c r="S105" i="8" s="1"/>
  <c r="N136" i="8"/>
  <c r="N135" i="8"/>
  <c r="N132" i="8"/>
  <c r="N133" i="8" s="1"/>
  <c r="Q117" i="8"/>
  <c r="Q286" i="8"/>
  <c r="Q305" i="8" s="1"/>
  <c r="Q345" i="8" s="1"/>
  <c r="Q119" i="8"/>
  <c r="Q118" i="8"/>
  <c r="Q115" i="8"/>
  <c r="Q116" i="8" s="1"/>
  <c r="E314" i="8"/>
  <c r="E331" i="8" s="1"/>
  <c r="E360" i="8" s="1"/>
  <c r="H170" i="8"/>
  <c r="H169" i="8"/>
  <c r="S106" i="8"/>
  <c r="S107" i="8" s="1"/>
  <c r="C291" i="8"/>
  <c r="C302" i="8" s="1"/>
  <c r="C341" i="8" s="1"/>
  <c r="C202" i="8"/>
  <c r="C201" i="8"/>
  <c r="G172" i="8"/>
  <c r="Q109" i="4"/>
  <c r="P113" i="4"/>
  <c r="O310" i="4"/>
  <c r="Q348" i="4"/>
  <c r="R102" i="4"/>
  <c r="R113" i="8" l="1"/>
  <c r="Q120" i="8"/>
  <c r="O130" i="8"/>
  <c r="N137" i="8"/>
  <c r="N311" i="8" s="1"/>
  <c r="N328" i="8" s="1"/>
  <c r="N357" i="8" s="1"/>
  <c r="S348" i="8"/>
  <c r="T102" i="8"/>
  <c r="S109" i="8"/>
  <c r="H166" i="8"/>
  <c r="H167" i="8" s="1"/>
  <c r="K153" i="8"/>
  <c r="K152" i="8"/>
  <c r="K149" i="8"/>
  <c r="K150" i="8" s="1"/>
  <c r="G174" i="8"/>
  <c r="H168" i="8"/>
  <c r="H289" i="8"/>
  <c r="H301" i="8" s="1"/>
  <c r="H340" i="8" s="1"/>
  <c r="P123" i="8"/>
  <c r="M140" i="8"/>
  <c r="J157" i="8"/>
  <c r="E192" i="8"/>
  <c r="E193" i="8" s="1"/>
  <c r="E194" i="8" s="1"/>
  <c r="N134" i="8"/>
  <c r="N287" i="8"/>
  <c r="N304" i="8" s="1"/>
  <c r="N344" i="8" s="1"/>
  <c r="D198" i="8"/>
  <c r="C205" i="8"/>
  <c r="C206" i="8" s="1"/>
  <c r="J312" i="8"/>
  <c r="J327" i="8" s="1"/>
  <c r="J356" i="8" s="1"/>
  <c r="R103" i="4"/>
  <c r="R104" i="4" s="1"/>
  <c r="O329" i="4"/>
  <c r="O121" i="4"/>
  <c r="P118" i="4"/>
  <c r="P119" i="4"/>
  <c r="Q110" i="4"/>
  <c r="P114" i="4" s="1"/>
  <c r="N138" i="8" l="1"/>
  <c r="E195" i="8"/>
  <c r="D199" i="8" s="1"/>
  <c r="L147" i="8"/>
  <c r="K154" i="8"/>
  <c r="K312" i="8" s="1"/>
  <c r="K327" i="8" s="1"/>
  <c r="K356" i="8" s="1"/>
  <c r="C208" i="8"/>
  <c r="I164" i="8"/>
  <c r="H171" i="8"/>
  <c r="H172" i="8" s="1"/>
  <c r="N140" i="8"/>
  <c r="G175" i="8"/>
  <c r="G176" i="8" s="1"/>
  <c r="G177" i="8" s="1"/>
  <c r="S110" i="8"/>
  <c r="R114" i="8" s="1"/>
  <c r="R115" i="8" s="1"/>
  <c r="R116" i="8" s="1"/>
  <c r="T103" i="8"/>
  <c r="C315" i="8"/>
  <c r="C326" i="8" s="1"/>
  <c r="C355" i="8" s="1"/>
  <c r="Q310" i="8"/>
  <c r="Q329" i="8" s="1"/>
  <c r="Q358" i="8" s="1"/>
  <c r="Q121" i="8"/>
  <c r="J158" i="8"/>
  <c r="J159" i="8" s="1"/>
  <c r="J160" i="8" s="1"/>
  <c r="O136" i="8"/>
  <c r="O135" i="8"/>
  <c r="M141" i="8"/>
  <c r="M142" i="8" s="1"/>
  <c r="M143" i="8" s="1"/>
  <c r="D203" i="8"/>
  <c r="D200" i="8"/>
  <c r="D201" i="8" s="1"/>
  <c r="D204" i="8"/>
  <c r="P124" i="8"/>
  <c r="P125" i="8" s="1"/>
  <c r="P126" i="8" s="1"/>
  <c r="R118" i="8"/>
  <c r="R119" i="8"/>
  <c r="P286" i="4"/>
  <c r="P305" i="4" s="1"/>
  <c r="P345" i="4" s="1"/>
  <c r="P117" i="4"/>
  <c r="P115" i="4"/>
  <c r="P116" i="4" s="1"/>
  <c r="P120" i="4" s="1"/>
  <c r="O123" i="4"/>
  <c r="R106" i="4"/>
  <c r="R107" i="4" s="1"/>
  <c r="R105" i="4"/>
  <c r="E198" i="8" l="1"/>
  <c r="D205" i="8"/>
  <c r="M144" i="8"/>
  <c r="L148" i="8" s="1"/>
  <c r="J161" i="8"/>
  <c r="I165" i="8" s="1"/>
  <c r="S113" i="8"/>
  <c r="R120" i="8"/>
  <c r="R310" i="8" s="1"/>
  <c r="R329" i="8" s="1"/>
  <c r="R358" i="8" s="1"/>
  <c r="I170" i="8"/>
  <c r="I169" i="8"/>
  <c r="N141" i="8"/>
  <c r="N142" i="8" s="1"/>
  <c r="N143" i="8" s="1"/>
  <c r="T106" i="8"/>
  <c r="T107" i="8" s="1"/>
  <c r="T104" i="8"/>
  <c r="T105" i="8" s="1"/>
  <c r="C209" i="8"/>
  <c r="C210" i="8" s="1"/>
  <c r="C211" i="8" s="1"/>
  <c r="Q123" i="8"/>
  <c r="H313" i="8"/>
  <c r="H325" i="8" s="1"/>
  <c r="H354" i="8" s="1"/>
  <c r="R117" i="8"/>
  <c r="R286" i="8"/>
  <c r="R305" i="8" s="1"/>
  <c r="R345" i="8" s="1"/>
  <c r="D202" i="8"/>
  <c r="D206" i="8" s="1"/>
  <c r="D291" i="8"/>
  <c r="D302" i="8" s="1"/>
  <c r="D341" i="8" s="1"/>
  <c r="H174" i="8"/>
  <c r="L153" i="8"/>
  <c r="L152" i="8"/>
  <c r="L149" i="8"/>
  <c r="L150" i="8" s="1"/>
  <c r="P127" i="8"/>
  <c r="O131" i="8" s="1"/>
  <c r="G178" i="8"/>
  <c r="F182" i="8" s="1"/>
  <c r="K155" i="8"/>
  <c r="Q113" i="4"/>
  <c r="P310" i="4"/>
  <c r="R348" i="4"/>
  <c r="S102" i="4"/>
  <c r="R109" i="4"/>
  <c r="O124" i="4"/>
  <c r="O125" i="4" s="1"/>
  <c r="O126" i="4" s="1"/>
  <c r="R121" i="8" l="1"/>
  <c r="C212" i="8"/>
  <c r="T348" i="8"/>
  <c r="U102" i="8"/>
  <c r="N144" i="8"/>
  <c r="M147" i="8"/>
  <c r="L154" i="8"/>
  <c r="L312" i="8" s="1"/>
  <c r="L327" i="8" s="1"/>
  <c r="L356" i="8" s="1"/>
  <c r="T109" i="8"/>
  <c r="R123" i="8"/>
  <c r="H175" i="8"/>
  <c r="H176" i="8" s="1"/>
  <c r="H177" i="8" s="1"/>
  <c r="Q124" i="8"/>
  <c r="Q125" i="8" s="1"/>
  <c r="Q126" i="8" s="1"/>
  <c r="F185" i="8"/>
  <c r="F290" i="8"/>
  <c r="F307" i="8" s="1"/>
  <c r="F347" i="8" s="1"/>
  <c r="F183" i="8"/>
  <c r="F184" i="8" s="1"/>
  <c r="S119" i="8"/>
  <c r="S118" i="8"/>
  <c r="I168" i="8"/>
  <c r="I289" i="8"/>
  <c r="I301" i="8" s="1"/>
  <c r="I340" i="8" s="1"/>
  <c r="O134" i="8"/>
  <c r="O287" i="8"/>
  <c r="O304" i="8" s="1"/>
  <c r="O344" i="8" s="1"/>
  <c r="O132" i="8"/>
  <c r="O133" i="8" s="1"/>
  <c r="K157" i="8"/>
  <c r="L151" i="8"/>
  <c r="L288" i="8"/>
  <c r="L303" i="8" s="1"/>
  <c r="L343" i="8" s="1"/>
  <c r="D315" i="8"/>
  <c r="D326" i="8" s="1"/>
  <c r="D355" i="8" s="1"/>
  <c r="D208" i="8"/>
  <c r="I166" i="8"/>
  <c r="I167" i="8" s="1"/>
  <c r="E203" i="8"/>
  <c r="E204" i="8"/>
  <c r="S103" i="4"/>
  <c r="S104" i="4" s="1"/>
  <c r="P329" i="4"/>
  <c r="Q118" i="4"/>
  <c r="Q119" i="4"/>
  <c r="P121" i="4"/>
  <c r="P123" i="4" s="1"/>
  <c r="P124" i="4" s="1"/>
  <c r="P125" i="4" s="1"/>
  <c r="P126" i="4" s="1"/>
  <c r="R110" i="4"/>
  <c r="Q114" i="4" s="1"/>
  <c r="L155" i="8" l="1"/>
  <c r="L157" i="8" s="1"/>
  <c r="Q127" i="8"/>
  <c r="H178" i="8"/>
  <c r="T110" i="8"/>
  <c r="S114" i="8" s="1"/>
  <c r="M152" i="8"/>
  <c r="M153" i="8"/>
  <c r="K158" i="8"/>
  <c r="K159" i="8" s="1"/>
  <c r="K160" i="8" s="1"/>
  <c r="G181" i="8"/>
  <c r="F188" i="8"/>
  <c r="M148" i="8"/>
  <c r="M149" i="8" s="1"/>
  <c r="M150" i="8" s="1"/>
  <c r="U103" i="8"/>
  <c r="U104" i="8" s="1"/>
  <c r="U105" i="8" s="1"/>
  <c r="J164" i="8"/>
  <c r="I171" i="8"/>
  <c r="I313" i="8" s="1"/>
  <c r="I325" i="8" s="1"/>
  <c r="I354" i="8" s="1"/>
  <c r="D209" i="8"/>
  <c r="D210" i="8" s="1"/>
  <c r="D211" i="8" s="1"/>
  <c r="P130" i="8"/>
  <c r="O137" i="8"/>
  <c r="O311" i="8" s="1"/>
  <c r="O328" i="8" s="1"/>
  <c r="O357" i="8" s="1"/>
  <c r="R124" i="8"/>
  <c r="R125" i="8" s="1"/>
  <c r="R126" i="8" s="1"/>
  <c r="Q286" i="4"/>
  <c r="Q305" i="4" s="1"/>
  <c r="Q345" i="4" s="1"/>
  <c r="Q117" i="4"/>
  <c r="Q115" i="4"/>
  <c r="Q116" i="4" s="1"/>
  <c r="Q120" i="4" s="1"/>
  <c r="S105" i="4"/>
  <c r="S106" i="4"/>
  <c r="S107" i="4" s="1"/>
  <c r="G182" i="8" l="1"/>
  <c r="R127" i="8"/>
  <c r="U348" i="8"/>
  <c r="V102" i="8"/>
  <c r="K161" i="8"/>
  <c r="J165" i="8" s="1"/>
  <c r="J166" i="8" s="1"/>
  <c r="J167" i="8" s="1"/>
  <c r="N147" i="8"/>
  <c r="M154" i="8"/>
  <c r="M312" i="8" s="1"/>
  <c r="M327" i="8" s="1"/>
  <c r="M356" i="8" s="1"/>
  <c r="D212" i="8"/>
  <c r="C216" i="8" s="1"/>
  <c r="F314" i="8"/>
  <c r="F331" i="8" s="1"/>
  <c r="F360" i="8" s="1"/>
  <c r="P131" i="8"/>
  <c r="P132" i="8" s="1"/>
  <c r="P133" i="8" s="1"/>
  <c r="L158" i="8"/>
  <c r="L159" i="8" s="1"/>
  <c r="L160" i="8" s="1"/>
  <c r="M151" i="8"/>
  <c r="M155" i="8" s="1"/>
  <c r="M288" i="8"/>
  <c r="M303" i="8" s="1"/>
  <c r="M343" i="8" s="1"/>
  <c r="S117" i="8"/>
  <c r="S286" i="8"/>
  <c r="S305" i="8" s="1"/>
  <c r="S345" i="8" s="1"/>
  <c r="S115" i="8"/>
  <c r="S116" i="8" s="1"/>
  <c r="G185" i="8"/>
  <c r="G290" i="8"/>
  <c r="G307" i="8" s="1"/>
  <c r="G347" i="8" s="1"/>
  <c r="P136" i="8"/>
  <c r="P135" i="8"/>
  <c r="G186" i="8"/>
  <c r="G187" i="8"/>
  <c r="G183" i="8"/>
  <c r="G184" i="8" s="1"/>
  <c r="F189" i="8"/>
  <c r="I172" i="8"/>
  <c r="O138" i="8"/>
  <c r="J169" i="8"/>
  <c r="J170" i="8"/>
  <c r="U106" i="8"/>
  <c r="U107" i="8" s="1"/>
  <c r="U109" i="8" s="1"/>
  <c r="R113" i="4"/>
  <c r="Q310" i="4"/>
  <c r="S109" i="4"/>
  <c r="S348" i="4"/>
  <c r="T102" i="4"/>
  <c r="H181" i="8" l="1"/>
  <c r="G188" i="8"/>
  <c r="L161" i="8"/>
  <c r="K165" i="8" s="1"/>
  <c r="Q130" i="8"/>
  <c r="Q131" i="8" s="1"/>
  <c r="P137" i="8"/>
  <c r="P311" i="8" s="1"/>
  <c r="P328" i="8" s="1"/>
  <c r="P357" i="8" s="1"/>
  <c r="M157" i="8"/>
  <c r="G189" i="8"/>
  <c r="U110" i="8"/>
  <c r="T114" i="8" s="1"/>
  <c r="K164" i="8"/>
  <c r="J171" i="8"/>
  <c r="J313" i="8" s="1"/>
  <c r="J325" i="8" s="1"/>
  <c r="J354" i="8" s="1"/>
  <c r="T113" i="8"/>
  <c r="S120" i="8"/>
  <c r="C219" i="8"/>
  <c r="C292" i="8"/>
  <c r="C299" i="8" s="1"/>
  <c r="C338" i="8" s="1"/>
  <c r="C218" i="8"/>
  <c r="P134" i="8"/>
  <c r="P287" i="8"/>
  <c r="P304" i="8" s="1"/>
  <c r="P344" i="8" s="1"/>
  <c r="O140" i="8"/>
  <c r="N152" i="8"/>
  <c r="N153" i="8"/>
  <c r="J168" i="8"/>
  <c r="J289" i="8"/>
  <c r="J301" i="8" s="1"/>
  <c r="J340" i="8" s="1"/>
  <c r="I174" i="8"/>
  <c r="V103" i="8"/>
  <c r="F191" i="8"/>
  <c r="T103" i="4"/>
  <c r="T104" i="4" s="1"/>
  <c r="Q329" i="4"/>
  <c r="Q121" i="4"/>
  <c r="Q123" i="4" s="1"/>
  <c r="R118" i="4"/>
  <c r="R119" i="4"/>
  <c r="S110" i="4"/>
  <c r="R114" i="4" s="1"/>
  <c r="P138" i="8" l="1"/>
  <c r="J172" i="8"/>
  <c r="J174" i="8" s="1"/>
  <c r="J175" i="8" s="1"/>
  <c r="J176" i="8" s="1"/>
  <c r="P140" i="8"/>
  <c r="I175" i="8"/>
  <c r="I176" i="8" s="1"/>
  <c r="I177" i="8" s="1"/>
  <c r="O141" i="8"/>
  <c r="O142" i="8" s="1"/>
  <c r="O143" i="8" s="1"/>
  <c r="K170" i="8"/>
  <c r="K166" i="8"/>
  <c r="K167" i="8" s="1"/>
  <c r="L164" i="8" s="1"/>
  <c r="K169" i="8"/>
  <c r="G191" i="8"/>
  <c r="Q135" i="8"/>
  <c r="Q136" i="8"/>
  <c r="Q132" i="8"/>
  <c r="Q133" i="8" s="1"/>
  <c r="M158" i="8"/>
  <c r="M159" i="8" s="1"/>
  <c r="M160" i="8" s="1"/>
  <c r="T117" i="8"/>
  <c r="T286" i="8"/>
  <c r="T305" i="8" s="1"/>
  <c r="T345" i="8" s="1"/>
  <c r="D215" i="8"/>
  <c r="C222" i="8"/>
  <c r="V106" i="8"/>
  <c r="V107" i="8" s="1"/>
  <c r="V109" i="8" s="1"/>
  <c r="S310" i="8"/>
  <c r="S329" i="8" s="1"/>
  <c r="S358" i="8" s="1"/>
  <c r="S121" i="8"/>
  <c r="K168" i="8"/>
  <c r="K289" i="8"/>
  <c r="K301" i="8" s="1"/>
  <c r="K340" i="8" s="1"/>
  <c r="Q134" i="8"/>
  <c r="Q287" i="8"/>
  <c r="Q304" i="8" s="1"/>
  <c r="Q344" i="8" s="1"/>
  <c r="V104" i="8"/>
  <c r="T118" i="8"/>
  <c r="T119" i="8"/>
  <c r="T115" i="8"/>
  <c r="T116" i="8" s="1"/>
  <c r="U113" i="8" s="1"/>
  <c r="G314" i="8"/>
  <c r="G331" i="8" s="1"/>
  <c r="G360" i="8" s="1"/>
  <c r="F192" i="8"/>
  <c r="F193" i="8" s="1"/>
  <c r="F194" i="8" s="1"/>
  <c r="V105" i="8"/>
  <c r="H187" i="8"/>
  <c r="H186" i="8"/>
  <c r="R286" i="4"/>
  <c r="R305" i="4" s="1"/>
  <c r="R345" i="4" s="1"/>
  <c r="R117" i="4"/>
  <c r="R115" i="4"/>
  <c r="R116" i="4" s="1"/>
  <c r="R120" i="4" s="1"/>
  <c r="T106" i="4"/>
  <c r="T107" i="4" s="1"/>
  <c r="T109" i="4" s="1"/>
  <c r="T105" i="4"/>
  <c r="Q124" i="4"/>
  <c r="Q125" i="4" s="1"/>
  <c r="Q126" i="4" s="1"/>
  <c r="J177" i="8" l="1"/>
  <c r="V110" i="8"/>
  <c r="U114" i="8" s="1"/>
  <c r="R130" i="8"/>
  <c r="Q137" i="8"/>
  <c r="Q311" i="8" s="1"/>
  <c r="Q328" i="8" s="1"/>
  <c r="Q357" i="8" s="1"/>
  <c r="I178" i="8"/>
  <c r="H182" i="8" s="1"/>
  <c r="F195" i="8"/>
  <c r="E199" i="8" s="1"/>
  <c r="M161" i="8"/>
  <c r="L165" i="8" s="1"/>
  <c r="L166" i="8" s="1"/>
  <c r="L167" i="8" s="1"/>
  <c r="C316" i="8"/>
  <c r="C323" i="8" s="1"/>
  <c r="C352" i="8" s="1"/>
  <c r="V348" i="8"/>
  <c r="W102" i="8"/>
  <c r="S123" i="8"/>
  <c r="L170" i="8"/>
  <c r="L169" i="8"/>
  <c r="O144" i="8"/>
  <c r="N148" i="8" s="1"/>
  <c r="T120" i="8"/>
  <c r="T310" i="8" s="1"/>
  <c r="T329" i="8" s="1"/>
  <c r="T358" i="8" s="1"/>
  <c r="D221" i="8"/>
  <c r="D220" i="8"/>
  <c r="U118" i="8"/>
  <c r="U119" i="8"/>
  <c r="U115" i="8"/>
  <c r="U116" i="8" s="1"/>
  <c r="K171" i="8"/>
  <c r="K313" i="8" s="1"/>
  <c r="K325" i="8" s="1"/>
  <c r="K354" i="8" s="1"/>
  <c r="P141" i="8"/>
  <c r="P142" i="8" s="1"/>
  <c r="P143" i="8" s="1"/>
  <c r="C223" i="8"/>
  <c r="G192" i="8"/>
  <c r="G193" i="8" s="1"/>
  <c r="G194" i="8" s="1"/>
  <c r="S113" i="4"/>
  <c r="R310" i="4"/>
  <c r="T110" i="4"/>
  <c r="S114" i="4" s="1"/>
  <c r="T348" i="4"/>
  <c r="U102" i="4"/>
  <c r="J178" i="8" l="1"/>
  <c r="Q138" i="8"/>
  <c r="Q140" i="8" s="1"/>
  <c r="K172" i="8"/>
  <c r="T121" i="8"/>
  <c r="T123" i="8" s="1"/>
  <c r="T124" i="8" s="1"/>
  <c r="T125" i="8" s="1"/>
  <c r="G195" i="8"/>
  <c r="F199" i="8" s="1"/>
  <c r="F291" i="8" s="1"/>
  <c r="F302" i="8" s="1"/>
  <c r="F341" i="8" s="1"/>
  <c r="P144" i="8"/>
  <c r="M164" i="8"/>
  <c r="L171" i="8"/>
  <c r="L313" i="8" s="1"/>
  <c r="L325" i="8" s="1"/>
  <c r="L354" i="8" s="1"/>
  <c r="V113" i="8"/>
  <c r="U120" i="8"/>
  <c r="U310" i="8" s="1"/>
  <c r="U329" i="8" s="1"/>
  <c r="U358" i="8" s="1"/>
  <c r="C225" i="8"/>
  <c r="S124" i="8"/>
  <c r="S125" i="8" s="1"/>
  <c r="R135" i="8"/>
  <c r="R136" i="8"/>
  <c r="H185" i="8"/>
  <c r="H290" i="8"/>
  <c r="H307" i="8" s="1"/>
  <c r="H347" i="8" s="1"/>
  <c r="H183" i="8"/>
  <c r="H184" i="8" s="1"/>
  <c r="K174" i="8"/>
  <c r="W103" i="8"/>
  <c r="W104" i="8" s="1"/>
  <c r="U117" i="8"/>
  <c r="U286" i="8"/>
  <c r="U305" i="8" s="1"/>
  <c r="U345" i="8" s="1"/>
  <c r="E202" i="8"/>
  <c r="E291" i="8"/>
  <c r="E302" i="8" s="1"/>
  <c r="E341" i="8" s="1"/>
  <c r="E200" i="8"/>
  <c r="E201" i="8" s="1"/>
  <c r="N151" i="8"/>
  <c r="N288" i="8"/>
  <c r="N303" i="8" s="1"/>
  <c r="N343" i="8" s="1"/>
  <c r="N149" i="8"/>
  <c r="N150" i="8" s="1"/>
  <c r="L168" i="8"/>
  <c r="L289" i="8"/>
  <c r="L301" i="8" s="1"/>
  <c r="L340" i="8" s="1"/>
  <c r="U103" i="4"/>
  <c r="U104" i="4" s="1"/>
  <c r="S286" i="4"/>
  <c r="S305" i="4" s="1"/>
  <c r="S345" i="4" s="1"/>
  <c r="S117" i="4"/>
  <c r="R329" i="4"/>
  <c r="R121" i="4"/>
  <c r="R123" i="4" s="1"/>
  <c r="R124" i="4" s="1"/>
  <c r="R125" i="4" s="1"/>
  <c r="R126" i="4" s="1"/>
  <c r="S115" i="4"/>
  <c r="S116" i="4" s="1"/>
  <c r="S120" i="4" s="1"/>
  <c r="S118" i="4"/>
  <c r="S119" i="4"/>
  <c r="L172" i="8" l="1"/>
  <c r="L174" i="8" s="1"/>
  <c r="T126" i="8"/>
  <c r="U121" i="8"/>
  <c r="U123" i="8" s="1"/>
  <c r="S126" i="8"/>
  <c r="S127" i="8" s="1"/>
  <c r="R131" i="8" s="1"/>
  <c r="I181" i="8"/>
  <c r="H188" i="8"/>
  <c r="F198" i="8"/>
  <c r="E205" i="8"/>
  <c r="L175" i="8"/>
  <c r="L176" i="8" s="1"/>
  <c r="O147" i="8"/>
  <c r="O148" i="8" s="1"/>
  <c r="N154" i="8"/>
  <c r="N312" i="8" s="1"/>
  <c r="N327" i="8" s="1"/>
  <c r="N356" i="8" s="1"/>
  <c r="U124" i="8"/>
  <c r="U125" i="8" s="1"/>
  <c r="U126" i="8" s="1"/>
  <c r="C226" i="8"/>
  <c r="C227" i="8" s="1"/>
  <c r="C228" i="8" s="1"/>
  <c r="Q141" i="8"/>
  <c r="Q142" i="8" s="1"/>
  <c r="Q143" i="8" s="1"/>
  <c r="M169" i="8"/>
  <c r="M170" i="8"/>
  <c r="V118" i="8"/>
  <c r="V119" i="8"/>
  <c r="W106" i="8"/>
  <c r="W107" i="8" s="1"/>
  <c r="W109" i="8" s="1"/>
  <c r="K175" i="8"/>
  <c r="K176" i="8" s="1"/>
  <c r="K177" i="8" s="1"/>
  <c r="F202" i="8"/>
  <c r="W105" i="8"/>
  <c r="U106" i="4"/>
  <c r="U107" i="4" s="1"/>
  <c r="U109" i="4" s="1"/>
  <c r="U105" i="4"/>
  <c r="T113" i="4"/>
  <c r="S310" i="4"/>
  <c r="T127" i="8" l="1"/>
  <c r="S131" i="8" s="1"/>
  <c r="W110" i="8"/>
  <c r="V114" i="8" s="1"/>
  <c r="K178" i="8"/>
  <c r="Q144" i="8"/>
  <c r="O151" i="8"/>
  <c r="O288" i="8"/>
  <c r="O303" i="8" s="1"/>
  <c r="O343" i="8" s="1"/>
  <c r="L177" i="8"/>
  <c r="E315" i="8"/>
  <c r="E326" i="8" s="1"/>
  <c r="E355" i="8" s="1"/>
  <c r="E206" i="8"/>
  <c r="S134" i="8"/>
  <c r="S287" i="8"/>
  <c r="S304" i="8" s="1"/>
  <c r="S344" i="8" s="1"/>
  <c r="F203" i="8"/>
  <c r="F204" i="8"/>
  <c r="F200" i="8"/>
  <c r="F201" i="8" s="1"/>
  <c r="U127" i="8"/>
  <c r="T131" i="8" s="1"/>
  <c r="W348" i="8"/>
  <c r="X102" i="8"/>
  <c r="C229" i="8"/>
  <c r="H314" i="8"/>
  <c r="H331" i="8" s="1"/>
  <c r="H360" i="8" s="1"/>
  <c r="H189" i="8"/>
  <c r="I187" i="8"/>
  <c r="I186" i="8"/>
  <c r="I182" i="8"/>
  <c r="O152" i="8"/>
  <c r="O153" i="8"/>
  <c r="O149" i="8"/>
  <c r="O150" i="8" s="1"/>
  <c r="P147" i="8" s="1"/>
  <c r="R134" i="8"/>
  <c r="R287" i="8"/>
  <c r="R304" i="8" s="1"/>
  <c r="R344" i="8" s="1"/>
  <c r="R132" i="8"/>
  <c r="R133" i="8" s="1"/>
  <c r="N155" i="8"/>
  <c r="S329" i="4"/>
  <c r="S121" i="4"/>
  <c r="S123" i="4" s="1"/>
  <c r="U348" i="4"/>
  <c r="V102" i="4"/>
  <c r="T119" i="4"/>
  <c r="T118" i="4"/>
  <c r="U110" i="4"/>
  <c r="T114" i="4" s="1"/>
  <c r="S130" i="8" l="1"/>
  <c r="R137" i="8"/>
  <c r="R311" i="8" s="1"/>
  <c r="R328" i="8" s="1"/>
  <c r="R357" i="8" s="1"/>
  <c r="G198" i="8"/>
  <c r="F205" i="8"/>
  <c r="P152" i="8"/>
  <c r="P153" i="8"/>
  <c r="E208" i="8"/>
  <c r="N157" i="8"/>
  <c r="T134" i="8"/>
  <c r="T287" i="8"/>
  <c r="T304" i="8" s="1"/>
  <c r="T344" i="8" s="1"/>
  <c r="X103" i="8"/>
  <c r="P148" i="8"/>
  <c r="I185" i="8"/>
  <c r="I290" i="8"/>
  <c r="I307" i="8" s="1"/>
  <c r="I347" i="8" s="1"/>
  <c r="I183" i="8"/>
  <c r="I184" i="8" s="1"/>
  <c r="H191" i="8"/>
  <c r="L178" i="8"/>
  <c r="K182" i="8" s="1"/>
  <c r="O154" i="8"/>
  <c r="O312" i="8" s="1"/>
  <c r="O327" i="8" s="1"/>
  <c r="O356" i="8" s="1"/>
  <c r="V117" i="8"/>
  <c r="V286" i="8"/>
  <c r="V305" i="8" s="1"/>
  <c r="V345" i="8" s="1"/>
  <c r="V115" i="8"/>
  <c r="V116" i="8" s="1"/>
  <c r="V103" i="4"/>
  <c r="V104" i="4" s="1"/>
  <c r="T286" i="4"/>
  <c r="T305" i="4" s="1"/>
  <c r="T345" i="4" s="1"/>
  <c r="T117" i="4"/>
  <c r="T115" i="4"/>
  <c r="T116" i="4" s="1"/>
  <c r="T120" i="4" s="1"/>
  <c r="S124" i="4"/>
  <c r="S125" i="4" s="1"/>
  <c r="S126" i="4" s="1"/>
  <c r="R138" i="8" l="1"/>
  <c r="O155" i="8"/>
  <c r="O157" i="8" s="1"/>
  <c r="W113" i="8"/>
  <c r="V120" i="8"/>
  <c r="V310" i="8" s="1"/>
  <c r="V329" i="8" s="1"/>
  <c r="V358" i="8" s="1"/>
  <c r="J181" i="8"/>
  <c r="I188" i="8"/>
  <c r="G203" i="8"/>
  <c r="G204" i="8"/>
  <c r="K185" i="8"/>
  <c r="H192" i="8"/>
  <c r="H193" i="8" s="1"/>
  <c r="H194" i="8" s="1"/>
  <c r="O158" i="8"/>
  <c r="O159" i="8" s="1"/>
  <c r="O160" i="8" s="1"/>
  <c r="R140" i="8"/>
  <c r="F315" i="8"/>
  <c r="F326" i="8" s="1"/>
  <c r="F355" i="8" s="1"/>
  <c r="N158" i="8"/>
  <c r="N159" i="8" s="1"/>
  <c r="N160" i="8" s="1"/>
  <c r="X106" i="8"/>
  <c r="X107" i="8" s="1"/>
  <c r="X109" i="8" s="1"/>
  <c r="E209" i="8"/>
  <c r="E210" i="8" s="1"/>
  <c r="E211" i="8" s="1"/>
  <c r="S136" i="8"/>
  <c r="S135" i="8"/>
  <c r="S132" i="8"/>
  <c r="S133" i="8" s="1"/>
  <c r="P151" i="8"/>
  <c r="P288" i="8"/>
  <c r="P303" i="8" s="1"/>
  <c r="P343" i="8" s="1"/>
  <c r="X104" i="8"/>
  <c r="X105" i="8" s="1"/>
  <c r="P149" i="8"/>
  <c r="P150" i="8" s="1"/>
  <c r="F206" i="8"/>
  <c r="U113" i="4"/>
  <c r="T310" i="4"/>
  <c r="V106" i="4"/>
  <c r="V107" i="4" s="1"/>
  <c r="V109" i="4" s="1"/>
  <c r="V105" i="4"/>
  <c r="V121" i="8" l="1"/>
  <c r="T130" i="8"/>
  <c r="S137" i="8"/>
  <c r="S311" i="8" s="1"/>
  <c r="S328" i="8" s="1"/>
  <c r="S357" i="8" s="1"/>
  <c r="H195" i="8"/>
  <c r="G199" i="8" s="1"/>
  <c r="X348" i="8"/>
  <c r="Y102" i="8"/>
  <c r="R141" i="8"/>
  <c r="R142" i="8" s="1"/>
  <c r="R143" i="8" s="1"/>
  <c r="X110" i="8"/>
  <c r="W114" i="8" s="1"/>
  <c r="N161" i="8"/>
  <c r="M165" i="8" s="1"/>
  <c r="Q147" i="8"/>
  <c r="P154" i="8"/>
  <c r="J187" i="8"/>
  <c r="J186" i="8"/>
  <c r="J182" i="8"/>
  <c r="I314" i="8"/>
  <c r="I331" i="8" s="1"/>
  <c r="I360" i="8" s="1"/>
  <c r="I189" i="8"/>
  <c r="V123" i="8"/>
  <c r="E212" i="8"/>
  <c r="D216" i="8" s="1"/>
  <c r="F208" i="8"/>
  <c r="W119" i="8"/>
  <c r="W118" i="8"/>
  <c r="T329" i="4"/>
  <c r="T121" i="4"/>
  <c r="T123" i="4" s="1"/>
  <c r="V110" i="4"/>
  <c r="U114" i="4" s="1"/>
  <c r="U118" i="4"/>
  <c r="U119" i="4"/>
  <c r="V348" i="4"/>
  <c r="W102" i="4"/>
  <c r="S138" i="8" l="1"/>
  <c r="W115" i="8"/>
  <c r="W116" i="8" s="1"/>
  <c r="M168" i="8"/>
  <c r="M289" i="8"/>
  <c r="M301" i="8" s="1"/>
  <c r="M340" i="8" s="1"/>
  <c r="M166" i="8"/>
  <c r="M167" i="8" s="1"/>
  <c r="S140" i="8"/>
  <c r="R144" i="8"/>
  <c r="Q148" i="8" s="1"/>
  <c r="Q149" i="8" s="1"/>
  <c r="Q150" i="8" s="1"/>
  <c r="P312" i="8"/>
  <c r="P327" i="8" s="1"/>
  <c r="P356" i="8" s="1"/>
  <c r="P155" i="8"/>
  <c r="V124" i="8"/>
  <c r="V125" i="8" s="1"/>
  <c r="V126" i="8" s="1"/>
  <c r="O161" i="8"/>
  <c r="G202" i="8"/>
  <c r="G291" i="8"/>
  <c r="G302" i="8" s="1"/>
  <c r="G341" i="8" s="1"/>
  <c r="G200" i="8"/>
  <c r="G201" i="8" s="1"/>
  <c r="W117" i="8"/>
  <c r="W286" i="8"/>
  <c r="W305" i="8" s="1"/>
  <c r="W345" i="8" s="1"/>
  <c r="J183" i="8"/>
  <c r="J184" i="8" s="1"/>
  <c r="Q152" i="8"/>
  <c r="Q153" i="8"/>
  <c r="I191" i="8"/>
  <c r="J185" i="8"/>
  <c r="J290" i="8"/>
  <c r="J307" i="8" s="1"/>
  <c r="J347" i="8" s="1"/>
  <c r="K290" i="8"/>
  <c r="K307" i="8" s="1"/>
  <c r="K347" i="8" s="1"/>
  <c r="F209" i="8"/>
  <c r="F210" i="8" s="1"/>
  <c r="F211" i="8" s="1"/>
  <c r="Y103" i="8"/>
  <c r="D219" i="8"/>
  <c r="D292" i="8"/>
  <c r="D299" i="8" s="1"/>
  <c r="D338" i="8" s="1"/>
  <c r="D217" i="8"/>
  <c r="D218" i="8" s="1"/>
  <c r="T136" i="8"/>
  <c r="T135" i="8"/>
  <c r="T132" i="8"/>
  <c r="T133" i="8" s="1"/>
  <c r="W103" i="4"/>
  <c r="W104" i="4" s="1"/>
  <c r="U286" i="4"/>
  <c r="U305" i="4" s="1"/>
  <c r="U345" i="4" s="1"/>
  <c r="U117" i="4"/>
  <c r="U115" i="4"/>
  <c r="U116" i="4" s="1"/>
  <c r="U120" i="4" s="1"/>
  <c r="T124" i="4"/>
  <c r="T125" i="4" s="1"/>
  <c r="T126" i="4" s="1"/>
  <c r="U130" i="8" l="1"/>
  <c r="U136" i="8" s="1"/>
  <c r="T137" i="8"/>
  <c r="T311" i="8" s="1"/>
  <c r="T328" i="8" s="1"/>
  <c r="T357" i="8" s="1"/>
  <c r="R147" i="8"/>
  <c r="Q154" i="8"/>
  <c r="Q312" i="8" s="1"/>
  <c r="Q327" i="8" s="1"/>
  <c r="Q356" i="8" s="1"/>
  <c r="K181" i="8"/>
  <c r="J188" i="8"/>
  <c r="H198" i="8"/>
  <c r="G205" i="8"/>
  <c r="M172" i="8"/>
  <c r="E215" i="8"/>
  <c r="D222" i="8"/>
  <c r="D223" i="8" s="1"/>
  <c r="N164" i="8"/>
  <c r="N165" i="8" s="1"/>
  <c r="M171" i="8"/>
  <c r="M313" i="8" s="1"/>
  <c r="M325" i="8" s="1"/>
  <c r="M354" i="8" s="1"/>
  <c r="X113" i="8"/>
  <c r="W120" i="8"/>
  <c r="W310" i="8" s="1"/>
  <c r="W329" i="8" s="1"/>
  <c r="W358" i="8" s="1"/>
  <c r="I192" i="8"/>
  <c r="I193" i="8" s="1"/>
  <c r="I194" i="8" s="1"/>
  <c r="U135" i="8"/>
  <c r="S141" i="8"/>
  <c r="S142" i="8" s="1"/>
  <c r="S143" i="8" s="1"/>
  <c r="Y106" i="8"/>
  <c r="Y107" i="8" s="1"/>
  <c r="Y109" i="8" s="1"/>
  <c r="Y104" i="8"/>
  <c r="Y105" i="8" s="1"/>
  <c r="V127" i="8"/>
  <c r="U131" i="8" s="1"/>
  <c r="U132" i="8" s="1"/>
  <c r="U133" i="8" s="1"/>
  <c r="P157" i="8"/>
  <c r="F212" i="8"/>
  <c r="E216" i="8" s="1"/>
  <c r="Q151" i="8"/>
  <c r="Q288" i="8"/>
  <c r="Q303" i="8" s="1"/>
  <c r="Q343" i="8" s="1"/>
  <c r="V113" i="4"/>
  <c r="U310" i="4"/>
  <c r="W106" i="4"/>
  <c r="W107" i="4" s="1"/>
  <c r="W109" i="4" s="1"/>
  <c r="W105" i="4"/>
  <c r="T138" i="8" l="1"/>
  <c r="Q155" i="8"/>
  <c r="V130" i="8"/>
  <c r="U137" i="8"/>
  <c r="U311" i="8" s="1"/>
  <c r="U328" i="8" s="1"/>
  <c r="U357" i="8" s="1"/>
  <c r="Q157" i="8"/>
  <c r="Y348" i="8"/>
  <c r="Z102" i="8"/>
  <c r="N168" i="8"/>
  <c r="N289" i="8"/>
  <c r="N301" i="8" s="1"/>
  <c r="N340" i="8" s="1"/>
  <c r="E219" i="8"/>
  <c r="E292" i="8"/>
  <c r="E299" i="8" s="1"/>
  <c r="E338" i="8" s="1"/>
  <c r="D316" i="8"/>
  <c r="D323" i="8" s="1"/>
  <c r="D352" i="8" s="1"/>
  <c r="E220" i="8"/>
  <c r="E217" i="8"/>
  <c r="E221" i="8"/>
  <c r="E218" i="8"/>
  <c r="F215" i="8" s="1"/>
  <c r="G315" i="8"/>
  <c r="G326" i="8" s="1"/>
  <c r="G355" i="8" s="1"/>
  <c r="U134" i="8"/>
  <c r="U138" i="8" s="1"/>
  <c r="U140" i="8" s="1"/>
  <c r="U287" i="8"/>
  <c r="U304" i="8" s="1"/>
  <c r="U344" i="8" s="1"/>
  <c r="H203" i="8"/>
  <c r="H204" i="8"/>
  <c r="J314" i="8"/>
  <c r="J331" i="8" s="1"/>
  <c r="J360" i="8" s="1"/>
  <c r="J189" i="8"/>
  <c r="K187" i="8"/>
  <c r="K186" i="8"/>
  <c r="K183" i="8"/>
  <c r="K184" i="8" s="1"/>
  <c r="L181" i="8" s="1"/>
  <c r="Y110" i="8"/>
  <c r="X114" i="8" s="1"/>
  <c r="G206" i="8"/>
  <c r="X119" i="8"/>
  <c r="X115" i="8"/>
  <c r="X116" i="8" s="1"/>
  <c r="Y113" i="8" s="1"/>
  <c r="X118" i="8"/>
  <c r="W121" i="8"/>
  <c r="P158" i="8"/>
  <c r="P159" i="8" s="1"/>
  <c r="P160" i="8" s="1"/>
  <c r="D225" i="8"/>
  <c r="M174" i="8"/>
  <c r="I195" i="8"/>
  <c r="H199" i="8" s="1"/>
  <c r="S144" i="8"/>
  <c r="R148" i="8" s="1"/>
  <c r="T140" i="8"/>
  <c r="N166" i="8"/>
  <c r="N167" i="8" s="1"/>
  <c r="O164" i="8" s="1"/>
  <c r="N169" i="8"/>
  <c r="N170" i="8"/>
  <c r="R152" i="8"/>
  <c r="R153" i="8"/>
  <c r="U329" i="4"/>
  <c r="V118" i="4"/>
  <c r="V119" i="4"/>
  <c r="U121" i="4"/>
  <c r="U123" i="4" s="1"/>
  <c r="W110" i="4"/>
  <c r="V114" i="4" s="1"/>
  <c r="W348" i="4"/>
  <c r="X102" i="4"/>
  <c r="E222" i="8" l="1"/>
  <c r="E223" i="8" s="1"/>
  <c r="E225" i="8" s="1"/>
  <c r="U141" i="8"/>
  <c r="U142" i="8" s="1"/>
  <c r="X120" i="8"/>
  <c r="X310" i="8" s="1"/>
  <c r="X329" i="8" s="1"/>
  <c r="X358" i="8" s="1"/>
  <c r="R151" i="8"/>
  <c r="R288" i="8"/>
  <c r="R303" i="8" s="1"/>
  <c r="R343" i="8" s="1"/>
  <c r="R149" i="8"/>
  <c r="R150" i="8" s="1"/>
  <c r="G208" i="8"/>
  <c r="Z103" i="8"/>
  <c r="J191" i="8"/>
  <c r="X117" i="8"/>
  <c r="X286" i="8"/>
  <c r="X305" i="8" s="1"/>
  <c r="X345" i="8" s="1"/>
  <c r="Y119" i="8"/>
  <c r="Y118" i="8"/>
  <c r="Q158" i="8"/>
  <c r="Q159" i="8" s="1"/>
  <c r="Q160" i="8" s="1"/>
  <c r="L186" i="8"/>
  <c r="L187" i="8"/>
  <c r="O169" i="8"/>
  <c r="O170" i="8"/>
  <c r="D226" i="8"/>
  <c r="D227" i="8" s="1"/>
  <c r="D228" i="8" s="1"/>
  <c r="F221" i="8"/>
  <c r="F220" i="8"/>
  <c r="H202" i="8"/>
  <c r="H291" i="8"/>
  <c r="H302" i="8" s="1"/>
  <c r="H341" i="8" s="1"/>
  <c r="E316" i="8"/>
  <c r="E323" i="8" s="1"/>
  <c r="E352" i="8" s="1"/>
  <c r="N171" i="8"/>
  <c r="P161" i="8"/>
  <c r="O165" i="8" s="1"/>
  <c r="O166" i="8" s="1"/>
  <c r="K188" i="8"/>
  <c r="K314" i="8" s="1"/>
  <c r="K331" i="8" s="1"/>
  <c r="K360" i="8" s="1"/>
  <c r="W123" i="8"/>
  <c r="H200" i="8"/>
  <c r="H201" i="8" s="1"/>
  <c r="M175" i="8"/>
  <c r="M176" i="8" s="1"/>
  <c r="M177" i="8" s="1"/>
  <c r="T141" i="8"/>
  <c r="T142" i="8" s="1"/>
  <c r="T143" i="8" s="1"/>
  <c r="V135" i="8"/>
  <c r="V136" i="8"/>
  <c r="X103" i="4"/>
  <c r="V286" i="4"/>
  <c r="V305" i="4" s="1"/>
  <c r="V345" i="4" s="1"/>
  <c r="V117" i="4"/>
  <c r="V115" i="4"/>
  <c r="V116" i="4" s="1"/>
  <c r="V120" i="4" s="1"/>
  <c r="U124" i="4"/>
  <c r="U125" i="4" s="1"/>
  <c r="U126" i="4" s="1"/>
  <c r="X121" i="8" l="1"/>
  <c r="X123" i="8" s="1"/>
  <c r="K189" i="8"/>
  <c r="K191" i="8" s="1"/>
  <c r="T144" i="8"/>
  <c r="S148" i="8" s="1"/>
  <c r="M178" i="8"/>
  <c r="L182" i="8" s="1"/>
  <c r="I198" i="8"/>
  <c r="H205" i="8"/>
  <c r="H315" i="8" s="1"/>
  <c r="H326" i="8" s="1"/>
  <c r="H355" i="8" s="1"/>
  <c r="S147" i="8"/>
  <c r="R154" i="8"/>
  <c r="R312" i="8" s="1"/>
  <c r="R327" i="8" s="1"/>
  <c r="R356" i="8" s="1"/>
  <c r="K192" i="8"/>
  <c r="K193" i="8" s="1"/>
  <c r="Q161" i="8"/>
  <c r="G209" i="8"/>
  <c r="G210" i="8" s="1"/>
  <c r="G211" i="8" s="1"/>
  <c r="W124" i="8"/>
  <c r="W125" i="8" s="1"/>
  <c r="W126" i="8" s="1"/>
  <c r="U143" i="8"/>
  <c r="Z106" i="8"/>
  <c r="Z107" i="8" s="1"/>
  <c r="Z109" i="8" s="1"/>
  <c r="D229" i="8"/>
  <c r="C233" i="8" s="1"/>
  <c r="Z104" i="8"/>
  <c r="Z105" i="8" s="1"/>
  <c r="E226" i="8"/>
  <c r="E227" i="8" s="1"/>
  <c r="E228" i="8" s="1"/>
  <c r="O168" i="8"/>
  <c r="O289" i="8"/>
  <c r="O301" i="8" s="1"/>
  <c r="O340" i="8" s="1"/>
  <c r="J192" i="8"/>
  <c r="J193" i="8" s="1"/>
  <c r="J194" i="8" s="1"/>
  <c r="N313" i="8"/>
  <c r="N325" i="8" s="1"/>
  <c r="N354" i="8" s="1"/>
  <c r="N172" i="8"/>
  <c r="X124" i="8"/>
  <c r="X125" i="8" s="1"/>
  <c r="O167" i="8"/>
  <c r="X104" i="4"/>
  <c r="W113" i="4"/>
  <c r="V310" i="4"/>
  <c r="X106" i="4"/>
  <c r="X107" i="4" s="1"/>
  <c r="X109" i="4" s="1"/>
  <c r="K194" i="8" l="1"/>
  <c r="X105" i="4"/>
  <c r="X348" i="4" s="1"/>
  <c r="R155" i="8"/>
  <c r="X126" i="8"/>
  <c r="G212" i="8"/>
  <c r="F216" i="8" s="1"/>
  <c r="W127" i="8"/>
  <c r="V131" i="8" s="1"/>
  <c r="J195" i="8"/>
  <c r="I199" i="8" s="1"/>
  <c r="E229" i="8"/>
  <c r="D233" i="8" s="1"/>
  <c r="Z110" i="8"/>
  <c r="Y114" i="8" s="1"/>
  <c r="N174" i="8"/>
  <c r="U144" i="8"/>
  <c r="T148" i="8" s="1"/>
  <c r="S152" i="8"/>
  <c r="S153" i="8"/>
  <c r="S149" i="8"/>
  <c r="S150" i="8" s="1"/>
  <c r="H206" i="8"/>
  <c r="L185" i="8"/>
  <c r="L290" i="8"/>
  <c r="L307" i="8" s="1"/>
  <c r="L347" i="8" s="1"/>
  <c r="L183" i="8"/>
  <c r="L184" i="8" s="1"/>
  <c r="C236" i="8"/>
  <c r="C293" i="8"/>
  <c r="C306" i="8" s="1"/>
  <c r="C346" i="8" s="1"/>
  <c r="C235" i="8"/>
  <c r="I204" i="8"/>
  <c r="I203" i="8"/>
  <c r="P164" i="8"/>
  <c r="P165" i="8" s="1"/>
  <c r="O171" i="8"/>
  <c r="S151" i="8"/>
  <c r="S288" i="8"/>
  <c r="S303" i="8" s="1"/>
  <c r="S343" i="8" s="1"/>
  <c r="Z348" i="8"/>
  <c r="AA102" i="8"/>
  <c r="R157" i="8"/>
  <c r="Y102" i="4"/>
  <c r="Y103" i="4" s="1"/>
  <c r="V329" i="4"/>
  <c r="V121" i="4"/>
  <c r="X110" i="4"/>
  <c r="W114" i="4" s="1"/>
  <c r="W118" i="4"/>
  <c r="W119" i="4"/>
  <c r="T147" i="8" l="1"/>
  <c r="S154" i="8"/>
  <c r="S312" i="8" s="1"/>
  <c r="S327" i="8" s="1"/>
  <c r="S356" i="8" s="1"/>
  <c r="M181" i="8"/>
  <c r="L188" i="8"/>
  <c r="L314" i="8" s="1"/>
  <c r="L331" i="8" s="1"/>
  <c r="L360" i="8" s="1"/>
  <c r="D236" i="8"/>
  <c r="AA103" i="8"/>
  <c r="AA104" i="8" s="1"/>
  <c r="Y117" i="8"/>
  <c r="Y286" i="8"/>
  <c r="Y305" i="8" s="1"/>
  <c r="Y345" i="8" s="1"/>
  <c r="Y115" i="8"/>
  <c r="Y116" i="8" s="1"/>
  <c r="D232" i="8"/>
  <c r="C239" i="8"/>
  <c r="O313" i="8"/>
  <c r="O325" i="8" s="1"/>
  <c r="O354" i="8" s="1"/>
  <c r="O172" i="8"/>
  <c r="V134" i="8"/>
  <c r="V287" i="8"/>
  <c r="V304" i="8" s="1"/>
  <c r="V344" i="8" s="1"/>
  <c r="V132" i="8"/>
  <c r="V133" i="8" s="1"/>
  <c r="K195" i="8"/>
  <c r="P169" i="8"/>
  <c r="P170" i="8"/>
  <c r="P166" i="8"/>
  <c r="P167" i="8" s="1"/>
  <c r="N175" i="8"/>
  <c r="N176" i="8" s="1"/>
  <c r="N177" i="8" s="1"/>
  <c r="F219" i="8"/>
  <c r="F292" i="8"/>
  <c r="F299" i="8" s="1"/>
  <c r="F338" i="8" s="1"/>
  <c r="F217" i="8"/>
  <c r="F218" i="8" s="1"/>
  <c r="D293" i="8"/>
  <c r="D306" i="8" s="1"/>
  <c r="D346" i="8" s="1"/>
  <c r="I202" i="8"/>
  <c r="I291" i="8"/>
  <c r="I302" i="8" s="1"/>
  <c r="I341" i="8" s="1"/>
  <c r="P168" i="8"/>
  <c r="P289" i="8"/>
  <c r="P301" i="8" s="1"/>
  <c r="P340" i="8" s="1"/>
  <c r="T151" i="8"/>
  <c r="T288" i="8"/>
  <c r="T303" i="8" s="1"/>
  <c r="T343" i="8" s="1"/>
  <c r="I200" i="8"/>
  <c r="I201" i="8" s="1"/>
  <c r="R158" i="8"/>
  <c r="R159" i="8" s="1"/>
  <c r="R160" i="8" s="1"/>
  <c r="H208" i="8"/>
  <c r="X127" i="8"/>
  <c r="W131" i="8" s="1"/>
  <c r="Y104" i="4"/>
  <c r="W286" i="4"/>
  <c r="W305" i="4" s="1"/>
  <c r="W345" i="4" s="1"/>
  <c r="W117" i="4"/>
  <c r="W115" i="4"/>
  <c r="W116" i="4" s="1"/>
  <c r="W120" i="4" s="1"/>
  <c r="V123" i="4"/>
  <c r="Y106" i="4"/>
  <c r="Y107" i="4" s="1"/>
  <c r="Y109" i="4" s="1"/>
  <c r="S155" i="8" l="1"/>
  <c r="Y105" i="4"/>
  <c r="L189" i="8"/>
  <c r="Q164" i="8"/>
  <c r="P171" i="8"/>
  <c r="W130" i="8"/>
  <c r="V137" i="8"/>
  <c r="Z113" i="8"/>
  <c r="Y120" i="8"/>
  <c r="J198" i="8"/>
  <c r="J199" i="8" s="1"/>
  <c r="I205" i="8"/>
  <c r="I315" i="8" s="1"/>
  <c r="I326" i="8" s="1"/>
  <c r="I355" i="8" s="1"/>
  <c r="N178" i="8"/>
  <c r="M182" i="8" s="1"/>
  <c r="AA106" i="8"/>
  <c r="AA107" i="8" s="1"/>
  <c r="AA109" i="8" s="1"/>
  <c r="C317" i="8"/>
  <c r="C330" i="8" s="1"/>
  <c r="C359" i="8" s="1"/>
  <c r="C240" i="8"/>
  <c r="M186" i="8"/>
  <c r="M187" i="8"/>
  <c r="R161" i="8"/>
  <c r="AA105" i="8"/>
  <c r="D238" i="8"/>
  <c r="D237" i="8"/>
  <c r="D234" i="8"/>
  <c r="D235" i="8" s="1"/>
  <c r="H209" i="8"/>
  <c r="H210" i="8" s="1"/>
  <c r="H211" i="8" s="1"/>
  <c r="G215" i="8"/>
  <c r="F222" i="8"/>
  <c r="O174" i="8"/>
  <c r="L191" i="8"/>
  <c r="S157" i="8"/>
  <c r="W134" i="8"/>
  <c r="W287" i="8"/>
  <c r="W304" i="8" s="1"/>
  <c r="W344" i="8" s="1"/>
  <c r="T153" i="8"/>
  <c r="T149" i="8"/>
  <c r="T150" i="8" s="1"/>
  <c r="T152" i="8"/>
  <c r="W310" i="4"/>
  <c r="X113" i="4"/>
  <c r="W121" i="4"/>
  <c r="W123" i="4" s="1"/>
  <c r="Y110" i="4"/>
  <c r="X114" i="4" s="1"/>
  <c r="Y348" i="4"/>
  <c r="Z102" i="4"/>
  <c r="V124" i="4"/>
  <c r="V125" i="4" s="1"/>
  <c r="V126" i="4" s="1"/>
  <c r="Q165" i="8" l="1"/>
  <c r="E232" i="8"/>
  <c r="D239" i="8"/>
  <c r="D240" i="8" s="1"/>
  <c r="D242" i="8" s="1"/>
  <c r="H212" i="8"/>
  <c r="G216" i="8" s="1"/>
  <c r="G217" i="8" s="1"/>
  <c r="G218" i="8" s="1"/>
  <c r="J202" i="8"/>
  <c r="J291" i="8"/>
  <c r="J302" i="8" s="1"/>
  <c r="J341" i="8" s="1"/>
  <c r="U147" i="8"/>
  <c r="T154" i="8"/>
  <c r="T312" i="8" s="1"/>
  <c r="T327" i="8" s="1"/>
  <c r="T356" i="8" s="1"/>
  <c r="M185" i="8"/>
  <c r="M290" i="8"/>
  <c r="M307" i="8" s="1"/>
  <c r="M347" i="8" s="1"/>
  <c r="Z119" i="8"/>
  <c r="Z118" i="8"/>
  <c r="S158" i="8"/>
  <c r="S159" i="8" s="1"/>
  <c r="S160" i="8" s="1"/>
  <c r="V311" i="8"/>
  <c r="V328" i="8" s="1"/>
  <c r="V357" i="8" s="1"/>
  <c r="V138" i="8"/>
  <c r="W136" i="8"/>
  <c r="W135" i="8"/>
  <c r="W132" i="8"/>
  <c r="W133" i="8" s="1"/>
  <c r="G221" i="8"/>
  <c r="G220" i="8"/>
  <c r="C242" i="8"/>
  <c r="P313" i="8"/>
  <c r="P325" i="8" s="1"/>
  <c r="P354" i="8" s="1"/>
  <c r="P172" i="8"/>
  <c r="O175" i="8"/>
  <c r="O176" i="8" s="1"/>
  <c r="O177" i="8" s="1"/>
  <c r="Q168" i="8"/>
  <c r="Q289" i="8"/>
  <c r="Q301" i="8" s="1"/>
  <c r="Q340" i="8" s="1"/>
  <c r="M183" i="8"/>
  <c r="M184" i="8" s="1"/>
  <c r="J204" i="8"/>
  <c r="J203" i="8"/>
  <c r="J200" i="8"/>
  <c r="J201" i="8" s="1"/>
  <c r="Q169" i="8"/>
  <c r="Q166" i="8"/>
  <c r="Q167" i="8" s="1"/>
  <c r="R164" i="8" s="1"/>
  <c r="Q170" i="8"/>
  <c r="F316" i="8"/>
  <c r="F323" i="8" s="1"/>
  <c r="F352" i="8" s="1"/>
  <c r="F223" i="8"/>
  <c r="L192" i="8"/>
  <c r="L193" i="8" s="1"/>
  <c r="L194" i="8" s="1"/>
  <c r="AA110" i="8"/>
  <c r="Z114" i="8" s="1"/>
  <c r="Y310" i="8"/>
  <c r="Y329" i="8" s="1"/>
  <c r="Y358" i="8" s="1"/>
  <c r="Y121" i="8"/>
  <c r="AA348" i="8"/>
  <c r="AB102" i="8"/>
  <c r="I206" i="8"/>
  <c r="Z103" i="4"/>
  <c r="Z104" i="4" s="1"/>
  <c r="X286" i="4"/>
  <c r="X305" i="4" s="1"/>
  <c r="X345" i="4" s="1"/>
  <c r="X117" i="4"/>
  <c r="W329" i="4"/>
  <c r="X119" i="4"/>
  <c r="X118" i="4"/>
  <c r="X115" i="4"/>
  <c r="X116" i="4" s="1"/>
  <c r="X120" i="4" s="1"/>
  <c r="W124" i="4"/>
  <c r="W125" i="4" s="1"/>
  <c r="W126" i="4" s="1"/>
  <c r="T155" i="8" l="1"/>
  <c r="H215" i="8"/>
  <c r="G222" i="8"/>
  <c r="K198" i="8"/>
  <c r="J205" i="8"/>
  <c r="J315" i="8" s="1"/>
  <c r="J326" i="8" s="1"/>
  <c r="J355" i="8" s="1"/>
  <c r="X130" i="8"/>
  <c r="W137" i="8"/>
  <c r="W311" i="8" s="1"/>
  <c r="W328" i="8" s="1"/>
  <c r="W357" i="8" s="1"/>
  <c r="N181" i="8"/>
  <c r="M188" i="8"/>
  <c r="M314" i="8" s="1"/>
  <c r="M331" i="8" s="1"/>
  <c r="M360" i="8" s="1"/>
  <c r="J206" i="8"/>
  <c r="L195" i="8"/>
  <c r="K199" i="8" s="1"/>
  <c r="O178" i="8"/>
  <c r="T157" i="8"/>
  <c r="Z115" i="8"/>
  <c r="Z116" i="8" s="1"/>
  <c r="Y123" i="8"/>
  <c r="Z117" i="8"/>
  <c r="Z286" i="8"/>
  <c r="Z305" i="8" s="1"/>
  <c r="Z345" i="8" s="1"/>
  <c r="R169" i="8"/>
  <c r="R170" i="8"/>
  <c r="I208" i="8"/>
  <c r="Q171" i="8"/>
  <c r="Q313" i="8" s="1"/>
  <c r="Q325" i="8" s="1"/>
  <c r="Q354" i="8" s="1"/>
  <c r="V140" i="8"/>
  <c r="U152" i="8"/>
  <c r="U153" i="8"/>
  <c r="S161" i="8"/>
  <c r="R165" i="8" s="1"/>
  <c r="F225" i="8"/>
  <c r="D317" i="8"/>
  <c r="D330" i="8" s="1"/>
  <c r="D359" i="8" s="1"/>
  <c r="D243" i="8"/>
  <c r="D244" i="8" s="1"/>
  <c r="C243" i="8"/>
  <c r="C244" i="8" s="1"/>
  <c r="G219" i="8"/>
  <c r="G292" i="8"/>
  <c r="G299" i="8" s="1"/>
  <c r="G338" i="8" s="1"/>
  <c r="AB103" i="8"/>
  <c r="AB104" i="8" s="1"/>
  <c r="P174" i="8"/>
  <c r="E238" i="8"/>
  <c r="E237" i="8"/>
  <c r="Z105" i="4"/>
  <c r="Z348" i="4" s="1"/>
  <c r="Y113" i="4"/>
  <c r="X310" i="4"/>
  <c r="Z106" i="4"/>
  <c r="Z107" i="4" s="1"/>
  <c r="Z109" i="4" s="1"/>
  <c r="G223" i="8" l="1"/>
  <c r="D245" i="8"/>
  <c r="C245" i="8"/>
  <c r="W138" i="8"/>
  <c r="W140" i="8" s="1"/>
  <c r="W141" i="8" s="1"/>
  <c r="W142" i="8" s="1"/>
  <c r="G225" i="8"/>
  <c r="F226" i="8"/>
  <c r="F227" i="8" s="1"/>
  <c r="F228" i="8" s="1"/>
  <c r="P175" i="8"/>
  <c r="P176" i="8" s="1"/>
  <c r="P177" i="8" s="1"/>
  <c r="R166" i="8"/>
  <c r="R167" i="8" s="1"/>
  <c r="AA113" i="8"/>
  <c r="Z120" i="8"/>
  <c r="J208" i="8"/>
  <c r="T158" i="8"/>
  <c r="T159" i="8" s="1"/>
  <c r="T160" i="8" s="1"/>
  <c r="X135" i="8"/>
  <c r="X136" i="8"/>
  <c r="N182" i="8"/>
  <c r="M189" i="8"/>
  <c r="I209" i="8"/>
  <c r="I210" i="8" s="1"/>
  <c r="I211" i="8" s="1"/>
  <c r="Y124" i="8"/>
  <c r="Y125" i="8" s="1"/>
  <c r="Y126" i="8" s="1"/>
  <c r="N186" i="8"/>
  <c r="N187" i="8"/>
  <c r="N183" i="8"/>
  <c r="N184" i="8" s="1"/>
  <c r="R168" i="8"/>
  <c r="R289" i="8"/>
  <c r="R301" i="8" s="1"/>
  <c r="R340" i="8" s="1"/>
  <c r="K204" i="8"/>
  <c r="K203" i="8"/>
  <c r="K200" i="8"/>
  <c r="K201" i="8" s="1"/>
  <c r="L198" i="8" s="1"/>
  <c r="Q172" i="8"/>
  <c r="G316" i="8"/>
  <c r="G323" i="8" s="1"/>
  <c r="G352" i="8" s="1"/>
  <c r="AB106" i="8"/>
  <c r="AB107" i="8" s="1"/>
  <c r="AB109" i="8" s="1"/>
  <c r="AB105" i="8"/>
  <c r="C246" i="8"/>
  <c r="D246" i="8" s="1"/>
  <c r="C250" i="8" s="1"/>
  <c r="V141" i="8"/>
  <c r="V142" i="8" s="1"/>
  <c r="K202" i="8"/>
  <c r="K291" i="8"/>
  <c r="K302" i="8" s="1"/>
  <c r="K341" i="8" s="1"/>
  <c r="H221" i="8"/>
  <c r="H220" i="8"/>
  <c r="X329" i="4"/>
  <c r="AA102" i="4"/>
  <c r="Z110" i="4"/>
  <c r="Y114" i="4" s="1"/>
  <c r="X121" i="4"/>
  <c r="Y118" i="4"/>
  <c r="Y119" i="4"/>
  <c r="W143" i="8" l="1"/>
  <c r="V143" i="8"/>
  <c r="C294" i="8"/>
  <c r="C300" i="8" s="1"/>
  <c r="C339" i="8" s="1"/>
  <c r="C253" i="8"/>
  <c r="C252" i="8"/>
  <c r="Y127" i="8"/>
  <c r="X131" i="8" s="1"/>
  <c r="O181" i="8"/>
  <c r="N188" i="8"/>
  <c r="N314" i="8" s="1"/>
  <c r="N331" i="8" s="1"/>
  <c r="N360" i="8" s="1"/>
  <c r="P178" i="8"/>
  <c r="O182" i="8" s="1"/>
  <c r="V144" i="8"/>
  <c r="U148" i="8" s="1"/>
  <c r="Q174" i="8"/>
  <c r="AB348" i="8"/>
  <c r="AC102" i="8"/>
  <c r="T161" i="8"/>
  <c r="S165" i="8" s="1"/>
  <c r="G226" i="8"/>
  <c r="G227" i="8" s="1"/>
  <c r="G228" i="8" s="1"/>
  <c r="S164" i="8"/>
  <c r="R171" i="8"/>
  <c r="L203" i="8"/>
  <c r="L204" i="8"/>
  <c r="K205" i="8"/>
  <c r="K315" i="8" s="1"/>
  <c r="K326" i="8" s="1"/>
  <c r="K355" i="8" s="1"/>
  <c r="AA118" i="8"/>
  <c r="AA119" i="8"/>
  <c r="F229" i="8"/>
  <c r="E233" i="8" s="1"/>
  <c r="AB110" i="8"/>
  <c r="AA114" i="8" s="1"/>
  <c r="Z310" i="8"/>
  <c r="Z329" i="8" s="1"/>
  <c r="Z358" i="8" s="1"/>
  <c r="Z121" i="8"/>
  <c r="M191" i="8"/>
  <c r="J209" i="8"/>
  <c r="J210" i="8" s="1"/>
  <c r="J211" i="8" s="1"/>
  <c r="I212" i="8"/>
  <c r="H216" i="8" s="1"/>
  <c r="N185" i="8"/>
  <c r="N290" i="8"/>
  <c r="N307" i="8" s="1"/>
  <c r="N347" i="8" s="1"/>
  <c r="AA103" i="4"/>
  <c r="Y286" i="4"/>
  <c r="Y305" i="4" s="1"/>
  <c r="Y345" i="4" s="1"/>
  <c r="Y117" i="4"/>
  <c r="Y115" i="4"/>
  <c r="Y116" i="4" s="1"/>
  <c r="Y120" i="4" s="1"/>
  <c r="X123" i="4"/>
  <c r="W144" i="8" l="1"/>
  <c r="V148" i="8" s="1"/>
  <c r="N189" i="8"/>
  <c r="J212" i="8"/>
  <c r="I216" i="8" s="1"/>
  <c r="N191" i="8"/>
  <c r="G229" i="8"/>
  <c r="F233" i="8" s="1"/>
  <c r="M192" i="8"/>
  <c r="M193" i="8" s="1"/>
  <c r="M194" i="8" s="1"/>
  <c r="Z123" i="8"/>
  <c r="S168" i="8"/>
  <c r="S289" i="8"/>
  <c r="S301" i="8" s="1"/>
  <c r="S340" i="8" s="1"/>
  <c r="O186" i="8"/>
  <c r="O187" i="8"/>
  <c r="O183" i="8"/>
  <c r="O184" i="8" s="1"/>
  <c r="O185" i="8"/>
  <c r="O290" i="8"/>
  <c r="O307" i="8" s="1"/>
  <c r="O347" i="8" s="1"/>
  <c r="Q175" i="8"/>
  <c r="Q176" i="8" s="1"/>
  <c r="Q177" i="8" s="1"/>
  <c r="AA117" i="8"/>
  <c r="AA286" i="8"/>
  <c r="AA305" i="8" s="1"/>
  <c r="AA345" i="8" s="1"/>
  <c r="D249" i="8"/>
  <c r="C256" i="8"/>
  <c r="E236" i="8"/>
  <c r="E293" i="8"/>
  <c r="E306" i="8" s="1"/>
  <c r="E346" i="8" s="1"/>
  <c r="F293" i="8"/>
  <c r="F306" i="8" s="1"/>
  <c r="F346" i="8" s="1"/>
  <c r="E234" i="8"/>
  <c r="E235" i="8" s="1"/>
  <c r="R313" i="8"/>
  <c r="R325" i="8" s="1"/>
  <c r="R354" i="8" s="1"/>
  <c r="R172" i="8"/>
  <c r="U151" i="8"/>
  <c r="U288" i="8"/>
  <c r="U303" i="8" s="1"/>
  <c r="U343" i="8" s="1"/>
  <c r="U149" i="8"/>
  <c r="U150" i="8" s="1"/>
  <c r="AC103" i="8"/>
  <c r="AC104" i="8" s="1"/>
  <c r="V151" i="8"/>
  <c r="V288" i="8"/>
  <c r="V303" i="8" s="1"/>
  <c r="V343" i="8" s="1"/>
  <c r="X134" i="8"/>
  <c r="X287" i="8"/>
  <c r="X304" i="8" s="1"/>
  <c r="X344" i="8" s="1"/>
  <c r="X132" i="8"/>
  <c r="X133" i="8" s="1"/>
  <c r="H219" i="8"/>
  <c r="H292" i="8"/>
  <c r="H299" i="8" s="1"/>
  <c r="H338" i="8" s="1"/>
  <c r="H217" i="8"/>
  <c r="H218" i="8" s="1"/>
  <c r="AA115" i="8"/>
  <c r="AA116" i="8" s="1"/>
  <c r="S166" i="8"/>
  <c r="S167" i="8" s="1"/>
  <c r="S170" i="8"/>
  <c r="S169" i="8"/>
  <c r="K206" i="8"/>
  <c r="AA106" i="4"/>
  <c r="AA107" i="4" s="1"/>
  <c r="AA109" i="4" s="1"/>
  <c r="AA110" i="4" s="1"/>
  <c r="Z114" i="4" s="1"/>
  <c r="AA104" i="4"/>
  <c r="X124" i="4"/>
  <c r="X125" i="4" s="1"/>
  <c r="X126" i="4" s="1"/>
  <c r="Z113" i="4"/>
  <c r="Y310" i="4"/>
  <c r="AA105" i="4" l="1"/>
  <c r="Y130" i="8"/>
  <c r="X137" i="8"/>
  <c r="X311" i="8" s="1"/>
  <c r="X328" i="8" s="1"/>
  <c r="X357" i="8" s="1"/>
  <c r="P181" i="8"/>
  <c r="O188" i="8"/>
  <c r="O314" i="8" s="1"/>
  <c r="O331" i="8" s="1"/>
  <c r="O360" i="8" s="1"/>
  <c r="T164" i="8"/>
  <c r="S171" i="8"/>
  <c r="S313" i="8" s="1"/>
  <c r="S325" i="8" s="1"/>
  <c r="S354" i="8" s="1"/>
  <c r="M195" i="8"/>
  <c r="L199" i="8" s="1"/>
  <c r="Q178" i="8"/>
  <c r="Z124" i="8"/>
  <c r="Z125" i="8" s="1"/>
  <c r="Z126" i="8" s="1"/>
  <c r="F232" i="8"/>
  <c r="E239" i="8"/>
  <c r="I215" i="8"/>
  <c r="H222" i="8"/>
  <c r="H316" i="8" s="1"/>
  <c r="H323" i="8" s="1"/>
  <c r="H352" i="8" s="1"/>
  <c r="C318" i="8"/>
  <c r="C324" i="8" s="1"/>
  <c r="C353" i="8" s="1"/>
  <c r="C257" i="8"/>
  <c r="F236" i="8"/>
  <c r="D254" i="8"/>
  <c r="D255" i="8"/>
  <c r="R174" i="8"/>
  <c r="AB113" i="8"/>
  <c r="AA120" i="8"/>
  <c r="AA310" i="8" s="1"/>
  <c r="AA329" i="8" s="1"/>
  <c r="AA358" i="8" s="1"/>
  <c r="AC106" i="8"/>
  <c r="AC107" i="8" s="1"/>
  <c r="AC109" i="8" s="1"/>
  <c r="N192" i="8"/>
  <c r="N193" i="8" s="1"/>
  <c r="N194" i="8" s="1"/>
  <c r="AC105" i="8"/>
  <c r="V147" i="8"/>
  <c r="U154" i="8"/>
  <c r="I219" i="8"/>
  <c r="I292" i="8"/>
  <c r="I299" i="8" s="1"/>
  <c r="I338" i="8" s="1"/>
  <c r="K208" i="8"/>
  <c r="AB102" i="4"/>
  <c r="AB103" i="4" s="1"/>
  <c r="AA348" i="4"/>
  <c r="Z286" i="4"/>
  <c r="Z305" i="4" s="1"/>
  <c r="Z345" i="4" s="1"/>
  <c r="Z117" i="4"/>
  <c r="Y329" i="4"/>
  <c r="Z115" i="4"/>
  <c r="Z116" i="4" s="1"/>
  <c r="Z120" i="4" s="1"/>
  <c r="Y121" i="4"/>
  <c r="Y123" i="4" s="1"/>
  <c r="Z119" i="4"/>
  <c r="Z118" i="4"/>
  <c r="X138" i="8" l="1"/>
  <c r="Z127" i="8"/>
  <c r="Y131" i="8" s="1"/>
  <c r="T170" i="8"/>
  <c r="T169" i="8"/>
  <c r="V153" i="8"/>
  <c r="V152" i="8"/>
  <c r="V149" i="8"/>
  <c r="V150" i="8" s="1"/>
  <c r="W147" i="8" s="1"/>
  <c r="R175" i="8"/>
  <c r="R176" i="8" s="1"/>
  <c r="R177" i="8" s="1"/>
  <c r="I220" i="8"/>
  <c r="I221" i="8"/>
  <c r="I217" i="8"/>
  <c r="I218" i="8" s="1"/>
  <c r="S172" i="8"/>
  <c r="F237" i="8"/>
  <c r="F238" i="8"/>
  <c r="F234" i="8"/>
  <c r="F235" i="8" s="1"/>
  <c r="G232" i="8" s="1"/>
  <c r="L202" i="8"/>
  <c r="L291" i="8"/>
  <c r="L302" i="8" s="1"/>
  <c r="L341" i="8" s="1"/>
  <c r="L200" i="8"/>
  <c r="L201" i="8" s="1"/>
  <c r="P186" i="8"/>
  <c r="P187" i="8"/>
  <c r="P183" i="8"/>
  <c r="P184" i="8" s="1"/>
  <c r="AC110" i="8"/>
  <c r="AB114" i="8" s="1"/>
  <c r="AB115" i="8" s="1"/>
  <c r="AB116" i="8" s="1"/>
  <c r="E317" i="8"/>
  <c r="E330" i="8" s="1"/>
  <c r="E359" i="8" s="1"/>
  <c r="E240" i="8"/>
  <c r="AC348" i="8"/>
  <c r="AD102" i="8"/>
  <c r="N195" i="8"/>
  <c r="P182" i="8"/>
  <c r="Y135" i="8"/>
  <c r="Y136" i="8"/>
  <c r="Y132" i="8"/>
  <c r="Y133" i="8" s="1"/>
  <c r="U312" i="8"/>
  <c r="U327" i="8" s="1"/>
  <c r="U356" i="8" s="1"/>
  <c r="U155" i="8"/>
  <c r="X140" i="8"/>
  <c r="O189" i="8"/>
  <c r="C259" i="8"/>
  <c r="AB118" i="8"/>
  <c r="AB119" i="8"/>
  <c r="K209" i="8"/>
  <c r="K210" i="8" s="1"/>
  <c r="K211" i="8" s="1"/>
  <c r="AA121" i="8"/>
  <c r="H223" i="8"/>
  <c r="AB104" i="4"/>
  <c r="AA113" i="4"/>
  <c r="Z310" i="4"/>
  <c r="Y124" i="4"/>
  <c r="Y125" i="4" s="1"/>
  <c r="Y126" i="4" s="1"/>
  <c r="AB106" i="4"/>
  <c r="AB107" i="4" s="1"/>
  <c r="AB109" i="4" s="1"/>
  <c r="AB105" i="4" l="1"/>
  <c r="Q181" i="8"/>
  <c r="P188" i="8"/>
  <c r="P314" i="8" s="1"/>
  <c r="P331" i="8" s="1"/>
  <c r="P360" i="8" s="1"/>
  <c r="R178" i="8"/>
  <c r="Q182" i="8" s="1"/>
  <c r="J215" i="8"/>
  <c r="I222" i="8"/>
  <c r="I316" i="8" s="1"/>
  <c r="I323" i="8" s="1"/>
  <c r="I352" i="8" s="1"/>
  <c r="Z130" i="8"/>
  <c r="Y137" i="8"/>
  <c r="Y311" i="8" s="1"/>
  <c r="Y328" i="8" s="1"/>
  <c r="Y357" i="8" s="1"/>
  <c r="K212" i="8"/>
  <c r="J216" i="8" s="1"/>
  <c r="AC113" i="8"/>
  <c r="AB120" i="8"/>
  <c r="AB310" i="8" s="1"/>
  <c r="AB329" i="8" s="1"/>
  <c r="AB358" i="8" s="1"/>
  <c r="W153" i="8"/>
  <c r="W152" i="8"/>
  <c r="S174" i="8"/>
  <c r="V154" i="8"/>
  <c r="V312" i="8" s="1"/>
  <c r="V327" i="8" s="1"/>
  <c r="V356" i="8" s="1"/>
  <c r="AD103" i="8"/>
  <c r="AD104" i="8" s="1"/>
  <c r="AD105" i="8" s="1"/>
  <c r="G238" i="8"/>
  <c r="G237" i="8"/>
  <c r="M198" i="8"/>
  <c r="M199" i="8" s="1"/>
  <c r="L205" i="8"/>
  <c r="L315" i="8" s="1"/>
  <c r="L326" i="8" s="1"/>
  <c r="L355" i="8" s="1"/>
  <c r="O191" i="8"/>
  <c r="H225" i="8"/>
  <c r="AA123" i="8"/>
  <c r="X141" i="8"/>
  <c r="X142" i="8" s="1"/>
  <c r="X143" i="8" s="1"/>
  <c r="E242" i="8"/>
  <c r="AB117" i="8"/>
  <c r="AB286" i="8"/>
  <c r="AB305" i="8" s="1"/>
  <c r="AB345" i="8" s="1"/>
  <c r="Y134" i="8"/>
  <c r="Y287" i="8"/>
  <c r="Y304" i="8" s="1"/>
  <c r="Y344" i="8" s="1"/>
  <c r="P185" i="8"/>
  <c r="P290" i="8"/>
  <c r="P307" i="8" s="1"/>
  <c r="P347" i="8" s="1"/>
  <c r="C260" i="8"/>
  <c r="C261" i="8" s="1"/>
  <c r="C262" i="8" s="1"/>
  <c r="U157" i="8"/>
  <c r="F239" i="8"/>
  <c r="Z329" i="4"/>
  <c r="Z121" i="4"/>
  <c r="Z123" i="4" s="1"/>
  <c r="AB348" i="4"/>
  <c r="AC102" i="4"/>
  <c r="AB110" i="4"/>
  <c r="AA114" i="4" s="1"/>
  <c r="AA118" i="4"/>
  <c r="AA119" i="4"/>
  <c r="P189" i="8" l="1"/>
  <c r="I223" i="8"/>
  <c r="I225" i="8" s="1"/>
  <c r="C263" i="8"/>
  <c r="P191" i="8"/>
  <c r="AD348" i="8"/>
  <c r="AE102" i="8"/>
  <c r="I226" i="8"/>
  <c r="I227" i="8" s="1"/>
  <c r="X144" i="8"/>
  <c r="W148" i="8" s="1"/>
  <c r="AC119" i="8"/>
  <c r="AC118" i="8"/>
  <c r="S175" i="8"/>
  <c r="S176" i="8" s="1"/>
  <c r="S177" i="8" s="1"/>
  <c r="M204" i="8"/>
  <c r="M203" i="8"/>
  <c r="M200" i="8"/>
  <c r="M201" i="8" s="1"/>
  <c r="Z135" i="8"/>
  <c r="Z136" i="8"/>
  <c r="U158" i="8"/>
  <c r="U159" i="8" s="1"/>
  <c r="U160" i="8" s="1"/>
  <c r="E243" i="8"/>
  <c r="E244" i="8" s="1"/>
  <c r="E245" i="8" s="1"/>
  <c r="O192" i="8"/>
  <c r="O193" i="8" s="1"/>
  <c r="O194" i="8"/>
  <c r="V155" i="8"/>
  <c r="F317" i="8"/>
  <c r="F330" i="8" s="1"/>
  <c r="F359" i="8" s="1"/>
  <c r="M202" i="8"/>
  <c r="M291" i="8"/>
  <c r="M302" i="8" s="1"/>
  <c r="M341" i="8" s="1"/>
  <c r="Y138" i="8"/>
  <c r="J221" i="8"/>
  <c r="J217" i="8"/>
  <c r="J218" i="8" s="1"/>
  <c r="J220" i="8"/>
  <c r="AB121" i="8"/>
  <c r="F240" i="8"/>
  <c r="J219" i="8"/>
  <c r="J292" i="8"/>
  <c r="J299" i="8" s="1"/>
  <c r="J338" i="8" s="1"/>
  <c r="AA124" i="8"/>
  <c r="AA125" i="8" s="1"/>
  <c r="AA126" i="8" s="1"/>
  <c r="Q185" i="8"/>
  <c r="Q290" i="8"/>
  <c r="Q307" i="8" s="1"/>
  <c r="Q347" i="8" s="1"/>
  <c r="H226" i="8"/>
  <c r="H227" i="8" s="1"/>
  <c r="H228" i="8" s="1"/>
  <c r="AD106" i="8"/>
  <c r="AD107" i="8" s="1"/>
  <c r="AD109" i="8" s="1"/>
  <c r="L206" i="8"/>
  <c r="Q187" i="8"/>
  <c r="Q186" i="8"/>
  <c r="Q183" i="8"/>
  <c r="Q184" i="8" s="1"/>
  <c r="AC103" i="4"/>
  <c r="AC104" i="4" s="1"/>
  <c r="AA286" i="4"/>
  <c r="AA305" i="4" s="1"/>
  <c r="AA345" i="4" s="1"/>
  <c r="AA117" i="4"/>
  <c r="AA115" i="4"/>
  <c r="AA116" i="4" s="1"/>
  <c r="AA120" i="4" s="1"/>
  <c r="Z124" i="4"/>
  <c r="Z125" i="4" s="1"/>
  <c r="Z126" i="4" s="1"/>
  <c r="I228" i="8" l="1"/>
  <c r="AA127" i="8"/>
  <c r="Z131" i="8" s="1"/>
  <c r="U161" i="8"/>
  <c r="T165" i="8" s="1"/>
  <c r="N198" i="8"/>
  <c r="M205" i="8"/>
  <c r="M315" i="8" s="1"/>
  <c r="M326" i="8" s="1"/>
  <c r="M355" i="8" s="1"/>
  <c r="H229" i="8"/>
  <c r="G233" i="8" s="1"/>
  <c r="E246" i="8"/>
  <c r="D250" i="8" s="1"/>
  <c r="R181" i="8"/>
  <c r="Q188" i="8"/>
  <c r="Q314" i="8" s="1"/>
  <c r="Q331" i="8" s="1"/>
  <c r="Q360" i="8" s="1"/>
  <c r="K215" i="8"/>
  <c r="J222" i="8"/>
  <c r="AD110" i="8"/>
  <c r="AC114" i="8" s="1"/>
  <c r="AE103" i="8"/>
  <c r="W151" i="8"/>
  <c r="W288" i="8"/>
  <c r="W303" i="8" s="1"/>
  <c r="W343" i="8" s="1"/>
  <c r="W149" i="8"/>
  <c r="W150" i="8" s="1"/>
  <c r="AB123" i="8"/>
  <c r="S178" i="8"/>
  <c r="L208" i="8"/>
  <c r="P192" i="8"/>
  <c r="P193" i="8" s="1"/>
  <c r="P194" i="8" s="1"/>
  <c r="V157" i="8"/>
  <c r="Y140" i="8"/>
  <c r="O195" i="8"/>
  <c r="F242" i="8"/>
  <c r="AC106" i="4"/>
  <c r="AC107" i="4" s="1"/>
  <c r="AC109" i="4" s="1"/>
  <c r="AB113" i="4"/>
  <c r="AA310" i="4"/>
  <c r="AC105" i="4"/>
  <c r="N199" i="8" l="1"/>
  <c r="N291" i="8" s="1"/>
  <c r="N302" i="8" s="1"/>
  <c r="N341" i="8" s="1"/>
  <c r="Q189" i="8"/>
  <c r="R182" i="8"/>
  <c r="R183" i="8" s="1"/>
  <c r="R184" i="8" s="1"/>
  <c r="P195" i="8"/>
  <c r="X147" i="8"/>
  <c r="W154" i="8"/>
  <c r="W312" i="8" s="1"/>
  <c r="W327" i="8" s="1"/>
  <c r="W356" i="8" s="1"/>
  <c r="AC117" i="8"/>
  <c r="AC286" i="8"/>
  <c r="AC305" i="8" s="1"/>
  <c r="AC345" i="8" s="1"/>
  <c r="AC115" i="8"/>
  <c r="AC116" i="8" s="1"/>
  <c r="N203" i="8"/>
  <c r="N204" i="8"/>
  <c r="N200" i="8"/>
  <c r="N201" i="8" s="1"/>
  <c r="O198" i="8" s="1"/>
  <c r="N202" i="8"/>
  <c r="Q191" i="8"/>
  <c r="G236" i="8"/>
  <c r="G293" i="8"/>
  <c r="G306" i="8" s="1"/>
  <c r="G346" i="8" s="1"/>
  <c r="G234" i="8"/>
  <c r="G235" i="8" s="1"/>
  <c r="J316" i="8"/>
  <c r="J323" i="8" s="1"/>
  <c r="J352" i="8" s="1"/>
  <c r="J223" i="8"/>
  <c r="R185" i="8"/>
  <c r="R290" i="8"/>
  <c r="R307" i="8" s="1"/>
  <c r="R347" i="8" s="1"/>
  <c r="AB124" i="8"/>
  <c r="AB125" i="8" s="1"/>
  <c r="AB126" i="8" s="1"/>
  <c r="I229" i="8"/>
  <c r="H233" i="8" s="1"/>
  <c r="H293" i="8" s="1"/>
  <c r="H306" i="8" s="1"/>
  <c r="H346" i="8" s="1"/>
  <c r="K221" i="8"/>
  <c r="K220" i="8"/>
  <c r="T168" i="8"/>
  <c r="T289" i="8"/>
  <c r="T301" i="8" s="1"/>
  <c r="T340" i="8" s="1"/>
  <c r="T166" i="8"/>
  <c r="T167" i="8" s="1"/>
  <c r="F243" i="8"/>
  <c r="F244" i="8" s="1"/>
  <c r="F245" i="8" s="1"/>
  <c r="L209" i="8"/>
  <c r="L210" i="8" s="1"/>
  <c r="L211" i="8" s="1"/>
  <c r="Y141" i="8"/>
  <c r="Y142" i="8" s="1"/>
  <c r="Y143" i="8" s="1"/>
  <c r="Z134" i="8"/>
  <c r="Z287" i="8"/>
  <c r="Z304" i="8" s="1"/>
  <c r="Z344" i="8" s="1"/>
  <c r="Z132" i="8"/>
  <c r="Z133" i="8" s="1"/>
  <c r="R187" i="8"/>
  <c r="R186" i="8"/>
  <c r="AE106" i="8"/>
  <c r="AE107" i="8" s="1"/>
  <c r="AE109" i="8" s="1"/>
  <c r="AE104" i="8"/>
  <c r="AE105" i="8" s="1"/>
  <c r="V158" i="8"/>
  <c r="V159" i="8" s="1"/>
  <c r="V160" i="8" s="1"/>
  <c r="D253" i="8"/>
  <c r="D294" i="8"/>
  <c r="D300" i="8" s="1"/>
  <c r="D339" i="8" s="1"/>
  <c r="D251" i="8"/>
  <c r="D252" i="8" s="1"/>
  <c r="M206" i="8"/>
  <c r="AA329" i="4"/>
  <c r="AC110" i="4"/>
  <c r="AB114" i="4" s="1"/>
  <c r="AC348" i="4"/>
  <c r="AD102" i="4"/>
  <c r="AB119" i="4"/>
  <c r="AB118" i="4"/>
  <c r="AA121" i="4"/>
  <c r="E249" i="8" l="1"/>
  <c r="D256" i="8"/>
  <c r="D257" i="8" s="1"/>
  <c r="H232" i="8"/>
  <c r="G239" i="8"/>
  <c r="AE348" i="8"/>
  <c r="AF102" i="8"/>
  <c r="U164" i="8"/>
  <c r="T171" i="8"/>
  <c r="T313" i="8" s="1"/>
  <c r="T325" i="8" s="1"/>
  <c r="T354" i="8" s="1"/>
  <c r="Y144" i="8"/>
  <c r="X148" i="8" s="1"/>
  <c r="L212" i="8"/>
  <c r="K216" i="8" s="1"/>
  <c r="AE110" i="8"/>
  <c r="AD114" i="8" s="1"/>
  <c r="S181" i="8"/>
  <c r="R188" i="8"/>
  <c r="R314" i="8" s="1"/>
  <c r="R331" i="8" s="1"/>
  <c r="R360" i="8" s="1"/>
  <c r="AA130" i="8"/>
  <c r="Z137" i="8"/>
  <c r="Z311" i="8" s="1"/>
  <c r="Z328" i="8" s="1"/>
  <c r="Z357" i="8" s="1"/>
  <c r="J225" i="8"/>
  <c r="O203" i="8"/>
  <c r="O204" i="8"/>
  <c r="Q192" i="8"/>
  <c r="Q193" i="8" s="1"/>
  <c r="Q194" i="8" s="1"/>
  <c r="V161" i="8"/>
  <c r="U165" i="8" s="1"/>
  <c r="F246" i="8"/>
  <c r="E250" i="8" s="1"/>
  <c r="M208" i="8"/>
  <c r="X153" i="8"/>
  <c r="X152" i="8"/>
  <c r="AD113" i="8"/>
  <c r="AC120" i="8"/>
  <c r="H236" i="8"/>
  <c r="O199" i="8"/>
  <c r="N205" i="8"/>
  <c r="N315" i="8" s="1"/>
  <c r="N326" i="8" s="1"/>
  <c r="N355" i="8" s="1"/>
  <c r="AB127" i="8"/>
  <c r="AA131" i="8" s="1"/>
  <c r="W155" i="8"/>
  <c r="AD103" i="4"/>
  <c r="AD104" i="4" s="1"/>
  <c r="AB286" i="4"/>
  <c r="AB305" i="4" s="1"/>
  <c r="AB345" i="4" s="1"/>
  <c r="AB117" i="4"/>
  <c r="AB115" i="4"/>
  <c r="AB116" i="4" s="1"/>
  <c r="AB120" i="4" s="1"/>
  <c r="AA123" i="4"/>
  <c r="T172" i="8" l="1"/>
  <c r="X149" i="8"/>
  <c r="X150" i="8" s="1"/>
  <c r="O202" i="8"/>
  <c r="O291" i="8"/>
  <c r="O302" i="8" s="1"/>
  <c r="O341" i="8" s="1"/>
  <c r="Q195" i="8"/>
  <c r="U170" i="8"/>
  <c r="U169" i="8"/>
  <c r="U166" i="8"/>
  <c r="U167" i="8" s="1"/>
  <c r="M209" i="8"/>
  <c r="M210" i="8" s="1"/>
  <c r="M211" i="8" s="1"/>
  <c r="S186" i="8"/>
  <c r="S187" i="8"/>
  <c r="AD117" i="8"/>
  <c r="AD286" i="8"/>
  <c r="AD305" i="8" s="1"/>
  <c r="AD345" i="8" s="1"/>
  <c r="AA134" i="8"/>
  <c r="AA287" i="8"/>
  <c r="AA304" i="8" s="1"/>
  <c r="AA344" i="8" s="1"/>
  <c r="G317" i="8"/>
  <c r="G330" i="8" s="1"/>
  <c r="G359" i="8" s="1"/>
  <c r="G240" i="8"/>
  <c r="E253" i="8"/>
  <c r="E294" i="8"/>
  <c r="E300" i="8" s="1"/>
  <c r="E339" i="8" s="1"/>
  <c r="K219" i="8"/>
  <c r="K292" i="8"/>
  <c r="K299" i="8" s="1"/>
  <c r="K338" i="8" s="1"/>
  <c r="K217" i="8"/>
  <c r="K218" i="8" s="1"/>
  <c r="AD119" i="8"/>
  <c r="AD118" i="8"/>
  <c r="AD115" i="8"/>
  <c r="AD116" i="8" s="1"/>
  <c r="X151" i="8"/>
  <c r="X288" i="8"/>
  <c r="X303" i="8" s="1"/>
  <c r="X343" i="8" s="1"/>
  <c r="D259" i="8"/>
  <c r="T174" i="8"/>
  <c r="AA136" i="8"/>
  <c r="AA135" i="8"/>
  <c r="AA132" i="8"/>
  <c r="AA133" i="8" s="1"/>
  <c r="W157" i="8"/>
  <c r="O200" i="8"/>
  <c r="O201" i="8" s="1"/>
  <c r="Z138" i="8"/>
  <c r="U168" i="8"/>
  <c r="U289" i="8"/>
  <c r="U301" i="8" s="1"/>
  <c r="U340" i="8" s="1"/>
  <c r="D318" i="8"/>
  <c r="D324" i="8" s="1"/>
  <c r="D353" i="8" s="1"/>
  <c r="AF103" i="8"/>
  <c r="R189" i="8"/>
  <c r="AC310" i="8"/>
  <c r="AC329" i="8" s="1"/>
  <c r="AC358" i="8" s="1"/>
  <c r="AC121" i="8"/>
  <c r="H237" i="8"/>
  <c r="H238" i="8"/>
  <c r="H234" i="8"/>
  <c r="H235" i="8" s="1"/>
  <c r="J226" i="8"/>
  <c r="J227" i="8" s="1"/>
  <c r="J228" i="8" s="1"/>
  <c r="N206" i="8"/>
  <c r="E254" i="8"/>
  <c r="E255" i="8"/>
  <c r="E251" i="8"/>
  <c r="E252" i="8" s="1"/>
  <c r="AC113" i="4"/>
  <c r="AC119" i="4" s="1"/>
  <c r="AB310" i="4"/>
  <c r="AD106" i="4"/>
  <c r="AD107" i="4" s="1"/>
  <c r="AD109" i="4" s="1"/>
  <c r="AD105" i="4"/>
  <c r="AA124" i="4"/>
  <c r="AA125" i="4" s="1"/>
  <c r="AA126" i="4" s="1"/>
  <c r="AE113" i="8" l="1"/>
  <c r="AD120" i="8"/>
  <c r="AD310" i="8" s="1"/>
  <c r="AD329" i="8" s="1"/>
  <c r="AD358" i="8" s="1"/>
  <c r="Y147" i="8"/>
  <c r="X154" i="8"/>
  <c r="AB130" i="8"/>
  <c r="AA137" i="8"/>
  <c r="AA311" i="8" s="1"/>
  <c r="AA328" i="8" s="1"/>
  <c r="AA357" i="8" s="1"/>
  <c r="AA138" i="8"/>
  <c r="AA140" i="8" s="1"/>
  <c r="F249" i="8"/>
  <c r="E256" i="8"/>
  <c r="E257" i="8" s="1"/>
  <c r="J229" i="8"/>
  <c r="I233" i="8" s="1"/>
  <c r="M212" i="8"/>
  <c r="V164" i="8"/>
  <c r="U171" i="8"/>
  <c r="U313" i="8" s="1"/>
  <c r="U325" i="8" s="1"/>
  <c r="U354" i="8" s="1"/>
  <c r="I232" i="8"/>
  <c r="H239" i="8"/>
  <c r="H317" i="8" s="1"/>
  <c r="H330" i="8" s="1"/>
  <c r="H359" i="8" s="1"/>
  <c r="P198" i="8"/>
  <c r="P199" i="8" s="1"/>
  <c r="O205" i="8"/>
  <c r="D260" i="8"/>
  <c r="D261" i="8" s="1"/>
  <c r="D262" i="8" s="1"/>
  <c r="L215" i="8"/>
  <c r="K222" i="8"/>
  <c r="K316" i="8" s="1"/>
  <c r="K323" i="8" s="1"/>
  <c r="K352" i="8" s="1"/>
  <c r="H240" i="8"/>
  <c r="Z140" i="8"/>
  <c r="AC123" i="8"/>
  <c r="G242" i="8"/>
  <c r="AE118" i="8"/>
  <c r="AE119" i="8"/>
  <c r="T175" i="8"/>
  <c r="T176" i="8" s="1"/>
  <c r="T177" i="8" s="1"/>
  <c r="W158" i="8"/>
  <c r="W159" i="8" s="1"/>
  <c r="R191" i="8"/>
  <c r="AF106" i="8"/>
  <c r="AF107" i="8" s="1"/>
  <c r="AF109" i="8" s="1"/>
  <c r="N208" i="8"/>
  <c r="AF104" i="8"/>
  <c r="AF105" i="8" s="1"/>
  <c r="AB329" i="4"/>
  <c r="AB121" i="4"/>
  <c r="AB123" i="4" s="1"/>
  <c r="AB124" i="4" s="1"/>
  <c r="AB125" i="4" s="1"/>
  <c r="AB126" i="4" s="1"/>
  <c r="AC118" i="4"/>
  <c r="AD110" i="4"/>
  <c r="AC114" i="4" s="1"/>
  <c r="AD348" i="4"/>
  <c r="AE102" i="4"/>
  <c r="AD121" i="8" l="1"/>
  <c r="AD123" i="8" s="1"/>
  <c r="X312" i="8"/>
  <c r="X327" i="8" s="1"/>
  <c r="X356" i="8" s="1"/>
  <c r="X155" i="8"/>
  <c r="X157" i="8" s="1"/>
  <c r="X158" i="8" s="1"/>
  <c r="X159" i="8" s="1"/>
  <c r="Y152" i="8"/>
  <c r="Y153" i="8"/>
  <c r="AF110" i="8"/>
  <c r="AE114" i="8" s="1"/>
  <c r="D263" i="8"/>
  <c r="C267" i="8" s="1"/>
  <c r="E259" i="8"/>
  <c r="P202" i="8"/>
  <c r="P291" i="8"/>
  <c r="P302" i="8" s="1"/>
  <c r="P341" i="8" s="1"/>
  <c r="G243" i="8"/>
  <c r="G244" i="8" s="1"/>
  <c r="G245" i="8" s="1"/>
  <c r="H242" i="8"/>
  <c r="O315" i="8"/>
  <c r="O326" i="8" s="1"/>
  <c r="O355" i="8" s="1"/>
  <c r="O206" i="8"/>
  <c r="I236" i="8"/>
  <c r="I293" i="8"/>
  <c r="I306" i="8" s="1"/>
  <c r="I346" i="8" s="1"/>
  <c r="P204" i="8"/>
  <c r="P200" i="8"/>
  <c r="P201" i="8" s="1"/>
  <c r="Q198" i="8" s="1"/>
  <c r="P203" i="8"/>
  <c r="K223" i="8"/>
  <c r="R192" i="8"/>
  <c r="R193" i="8" s="1"/>
  <c r="R194" i="8" s="1"/>
  <c r="L220" i="8"/>
  <c r="L221" i="8"/>
  <c r="L216" i="8"/>
  <c r="W160" i="8"/>
  <c r="AD124" i="8"/>
  <c r="AD125" i="8" s="1"/>
  <c r="E318" i="8"/>
  <c r="E324" i="8" s="1"/>
  <c r="E353" i="8" s="1"/>
  <c r="T178" i="8"/>
  <c r="S182" i="8" s="1"/>
  <c r="V169" i="8"/>
  <c r="V170" i="8"/>
  <c r="AF348" i="8"/>
  <c r="AG102" i="8"/>
  <c r="AC124" i="8"/>
  <c r="AC125" i="8" s="1"/>
  <c r="AC126" i="8" s="1"/>
  <c r="U172" i="8"/>
  <c r="F254" i="8"/>
  <c r="F255" i="8"/>
  <c r="N209" i="8"/>
  <c r="N210" i="8" s="1"/>
  <c r="N211" i="8" s="1"/>
  <c r="AA141" i="8"/>
  <c r="AA142" i="8" s="1"/>
  <c r="Z141" i="8"/>
  <c r="Z142" i="8" s="1"/>
  <c r="Z143" i="8" s="1"/>
  <c r="I237" i="8"/>
  <c r="I238" i="8"/>
  <c r="I234" i="8"/>
  <c r="I235" i="8" s="1"/>
  <c r="AB136" i="8"/>
  <c r="AB135" i="8"/>
  <c r="AE103" i="4"/>
  <c r="AC286" i="4"/>
  <c r="AC305" i="4" s="1"/>
  <c r="AC345" i="4" s="1"/>
  <c r="AC117" i="4"/>
  <c r="AC115" i="4"/>
  <c r="AC116" i="4" s="1"/>
  <c r="AC120" i="4" s="1"/>
  <c r="AD126" i="8" l="1"/>
  <c r="AA143" i="8"/>
  <c r="X160" i="8"/>
  <c r="G246" i="8"/>
  <c r="F250" i="8" s="1"/>
  <c r="R195" i="8"/>
  <c r="Q199" i="8" s="1"/>
  <c r="Q200" i="8" s="1"/>
  <c r="Q201" i="8" s="1"/>
  <c r="J232" i="8"/>
  <c r="I239" i="8"/>
  <c r="I317" i="8" s="1"/>
  <c r="I330" i="8" s="1"/>
  <c r="I359" i="8" s="1"/>
  <c r="I240" i="8"/>
  <c r="L219" i="8"/>
  <c r="L292" i="8"/>
  <c r="L299" i="8" s="1"/>
  <c r="L338" i="8" s="1"/>
  <c r="Q204" i="8"/>
  <c r="Q203" i="8"/>
  <c r="N212" i="8"/>
  <c r="C270" i="8"/>
  <c r="C295" i="8"/>
  <c r="C298" i="8" s="1"/>
  <c r="C337" i="8" s="1"/>
  <c r="C269" i="8"/>
  <c r="O208" i="8"/>
  <c r="AG103" i="8"/>
  <c r="E260" i="8"/>
  <c r="E261" i="8" s="1"/>
  <c r="E262" i="8" s="1"/>
  <c r="K225" i="8"/>
  <c r="S185" i="8"/>
  <c r="S290" i="8"/>
  <c r="S307" i="8" s="1"/>
  <c r="S347" i="8" s="1"/>
  <c r="S183" i="8"/>
  <c r="S184" i="8" s="1"/>
  <c r="U174" i="8"/>
  <c r="P205" i="8"/>
  <c r="P315" i="8" s="1"/>
  <c r="P326" i="8" s="1"/>
  <c r="P355" i="8" s="1"/>
  <c r="H243" i="8"/>
  <c r="H244" i="8" s="1"/>
  <c r="H245" i="8" s="1"/>
  <c r="L217" i="8"/>
  <c r="L218" i="8" s="1"/>
  <c r="Z144" i="8"/>
  <c r="Y148" i="8" s="1"/>
  <c r="AC127" i="8"/>
  <c r="AB131" i="8" s="1"/>
  <c r="W161" i="8"/>
  <c r="AE117" i="8"/>
  <c r="AE286" i="8"/>
  <c r="AE305" i="8" s="1"/>
  <c r="AE345" i="8" s="1"/>
  <c r="AE115" i="8"/>
  <c r="AE116" i="8" s="1"/>
  <c r="AE104" i="4"/>
  <c r="AD113" i="4"/>
  <c r="AC310" i="4"/>
  <c r="AE106" i="4"/>
  <c r="AE107" i="4" s="1"/>
  <c r="AE109" i="4" s="1"/>
  <c r="AD127" i="8" l="1"/>
  <c r="AE105" i="4"/>
  <c r="AE348" i="4" s="1"/>
  <c r="AA144" i="8"/>
  <c r="Z148" i="8" s="1"/>
  <c r="Z151" i="8" s="1"/>
  <c r="AF113" i="8"/>
  <c r="AE120" i="8"/>
  <c r="R198" i="8"/>
  <c r="Q205" i="8"/>
  <c r="Q315" i="8" s="1"/>
  <c r="Q326" i="8" s="1"/>
  <c r="Q355" i="8" s="1"/>
  <c r="H246" i="8"/>
  <c r="G250" i="8" s="1"/>
  <c r="G294" i="8" s="1"/>
  <c r="G300" i="8" s="1"/>
  <c r="G339" i="8" s="1"/>
  <c r="T181" i="8"/>
  <c r="S188" i="8"/>
  <c r="C274" i="8"/>
  <c r="P206" i="8"/>
  <c r="AG106" i="8"/>
  <c r="AG107" i="8" s="1"/>
  <c r="AG109" i="8" s="1"/>
  <c r="E263" i="8"/>
  <c r="D267" i="8" s="1"/>
  <c r="M215" i="8"/>
  <c r="L222" i="8"/>
  <c r="I242" i="8"/>
  <c r="AG104" i="8"/>
  <c r="AG105" i="8" s="1"/>
  <c r="AB134" i="8"/>
  <c r="AB287" i="8"/>
  <c r="AB304" i="8" s="1"/>
  <c r="AB344" i="8" s="1"/>
  <c r="AB132" i="8"/>
  <c r="AB133" i="8" s="1"/>
  <c r="J237" i="8"/>
  <c r="J238" i="8"/>
  <c r="U175" i="8"/>
  <c r="U176" i="8" s="1"/>
  <c r="U177" i="8" s="1"/>
  <c r="M216" i="8"/>
  <c r="Y151" i="8"/>
  <c r="Y288" i="8"/>
  <c r="Y303" i="8" s="1"/>
  <c r="Y343" i="8" s="1"/>
  <c r="Y149" i="8"/>
  <c r="Y150" i="8" s="1"/>
  <c r="O209" i="8"/>
  <c r="O210" i="8" s="1"/>
  <c r="O211" i="8" s="1"/>
  <c r="Q202" i="8"/>
  <c r="Q291" i="8"/>
  <c r="Q302" i="8" s="1"/>
  <c r="Q341" i="8" s="1"/>
  <c r="K226" i="8"/>
  <c r="K227" i="8" s="1"/>
  <c r="K228" i="8" s="1"/>
  <c r="F253" i="8"/>
  <c r="F294" i="8"/>
  <c r="F300" i="8" s="1"/>
  <c r="F339" i="8" s="1"/>
  <c r="F251" i="8"/>
  <c r="F252" i="8" s="1"/>
  <c r="V165" i="8"/>
  <c r="X161" i="8"/>
  <c r="W165" i="8" s="1"/>
  <c r="D266" i="8"/>
  <c r="C273" i="8"/>
  <c r="AF102" i="4"/>
  <c r="AF103" i="4" s="1"/>
  <c r="AC329" i="4"/>
  <c r="AE110" i="4"/>
  <c r="AD114" i="4" s="1"/>
  <c r="AC121" i="4"/>
  <c r="AD118" i="4"/>
  <c r="AD119" i="4"/>
  <c r="Z288" i="8" l="1"/>
  <c r="Z303" i="8" s="1"/>
  <c r="Z343" i="8" s="1"/>
  <c r="Q206" i="8"/>
  <c r="Q208" i="8" s="1"/>
  <c r="AC130" i="8"/>
  <c r="AB137" i="8"/>
  <c r="AB311" i="8" s="1"/>
  <c r="AB328" i="8" s="1"/>
  <c r="AB357" i="8" s="1"/>
  <c r="O212" i="8"/>
  <c r="AG348" i="8"/>
  <c r="AH102" i="8"/>
  <c r="G249" i="8"/>
  <c r="F256" i="8"/>
  <c r="Z147" i="8"/>
  <c r="Y154" i="8"/>
  <c r="Y312" i="8" s="1"/>
  <c r="Y327" i="8" s="1"/>
  <c r="Y356" i="8" s="1"/>
  <c r="P208" i="8"/>
  <c r="S314" i="8"/>
  <c r="S331" i="8" s="1"/>
  <c r="S360" i="8" s="1"/>
  <c r="S189" i="8"/>
  <c r="K229" i="8"/>
  <c r="J233" i="8" s="1"/>
  <c r="T187" i="8"/>
  <c r="T186" i="8"/>
  <c r="C276" i="8"/>
  <c r="G253" i="8"/>
  <c r="AG110" i="8"/>
  <c r="AF114" i="8" s="1"/>
  <c r="V168" i="8"/>
  <c r="V289" i="8"/>
  <c r="V301" i="8" s="1"/>
  <c r="V340" i="8" s="1"/>
  <c r="V166" i="8"/>
  <c r="V167" i="8" s="1"/>
  <c r="D271" i="8"/>
  <c r="D272" i="8"/>
  <c r="D268" i="8"/>
  <c r="D269" i="8" s="1"/>
  <c r="M220" i="8"/>
  <c r="M221" i="8"/>
  <c r="M217" i="8"/>
  <c r="M218" i="8" s="1"/>
  <c r="R204" i="8"/>
  <c r="R203" i="8"/>
  <c r="M219" i="8"/>
  <c r="M292" i="8"/>
  <c r="M299" i="8" s="1"/>
  <c r="M338" i="8" s="1"/>
  <c r="U178" i="8"/>
  <c r="T182" i="8" s="1"/>
  <c r="W168" i="8"/>
  <c r="W289" i="8"/>
  <c r="W301" i="8" s="1"/>
  <c r="W340" i="8" s="1"/>
  <c r="I243" i="8"/>
  <c r="I244" i="8" s="1"/>
  <c r="I245" i="8" s="1"/>
  <c r="D270" i="8"/>
  <c r="D295" i="8"/>
  <c r="D298" i="8" s="1"/>
  <c r="D337" i="8" s="1"/>
  <c r="AE310" i="8"/>
  <c r="AE329" i="8" s="1"/>
  <c r="AE358" i="8" s="1"/>
  <c r="AE121" i="8"/>
  <c r="C319" i="8"/>
  <c r="C322" i="8" s="1"/>
  <c r="C351" i="8" s="1"/>
  <c r="L316" i="8"/>
  <c r="L323" i="8" s="1"/>
  <c r="L352" i="8" s="1"/>
  <c r="L223" i="8"/>
  <c r="AF115" i="8"/>
  <c r="AF118" i="8"/>
  <c r="AF119" i="8"/>
  <c r="AF104" i="4"/>
  <c r="AD286" i="4"/>
  <c r="AD305" i="4" s="1"/>
  <c r="AD345" i="4" s="1"/>
  <c r="AD117" i="4"/>
  <c r="AD115" i="4"/>
  <c r="AD116" i="4" s="1"/>
  <c r="AD120" i="4" s="1"/>
  <c r="AF106" i="4"/>
  <c r="AF107" i="4" s="1"/>
  <c r="AF109" i="4" s="1"/>
  <c r="AC123" i="4"/>
  <c r="AF105" i="4" l="1"/>
  <c r="AB138" i="8"/>
  <c r="AF116" i="8"/>
  <c r="AF120" i="8" s="1"/>
  <c r="AF310" i="8" s="1"/>
  <c r="AF329" i="8" s="1"/>
  <c r="AF358" i="8" s="1"/>
  <c r="N215" i="8"/>
  <c r="N216" i="8" s="1"/>
  <c r="N217" i="8" s="1"/>
  <c r="M222" i="8"/>
  <c r="M316" i="8" s="1"/>
  <c r="M323" i="8" s="1"/>
  <c r="M352" i="8" s="1"/>
  <c r="W164" i="8"/>
  <c r="V171" i="8"/>
  <c r="E266" i="8"/>
  <c r="D273" i="8"/>
  <c r="F318" i="8"/>
  <c r="F324" i="8" s="1"/>
  <c r="F353" i="8" s="1"/>
  <c r="J236" i="8"/>
  <c r="J293" i="8"/>
  <c r="J306" i="8" s="1"/>
  <c r="J346" i="8" s="1"/>
  <c r="J234" i="8"/>
  <c r="J235" i="8" s="1"/>
  <c r="AH103" i="8"/>
  <c r="AF117" i="8"/>
  <c r="AF286" i="8"/>
  <c r="AF305" i="8" s="1"/>
  <c r="AF345" i="8" s="1"/>
  <c r="S191" i="8"/>
  <c r="Z153" i="8"/>
  <c r="Z152" i="8"/>
  <c r="Z149" i="8"/>
  <c r="Z150" i="8" s="1"/>
  <c r="AE123" i="8"/>
  <c r="AB140" i="8"/>
  <c r="T185" i="8"/>
  <c r="T290" i="8"/>
  <c r="T307" i="8" s="1"/>
  <c r="T347" i="8" s="1"/>
  <c r="G255" i="8"/>
  <c r="G254" i="8"/>
  <c r="G251" i="8"/>
  <c r="G252" i="8" s="1"/>
  <c r="I246" i="8"/>
  <c r="H250" i="8" s="1"/>
  <c r="Q209" i="8"/>
  <c r="Q210" i="8" s="1"/>
  <c r="L225" i="8"/>
  <c r="C277" i="8"/>
  <c r="C278" i="8" s="1"/>
  <c r="C279" i="8" s="1"/>
  <c r="C281" i="8" s="1"/>
  <c r="C334" i="8" s="1"/>
  <c r="P209" i="8"/>
  <c r="P210" i="8" s="1"/>
  <c r="P211" i="8" s="1"/>
  <c r="AC135" i="8"/>
  <c r="AC136" i="8"/>
  <c r="AC131" i="8"/>
  <c r="AC132" i="8" s="1"/>
  <c r="T183" i="8"/>
  <c r="T184" i="8" s="1"/>
  <c r="Y155" i="8"/>
  <c r="F257" i="8"/>
  <c r="AE113" i="4"/>
  <c r="AD310" i="4"/>
  <c r="AF110" i="4"/>
  <c r="AE114" i="4" s="1"/>
  <c r="AF348" i="4"/>
  <c r="AG102" i="4"/>
  <c r="AC124" i="4"/>
  <c r="AC125" i="4" s="1"/>
  <c r="AC126" i="4" s="1"/>
  <c r="M223" i="8" l="1"/>
  <c r="M225" i="8" s="1"/>
  <c r="AG113" i="8"/>
  <c r="AG118" i="8" s="1"/>
  <c r="AF121" i="8"/>
  <c r="AF123" i="8" s="1"/>
  <c r="AF124" i="8" s="1"/>
  <c r="AF125" i="8" s="1"/>
  <c r="N220" i="8"/>
  <c r="N221" i="8"/>
  <c r="H249" i="8"/>
  <c r="H255" i="8" s="1"/>
  <c r="G256" i="8"/>
  <c r="G257" i="8" s="1"/>
  <c r="G259" i="8" s="1"/>
  <c r="Q211" i="8"/>
  <c r="AA147" i="8"/>
  <c r="Z154" i="8"/>
  <c r="Z312" i="8" s="1"/>
  <c r="Z327" i="8" s="1"/>
  <c r="Z356" i="8" s="1"/>
  <c r="U181" i="8"/>
  <c r="T188" i="8"/>
  <c r="C362" i="8"/>
  <c r="C372" i="8" s="1"/>
  <c r="C380" i="8" s="1"/>
  <c r="C371" i="8"/>
  <c r="C379" i="8" s="1"/>
  <c r="M226" i="8"/>
  <c r="M227" i="8" s="1"/>
  <c r="E271" i="8"/>
  <c r="E272" i="8"/>
  <c r="D319" i="8"/>
  <c r="D322" i="8" s="1"/>
  <c r="D351" i="8" s="1"/>
  <c r="AC134" i="8"/>
  <c r="AC287" i="8"/>
  <c r="AC304" i="8" s="1"/>
  <c r="AC344" i="8" s="1"/>
  <c r="L226" i="8"/>
  <c r="L227" i="8" s="1"/>
  <c r="D274" i="8"/>
  <c r="S192" i="8"/>
  <c r="S193" i="8" s="1"/>
  <c r="S194" i="8" s="1"/>
  <c r="AC133" i="8"/>
  <c r="P212" i="8"/>
  <c r="Y157" i="8"/>
  <c r="K232" i="8"/>
  <c r="J239" i="8"/>
  <c r="J317" i="8" s="1"/>
  <c r="J330" i="8" s="1"/>
  <c r="J359" i="8" s="1"/>
  <c r="H253" i="8"/>
  <c r="H294" i="8"/>
  <c r="H300" i="8" s="1"/>
  <c r="H339" i="8" s="1"/>
  <c r="AB141" i="8"/>
  <c r="AB142" i="8" s="1"/>
  <c r="AB143" i="8" s="1"/>
  <c r="F259" i="8"/>
  <c r="V313" i="8"/>
  <c r="V325" i="8" s="1"/>
  <c r="V354" i="8" s="1"/>
  <c r="V172" i="8"/>
  <c r="AE124" i="8"/>
  <c r="AE125" i="8" s="1"/>
  <c r="AE126" i="8" s="1"/>
  <c r="AH106" i="8"/>
  <c r="AH107" i="8" s="1"/>
  <c r="AH109" i="8" s="1"/>
  <c r="W170" i="8"/>
  <c r="W169" i="8"/>
  <c r="W166" i="8"/>
  <c r="W167" i="8" s="1"/>
  <c r="N219" i="8"/>
  <c r="N292" i="8"/>
  <c r="N299" i="8" s="1"/>
  <c r="N338" i="8" s="1"/>
  <c r="AH104" i="8"/>
  <c r="AH105" i="8" s="1"/>
  <c r="N218" i="8"/>
  <c r="AG103" i="4"/>
  <c r="AG104" i="4" s="1"/>
  <c r="AE286" i="4"/>
  <c r="AE305" i="4" s="1"/>
  <c r="AE345" i="4" s="1"/>
  <c r="AE117" i="4"/>
  <c r="AD329" i="4"/>
  <c r="AD121" i="4"/>
  <c r="AD123" i="4" s="1"/>
  <c r="AD124" i="4" s="1"/>
  <c r="AD125" i="4" s="1"/>
  <c r="AD126" i="4" s="1"/>
  <c r="AE115" i="4"/>
  <c r="AE116" i="4" s="1"/>
  <c r="AE120" i="4" s="1"/>
  <c r="AE118" i="4"/>
  <c r="AE119" i="4"/>
  <c r="AG119" i="8" l="1"/>
  <c r="H251" i="8"/>
  <c r="H252" i="8" s="1"/>
  <c r="H254" i="8"/>
  <c r="Z155" i="8"/>
  <c r="Z157" i="8" s="1"/>
  <c r="M228" i="8"/>
  <c r="G318" i="8"/>
  <c r="G324" i="8" s="1"/>
  <c r="G353" i="8" s="1"/>
  <c r="J240" i="8"/>
  <c r="J242" i="8" s="1"/>
  <c r="AF126" i="8"/>
  <c r="Z158" i="8"/>
  <c r="Z159" i="8" s="1"/>
  <c r="AE127" i="8"/>
  <c r="AD131" i="8" s="1"/>
  <c r="I249" i="8"/>
  <c r="H256" i="8"/>
  <c r="H318" i="8" s="1"/>
  <c r="H324" i="8" s="1"/>
  <c r="H353" i="8" s="1"/>
  <c r="AH110" i="8"/>
  <c r="AG114" i="8" s="1"/>
  <c r="S195" i="8"/>
  <c r="R199" i="8" s="1"/>
  <c r="X164" i="8"/>
  <c r="W171" i="8"/>
  <c r="W313" i="8" s="1"/>
  <c r="W325" i="8" s="1"/>
  <c r="W354" i="8" s="1"/>
  <c r="AB144" i="8"/>
  <c r="AA148" i="8" s="1"/>
  <c r="AD130" i="8"/>
  <c r="AC137" i="8"/>
  <c r="AC311" i="8" s="1"/>
  <c r="AC328" i="8" s="1"/>
  <c r="AC357" i="8" s="1"/>
  <c r="D276" i="8"/>
  <c r="AH348" i="8"/>
  <c r="AI102" i="8"/>
  <c r="K237" i="8"/>
  <c r="K238" i="8"/>
  <c r="L228" i="8"/>
  <c r="T314" i="8"/>
  <c r="T331" i="8" s="1"/>
  <c r="T360" i="8" s="1"/>
  <c r="T189" i="8"/>
  <c r="F260" i="8"/>
  <c r="F261" i="8" s="1"/>
  <c r="F262" i="8" s="1"/>
  <c r="U187" i="8"/>
  <c r="U186" i="8"/>
  <c r="G260" i="8"/>
  <c r="G261" i="8" s="1"/>
  <c r="V174" i="8"/>
  <c r="Y158" i="8"/>
  <c r="Y159" i="8" s="1"/>
  <c r="AA152" i="8"/>
  <c r="AA153" i="8"/>
  <c r="O215" i="8"/>
  <c r="N222" i="8"/>
  <c r="N316" i="8" s="1"/>
  <c r="N323" i="8" s="1"/>
  <c r="N352" i="8" s="1"/>
  <c r="Q212" i="8"/>
  <c r="AF113" i="4"/>
  <c r="AE310" i="4"/>
  <c r="AG106" i="4"/>
  <c r="AG107" i="4" s="1"/>
  <c r="AG109" i="4" s="1"/>
  <c r="AG105" i="4"/>
  <c r="Z160" i="8" l="1"/>
  <c r="AF127" i="8"/>
  <c r="AE131" i="8" s="1"/>
  <c r="G262" i="8"/>
  <c r="F263" i="8"/>
  <c r="E267" i="8" s="1"/>
  <c r="AG117" i="8"/>
  <c r="AG286" i="8"/>
  <c r="AG305" i="8" s="1"/>
  <c r="AG345" i="8" s="1"/>
  <c r="AG115" i="8"/>
  <c r="AG116" i="8" s="1"/>
  <c r="AE134" i="8"/>
  <c r="AE287" i="8"/>
  <c r="AE304" i="8" s="1"/>
  <c r="AE344" i="8" s="1"/>
  <c r="AD136" i="8"/>
  <c r="AD135" i="8"/>
  <c r="AD132" i="8"/>
  <c r="AD133" i="8" s="1"/>
  <c r="J243" i="8"/>
  <c r="J244" i="8" s="1"/>
  <c r="J245" i="8" s="1"/>
  <c r="AA149" i="8"/>
  <c r="AA150" i="8" s="1"/>
  <c r="I254" i="8"/>
  <c r="I255" i="8"/>
  <c r="X170" i="8"/>
  <c r="X169" i="8"/>
  <c r="L229" i="8"/>
  <c r="AI103" i="8"/>
  <c r="AD134" i="8"/>
  <c r="AD287" i="8"/>
  <c r="AD304" i="8" s="1"/>
  <c r="AD344" i="8" s="1"/>
  <c r="Y160" i="8"/>
  <c r="N223" i="8"/>
  <c r="H257" i="8"/>
  <c r="V175" i="8"/>
  <c r="V176" i="8" s="1"/>
  <c r="V177" i="8" s="1"/>
  <c r="AC138" i="8"/>
  <c r="D277" i="8"/>
  <c r="D278" i="8" s="1"/>
  <c r="D279" i="8" s="1"/>
  <c r="D281" i="8" s="1"/>
  <c r="D334" i="8" s="1"/>
  <c r="R202" i="8"/>
  <c r="R291" i="8"/>
  <c r="R302" i="8" s="1"/>
  <c r="R341" i="8" s="1"/>
  <c r="R200" i="8"/>
  <c r="R201" i="8" s="1"/>
  <c r="O220" i="8"/>
  <c r="O221" i="8"/>
  <c r="AA151" i="8"/>
  <c r="AA288" i="8"/>
  <c r="AA303" i="8" s="1"/>
  <c r="AA343" i="8" s="1"/>
  <c r="O216" i="8"/>
  <c r="O217" i="8" s="1"/>
  <c r="O218" i="8" s="1"/>
  <c r="T191" i="8"/>
  <c r="W172" i="8"/>
  <c r="AE329" i="4"/>
  <c r="AE121" i="4"/>
  <c r="AE123" i="4" s="1"/>
  <c r="AG348" i="4"/>
  <c r="AH102" i="4"/>
  <c r="AG110" i="4"/>
  <c r="AF114" i="4" s="1"/>
  <c r="AF119" i="4"/>
  <c r="AF118" i="4"/>
  <c r="AB147" i="8" l="1"/>
  <c r="AA154" i="8"/>
  <c r="P215" i="8"/>
  <c r="O222" i="8"/>
  <c r="O316" i="8" s="1"/>
  <c r="O323" i="8" s="1"/>
  <c r="O352" i="8" s="1"/>
  <c r="J246" i="8"/>
  <c r="I250" i="8" s="1"/>
  <c r="AE130" i="8"/>
  <c r="AD137" i="8"/>
  <c r="AD311" i="8" s="1"/>
  <c r="AD328" i="8" s="1"/>
  <c r="AD357" i="8" s="1"/>
  <c r="S198" i="8"/>
  <c r="R205" i="8"/>
  <c r="R315" i="8" s="1"/>
  <c r="R326" i="8" s="1"/>
  <c r="R355" i="8" s="1"/>
  <c r="D371" i="8"/>
  <c r="D379" i="8" s="1"/>
  <c r="D362" i="8"/>
  <c r="D372" i="8" s="1"/>
  <c r="D380" i="8" s="1"/>
  <c r="AC140" i="8"/>
  <c r="K233" i="8"/>
  <c r="M229" i="8"/>
  <c r="L233" i="8" s="1"/>
  <c r="N225" i="8"/>
  <c r="Y161" i="8"/>
  <c r="E270" i="8"/>
  <c r="E295" i="8"/>
  <c r="E298" i="8" s="1"/>
  <c r="E337" i="8" s="1"/>
  <c r="F295" i="8"/>
  <c r="F298" i="8" s="1"/>
  <c r="F337" i="8" s="1"/>
  <c r="E268" i="8"/>
  <c r="E269" i="8" s="1"/>
  <c r="O219" i="8"/>
  <c r="O223" i="8" s="1"/>
  <c r="O292" i="8"/>
  <c r="O299" i="8" s="1"/>
  <c r="O338" i="8" s="1"/>
  <c r="H259" i="8"/>
  <c r="AI106" i="8"/>
  <c r="AI107" i="8" s="1"/>
  <c r="AI109" i="8" s="1"/>
  <c r="G263" i="8"/>
  <c r="F267" i="8" s="1"/>
  <c r="AH113" i="8"/>
  <c r="AG120" i="8"/>
  <c r="AG310" i="8" s="1"/>
  <c r="AG329" i="8" s="1"/>
  <c r="AG358" i="8" s="1"/>
  <c r="V178" i="8"/>
  <c r="U182" i="8" s="1"/>
  <c r="W174" i="8"/>
  <c r="T192" i="8"/>
  <c r="T193" i="8" s="1"/>
  <c r="T194" i="8" s="1"/>
  <c r="AI104" i="8"/>
  <c r="AI105" i="8" s="1"/>
  <c r="AH103" i="4"/>
  <c r="AH104" i="4" s="1"/>
  <c r="AF286" i="4"/>
  <c r="AF305" i="4" s="1"/>
  <c r="AF345" i="4" s="1"/>
  <c r="AF117" i="4"/>
  <c r="AF115" i="4"/>
  <c r="AF116" i="4" s="1"/>
  <c r="AF120" i="4" s="1"/>
  <c r="AE124" i="4"/>
  <c r="AE125" i="4" s="1"/>
  <c r="AE126" i="4" s="1"/>
  <c r="O225" i="8" l="1"/>
  <c r="T195" i="8"/>
  <c r="S199" i="8" s="1"/>
  <c r="AI110" i="8"/>
  <c r="AH114" i="8" s="1"/>
  <c r="AC141" i="8"/>
  <c r="AC142" i="8" s="1"/>
  <c r="AC143" i="8" s="1"/>
  <c r="W175" i="8"/>
  <c r="W176" i="8" s="1"/>
  <c r="W177" i="8" s="1"/>
  <c r="K236" i="8"/>
  <c r="K293" i="8"/>
  <c r="K306" i="8" s="1"/>
  <c r="K346" i="8" s="1"/>
  <c r="K234" i="8"/>
  <c r="K235" i="8" s="1"/>
  <c r="F266" i="8"/>
  <c r="E273" i="8"/>
  <c r="I253" i="8"/>
  <c r="I294" i="8"/>
  <c r="I300" i="8" s="1"/>
  <c r="I339" i="8" s="1"/>
  <c r="I251" i="8"/>
  <c r="I252" i="8" s="1"/>
  <c r="AD138" i="8"/>
  <c r="U185" i="8"/>
  <c r="U290" i="8"/>
  <c r="U307" i="8" s="1"/>
  <c r="U347" i="8" s="1"/>
  <c r="U183" i="8"/>
  <c r="U184" i="8" s="1"/>
  <c r="F270" i="8"/>
  <c r="X165" i="8"/>
  <c r="Z161" i="8"/>
  <c r="Y165" i="8" s="1"/>
  <c r="AG121" i="8"/>
  <c r="P221" i="8"/>
  <c r="P220" i="8"/>
  <c r="P216" i="8"/>
  <c r="P217" i="8" s="1"/>
  <c r="H260" i="8"/>
  <c r="H261" i="8" s="1"/>
  <c r="H262" i="8" s="1"/>
  <c r="S203" i="8"/>
  <c r="S204" i="8"/>
  <c r="AE135" i="8"/>
  <c r="AE136" i="8"/>
  <c r="AE132" i="8"/>
  <c r="AE133" i="8" s="1"/>
  <c r="AH118" i="8"/>
  <c r="AH119" i="8"/>
  <c r="R206" i="8"/>
  <c r="AA312" i="8"/>
  <c r="AA327" i="8" s="1"/>
  <c r="AA356" i="8" s="1"/>
  <c r="AA155" i="8"/>
  <c r="L236" i="8"/>
  <c r="L293" i="8"/>
  <c r="L306" i="8" s="1"/>
  <c r="L346" i="8" s="1"/>
  <c r="AI348" i="8"/>
  <c r="AJ102" i="8"/>
  <c r="N226" i="8"/>
  <c r="N227" i="8" s="1"/>
  <c r="N228" i="8" s="1"/>
  <c r="AB152" i="8"/>
  <c r="AB153" i="8"/>
  <c r="AG113" i="4"/>
  <c r="AF310" i="4"/>
  <c r="AH106" i="4"/>
  <c r="AH107" i="4" s="1"/>
  <c r="AH109" i="4" s="1"/>
  <c r="AH105" i="4"/>
  <c r="AF130" i="8" l="1"/>
  <c r="AE137" i="8"/>
  <c r="AE311" i="8" s="1"/>
  <c r="AE328" i="8" s="1"/>
  <c r="AE357" i="8" s="1"/>
  <c r="W178" i="8"/>
  <c r="V182" i="8" s="1"/>
  <c r="L232" i="8"/>
  <c r="K239" i="8"/>
  <c r="V181" i="8"/>
  <c r="U188" i="8"/>
  <c r="U314" i="8" s="1"/>
  <c r="U331" i="8" s="1"/>
  <c r="U360" i="8" s="1"/>
  <c r="AC144" i="8"/>
  <c r="AB148" i="8" s="1"/>
  <c r="H263" i="8"/>
  <c r="G267" i="8" s="1"/>
  <c r="J249" i="8"/>
  <c r="I256" i="8"/>
  <c r="N229" i="8"/>
  <c r="M233" i="8" s="1"/>
  <c r="E319" i="8"/>
  <c r="E322" i="8" s="1"/>
  <c r="E351" i="8" s="1"/>
  <c r="R208" i="8"/>
  <c r="E274" i="8"/>
  <c r="AH117" i="8"/>
  <c r="AH286" i="8"/>
  <c r="AH305" i="8" s="1"/>
  <c r="AH345" i="8" s="1"/>
  <c r="AG123" i="8"/>
  <c r="S202" i="8"/>
  <c r="S291" i="8"/>
  <c r="S302" i="8" s="1"/>
  <c r="S341" i="8" s="1"/>
  <c r="S200" i="8"/>
  <c r="S201" i="8" s="1"/>
  <c r="AE140" i="8"/>
  <c r="AD140" i="8"/>
  <c r="O226" i="8"/>
  <c r="O227" i="8" s="1"/>
  <c r="O228" i="8" s="1"/>
  <c r="P219" i="8"/>
  <c r="P292" i="8"/>
  <c r="P299" i="8" s="1"/>
  <c r="P338" i="8" s="1"/>
  <c r="AA157" i="8"/>
  <c r="AE138" i="8"/>
  <c r="AJ103" i="8"/>
  <c r="X168" i="8"/>
  <c r="X289" i="8"/>
  <c r="X301" i="8" s="1"/>
  <c r="X340" i="8" s="1"/>
  <c r="X166" i="8"/>
  <c r="X167" i="8" s="1"/>
  <c r="P218" i="8"/>
  <c r="F272" i="8"/>
  <c r="F271" i="8"/>
  <c r="F268" i="8"/>
  <c r="F269" i="8" s="1"/>
  <c r="AH115" i="8"/>
  <c r="AH116" i="8" s="1"/>
  <c r="Y168" i="8"/>
  <c r="Y289" i="8"/>
  <c r="Y301" i="8" s="1"/>
  <c r="Y340" i="8" s="1"/>
  <c r="AF329" i="4"/>
  <c r="AH110" i="4"/>
  <c r="AG114" i="4" s="1"/>
  <c r="AH348" i="4"/>
  <c r="AI102" i="4"/>
  <c r="AG119" i="4"/>
  <c r="AG118" i="4"/>
  <c r="AF121" i="4"/>
  <c r="Y164" i="8" l="1"/>
  <c r="X171" i="8"/>
  <c r="X313" i="8" s="1"/>
  <c r="X325" i="8" s="1"/>
  <c r="X354" i="8" s="1"/>
  <c r="G266" i="8"/>
  <c r="F273" i="8"/>
  <c r="O229" i="8"/>
  <c r="N233" i="8" s="1"/>
  <c r="V187" i="8"/>
  <c r="V186" i="8"/>
  <c r="V183" i="8"/>
  <c r="V184" i="8" s="1"/>
  <c r="AE141" i="8"/>
  <c r="AE142" i="8" s="1"/>
  <c r="T198" i="8"/>
  <c r="S205" i="8"/>
  <c r="R209" i="8"/>
  <c r="R210" i="8" s="1"/>
  <c r="R211" i="8" s="1"/>
  <c r="L238" i="8"/>
  <c r="L237" i="8"/>
  <c r="L234" i="8"/>
  <c r="L235" i="8" s="1"/>
  <c r="M232" i="8" s="1"/>
  <c r="AI113" i="8"/>
  <c r="AH120" i="8"/>
  <c r="AJ106" i="8"/>
  <c r="AJ107" i="8"/>
  <c r="AJ109" i="8" s="1"/>
  <c r="M236" i="8"/>
  <c r="M293" i="8"/>
  <c r="M306" i="8" s="1"/>
  <c r="M346" i="8" s="1"/>
  <c r="I318" i="8"/>
  <c r="I324" i="8" s="1"/>
  <c r="I353" i="8" s="1"/>
  <c r="I257" i="8"/>
  <c r="U189" i="8"/>
  <c r="AJ104" i="8"/>
  <c r="AJ105" i="8" s="1"/>
  <c r="J255" i="8"/>
  <c r="J254" i="8"/>
  <c r="AA158" i="8"/>
  <c r="AA159" i="8" s="1"/>
  <c r="AA160" i="8" s="1"/>
  <c r="Q215" i="8"/>
  <c r="P222" i="8"/>
  <c r="P316" i="8" s="1"/>
  <c r="P323" i="8" s="1"/>
  <c r="P352" i="8" s="1"/>
  <c r="V185" i="8"/>
  <c r="V290" i="8"/>
  <c r="V307" i="8" s="1"/>
  <c r="V347" i="8" s="1"/>
  <c r="AG124" i="8"/>
  <c r="AG125" i="8" s="1"/>
  <c r="AG126" i="8" s="1"/>
  <c r="G270" i="8"/>
  <c r="G295" i="8"/>
  <c r="G298" i="8" s="1"/>
  <c r="G337" i="8" s="1"/>
  <c r="AD141" i="8"/>
  <c r="AD142" i="8" s="1"/>
  <c r="AD143" i="8" s="1"/>
  <c r="E276" i="8"/>
  <c r="K317" i="8"/>
  <c r="K330" i="8" s="1"/>
  <c r="K359" i="8" s="1"/>
  <c r="K240" i="8"/>
  <c r="AB151" i="8"/>
  <c r="AB288" i="8"/>
  <c r="AB303" i="8" s="1"/>
  <c r="AB343" i="8" s="1"/>
  <c r="AB149" i="8"/>
  <c r="AB150" i="8" s="1"/>
  <c r="AF135" i="8"/>
  <c r="AF136" i="8"/>
  <c r="AI103" i="4"/>
  <c r="AI104" i="4" s="1"/>
  <c r="AG286" i="4"/>
  <c r="AG305" i="4" s="1"/>
  <c r="AG345" i="4" s="1"/>
  <c r="AG117" i="4"/>
  <c r="AG115" i="4"/>
  <c r="AG116" i="4" s="1"/>
  <c r="AG120" i="4" s="1"/>
  <c r="AF123" i="4"/>
  <c r="AE143" i="8" l="1"/>
  <c r="X172" i="8"/>
  <c r="X174" i="8" s="1"/>
  <c r="W181" i="8"/>
  <c r="V188" i="8"/>
  <c r="V314" i="8" s="1"/>
  <c r="V331" i="8" s="1"/>
  <c r="V360" i="8" s="1"/>
  <c r="AJ348" i="8"/>
  <c r="AK102" i="8"/>
  <c r="F319" i="8"/>
  <c r="F322" i="8" s="1"/>
  <c r="F351" i="8" s="1"/>
  <c r="F274" i="8"/>
  <c r="N236" i="8"/>
  <c r="N293" i="8"/>
  <c r="N306" i="8" s="1"/>
  <c r="N346" i="8" s="1"/>
  <c r="S315" i="8"/>
  <c r="S326" i="8" s="1"/>
  <c r="S355" i="8" s="1"/>
  <c r="S206" i="8"/>
  <c r="G271" i="8"/>
  <c r="G272" i="8"/>
  <c r="G268" i="8"/>
  <c r="G269" i="8" s="1"/>
  <c r="AC147" i="8"/>
  <c r="AB154" i="8"/>
  <c r="R212" i="8"/>
  <c r="Q216" i="8" s="1"/>
  <c r="K242" i="8"/>
  <c r="AJ110" i="8"/>
  <c r="AI114" i="8" s="1"/>
  <c r="E277" i="8"/>
  <c r="E278" i="8" s="1"/>
  <c r="E279" i="8" s="1"/>
  <c r="E281" i="8" s="1"/>
  <c r="E334" i="8" s="1"/>
  <c r="AH310" i="8"/>
  <c r="AH329" i="8" s="1"/>
  <c r="AH358" i="8" s="1"/>
  <c r="AH121" i="8"/>
  <c r="P223" i="8"/>
  <c r="M238" i="8"/>
  <c r="M237" i="8"/>
  <c r="M234" i="8"/>
  <c r="M235" i="8" s="1"/>
  <c r="N232" i="8" s="1"/>
  <c r="I259" i="8"/>
  <c r="T203" i="8"/>
  <c r="T204" i="8"/>
  <c r="AD144" i="8"/>
  <c r="AC148" i="8" s="1"/>
  <c r="AI118" i="8"/>
  <c r="AI119" i="8"/>
  <c r="AI115" i="8"/>
  <c r="U191" i="8"/>
  <c r="L239" i="8"/>
  <c r="L317" i="8" s="1"/>
  <c r="L330" i="8" s="1"/>
  <c r="L359" i="8" s="1"/>
  <c r="Q220" i="8"/>
  <c r="Q221" i="8"/>
  <c r="AA161" i="8"/>
  <c r="Z165" i="8" s="1"/>
  <c r="AG127" i="8"/>
  <c r="AF131" i="8" s="1"/>
  <c r="Y170" i="8"/>
  <c r="Y169" i="8"/>
  <c r="Y166" i="8"/>
  <c r="Y167" i="8" s="1"/>
  <c r="Z164" i="8" s="1"/>
  <c r="AH113" i="4"/>
  <c r="AG310" i="4"/>
  <c r="AI105" i="4"/>
  <c r="AF124" i="4"/>
  <c r="AF125" i="4" s="1"/>
  <c r="AF126" i="4" s="1"/>
  <c r="AI106" i="4"/>
  <c r="AI107" i="4" s="1"/>
  <c r="AI109" i="4" s="1"/>
  <c r="H266" i="8" l="1"/>
  <c r="G273" i="8"/>
  <c r="K243" i="8"/>
  <c r="K244" i="8" s="1"/>
  <c r="K245" i="8" s="1"/>
  <c r="AC151" i="8"/>
  <c r="AC288" i="8"/>
  <c r="AC303" i="8" s="1"/>
  <c r="AC343" i="8" s="1"/>
  <c r="Q219" i="8"/>
  <c r="Q292" i="8"/>
  <c r="Q299" i="8" s="1"/>
  <c r="Q338" i="8" s="1"/>
  <c r="P225" i="8"/>
  <c r="AK103" i="8"/>
  <c r="Z169" i="8"/>
  <c r="Z166" i="8"/>
  <c r="Z167" i="8" s="1"/>
  <c r="Z170" i="8"/>
  <c r="S208" i="8"/>
  <c r="Y171" i="8"/>
  <c r="Y313" i="8" s="1"/>
  <c r="Y325" i="8" s="1"/>
  <c r="Y354" i="8" s="1"/>
  <c r="M239" i="8"/>
  <c r="M317" i="8" s="1"/>
  <c r="M330" i="8" s="1"/>
  <c r="M359" i="8" s="1"/>
  <c r="Y172" i="8"/>
  <c r="AF134" i="8"/>
  <c r="AF287" i="8"/>
  <c r="AF304" i="8" s="1"/>
  <c r="AF344" i="8" s="1"/>
  <c r="AF132" i="8"/>
  <c r="AF133" i="8" s="1"/>
  <c r="AH123" i="8"/>
  <c r="E362" i="8"/>
  <c r="E372" i="8" s="1"/>
  <c r="E380" i="8" s="1"/>
  <c r="E371" i="8"/>
  <c r="E379" i="8" s="1"/>
  <c r="AB312" i="8"/>
  <c r="AB327" i="8" s="1"/>
  <c r="AB356" i="8" s="1"/>
  <c r="AB155" i="8"/>
  <c r="U192" i="8"/>
  <c r="U193" i="8" s="1"/>
  <c r="U194" i="8" s="1"/>
  <c r="AE144" i="8"/>
  <c r="AD148" i="8" s="1"/>
  <c r="N238" i="8"/>
  <c r="N237" i="8"/>
  <c r="N234" i="8"/>
  <c r="N235" i="8" s="1"/>
  <c r="L240" i="8"/>
  <c r="AC152" i="8"/>
  <c r="AC153" i="8"/>
  <c r="AC149" i="8"/>
  <c r="AC150" i="8" s="1"/>
  <c r="X175" i="8"/>
  <c r="X176" i="8" s="1"/>
  <c r="X177" i="8" s="1"/>
  <c r="AI117" i="8"/>
  <c r="AI286" i="8"/>
  <c r="AI305" i="8" s="1"/>
  <c r="AI345" i="8" s="1"/>
  <c r="I260" i="8"/>
  <c r="I261" i="8" s="1"/>
  <c r="I262" i="8" s="1"/>
  <c r="F276" i="8"/>
  <c r="G274" i="8"/>
  <c r="G276" i="8" s="1"/>
  <c r="W187" i="8"/>
  <c r="W186" i="8"/>
  <c r="AI116" i="8"/>
  <c r="Z168" i="8"/>
  <c r="Z289" i="8"/>
  <c r="Z301" i="8" s="1"/>
  <c r="Z340" i="8" s="1"/>
  <c r="Q217" i="8"/>
  <c r="Q218" i="8" s="1"/>
  <c r="V189" i="8"/>
  <c r="AG329" i="4"/>
  <c r="AH119" i="4"/>
  <c r="AH118" i="4"/>
  <c r="AG121" i="4"/>
  <c r="AG123" i="4" s="1"/>
  <c r="AG124" i="4" s="1"/>
  <c r="AG125" i="4" s="1"/>
  <c r="AI348" i="4"/>
  <c r="AJ102" i="4"/>
  <c r="AI110" i="4"/>
  <c r="AH114" i="4" s="1"/>
  <c r="G277" i="8" l="1"/>
  <c r="G278" i="8" s="1"/>
  <c r="AD147" i="8"/>
  <c r="AC154" i="8"/>
  <c r="AC312" i="8" s="1"/>
  <c r="AC327" i="8" s="1"/>
  <c r="AC356" i="8" s="1"/>
  <c r="K246" i="8"/>
  <c r="J250" i="8" s="1"/>
  <c r="AA164" i="8"/>
  <c r="Z171" i="8"/>
  <c r="Z313" i="8" s="1"/>
  <c r="Z325" i="8" s="1"/>
  <c r="Z354" i="8" s="1"/>
  <c r="AG130" i="8"/>
  <c r="AF137" i="8"/>
  <c r="AF311" i="8" s="1"/>
  <c r="AF328" i="8" s="1"/>
  <c r="AF357" i="8" s="1"/>
  <c r="O232" i="8"/>
  <c r="N239" i="8"/>
  <c r="N317" i="8" s="1"/>
  <c r="N330" i="8" s="1"/>
  <c r="N359" i="8" s="1"/>
  <c r="L242" i="8"/>
  <c r="AJ113" i="8"/>
  <c r="AI120" i="8"/>
  <c r="AI310" i="8" s="1"/>
  <c r="AI329" i="8" s="1"/>
  <c r="AI358" i="8" s="1"/>
  <c r="S209" i="8"/>
  <c r="S210" i="8" s="1"/>
  <c r="S211" i="8" s="1"/>
  <c r="AH124" i="8"/>
  <c r="AH125" i="8" s="1"/>
  <c r="AH126" i="8" s="1"/>
  <c r="X178" i="8"/>
  <c r="W182" i="8" s="1"/>
  <c r="R215" i="8"/>
  <c r="Q222" i="8"/>
  <c r="Q316" i="8" s="1"/>
  <c r="Q323" i="8" s="1"/>
  <c r="Q352" i="8" s="1"/>
  <c r="Y174" i="8"/>
  <c r="H272" i="8"/>
  <c r="H271" i="8"/>
  <c r="AK106" i="8"/>
  <c r="AK107" i="8" s="1"/>
  <c r="AK109" i="8" s="1"/>
  <c r="V191" i="8"/>
  <c r="U195" i="8"/>
  <c r="T199" i="8" s="1"/>
  <c r="G319" i="8"/>
  <c r="G322" i="8" s="1"/>
  <c r="G351" i="8" s="1"/>
  <c r="AB157" i="8"/>
  <c r="I263" i="8"/>
  <c r="H267" i="8" s="1"/>
  <c r="H268" i="8" s="1"/>
  <c r="AD151" i="8"/>
  <c r="AD288" i="8"/>
  <c r="AD303" i="8" s="1"/>
  <c r="AD343" i="8" s="1"/>
  <c r="AK104" i="8"/>
  <c r="AK105" i="8" s="1"/>
  <c r="F277" i="8"/>
  <c r="F278" i="8" s="1"/>
  <c r="G279" i="8" s="1"/>
  <c r="G281" i="8" s="1"/>
  <c r="G334" i="8" s="1"/>
  <c r="P226" i="8"/>
  <c r="P227" i="8" s="1"/>
  <c r="P228" i="8" s="1"/>
  <c r="M240" i="8"/>
  <c r="M242" i="8" s="1"/>
  <c r="AH286" i="4"/>
  <c r="AH305" i="4" s="1"/>
  <c r="AH345" i="4" s="1"/>
  <c r="AH117" i="4"/>
  <c r="AG126" i="4"/>
  <c r="AH115" i="4"/>
  <c r="AH116" i="4" s="1"/>
  <c r="AH120" i="4" s="1"/>
  <c r="AJ103" i="4"/>
  <c r="AJ104" i="4" s="1"/>
  <c r="AF138" i="8" l="1"/>
  <c r="F279" i="8"/>
  <c r="F281" i="8" s="1"/>
  <c r="F334" i="8" s="1"/>
  <c r="AI121" i="8"/>
  <c r="AC155" i="8"/>
  <c r="AC157" i="8" s="1"/>
  <c r="AC158" i="8" s="1"/>
  <c r="AC159" i="8" s="1"/>
  <c r="M243" i="8"/>
  <c r="M244" i="8" s="1"/>
  <c r="AH127" i="8"/>
  <c r="AG131" i="8" s="1"/>
  <c r="AG132" i="8" s="1"/>
  <c r="AG133" i="8" s="1"/>
  <c r="G362" i="8"/>
  <c r="G372" i="8" s="1"/>
  <c r="G380" i="8" s="1"/>
  <c r="G371" i="8"/>
  <c r="G379" i="8" s="1"/>
  <c r="AJ119" i="8"/>
  <c r="AJ118" i="8"/>
  <c r="AK348" i="8"/>
  <c r="AL102" i="8"/>
  <c r="T202" i="8"/>
  <c r="T291" i="8"/>
  <c r="T302" i="8" s="1"/>
  <c r="T341" i="8" s="1"/>
  <c r="T200" i="8"/>
  <c r="T201" i="8" s="1"/>
  <c r="AK110" i="8"/>
  <c r="AJ114" i="8" s="1"/>
  <c r="AJ115" i="8" s="1"/>
  <c r="AJ116" i="8" s="1"/>
  <c r="AI123" i="8"/>
  <c r="Q223" i="8"/>
  <c r="F371" i="8"/>
  <c r="F379" i="8" s="1"/>
  <c r="F362" i="8"/>
  <c r="F372" i="8" s="1"/>
  <c r="F380" i="8" s="1"/>
  <c r="J253" i="8"/>
  <c r="J294" i="8"/>
  <c r="J300" i="8" s="1"/>
  <c r="J339" i="8" s="1"/>
  <c r="J251" i="8"/>
  <c r="J252" i="8" s="1"/>
  <c r="W185" i="8"/>
  <c r="W290" i="8"/>
  <c r="W307" i="8" s="1"/>
  <c r="W347" i="8" s="1"/>
  <c r="W183" i="8"/>
  <c r="W184" i="8" s="1"/>
  <c r="AF140" i="8"/>
  <c r="AD152" i="8"/>
  <c r="AD153" i="8"/>
  <c r="AD149" i="8"/>
  <c r="AD150" i="8" s="1"/>
  <c r="AB158" i="8"/>
  <c r="AB159" i="8" s="1"/>
  <c r="L243" i="8"/>
  <c r="L244" i="8" s="1"/>
  <c r="N240" i="8"/>
  <c r="N242" i="8"/>
  <c r="O238" i="8"/>
  <c r="O237" i="8"/>
  <c r="Y175" i="8"/>
  <c r="Y176" i="8" s="1"/>
  <c r="Y177" i="8" s="1"/>
  <c r="R221" i="8"/>
  <c r="R220" i="8"/>
  <c r="H270" i="8"/>
  <c r="H295" i="8"/>
  <c r="H298" i="8" s="1"/>
  <c r="H337" i="8" s="1"/>
  <c r="H269" i="8"/>
  <c r="S212" i="8"/>
  <c r="R216" i="8" s="1"/>
  <c r="P229" i="8"/>
  <c r="O233" i="8" s="1"/>
  <c r="O234" i="8" s="1"/>
  <c r="AA169" i="8"/>
  <c r="AA170" i="8"/>
  <c r="V192" i="8"/>
  <c r="V193" i="8" s="1"/>
  <c r="V194" i="8" s="1"/>
  <c r="AG136" i="8"/>
  <c r="AG135" i="8"/>
  <c r="Z172" i="8"/>
  <c r="AJ105" i="4"/>
  <c r="AJ106" i="4"/>
  <c r="AJ107" i="4" s="1"/>
  <c r="AJ109" i="4" s="1"/>
  <c r="AJ110" i="4" s="1"/>
  <c r="AI114" i="4" s="1"/>
  <c r="AI113" i="4"/>
  <c r="AH310" i="4"/>
  <c r="M245" i="8" l="1"/>
  <c r="AC160" i="8"/>
  <c r="R217" i="8"/>
  <c r="R218" i="8" s="1"/>
  <c r="V195" i="8"/>
  <c r="U199" i="8" s="1"/>
  <c r="K249" i="8"/>
  <c r="J256" i="8"/>
  <c r="AK113" i="8"/>
  <c r="AJ120" i="8"/>
  <c r="AJ310" i="8" s="1"/>
  <c r="AJ329" i="8" s="1"/>
  <c r="AJ358" i="8" s="1"/>
  <c r="AE147" i="8"/>
  <c r="AD154" i="8"/>
  <c r="AD312" i="8" s="1"/>
  <c r="AD327" i="8" s="1"/>
  <c r="AD356" i="8" s="1"/>
  <c r="AH130" i="8"/>
  <c r="AG137" i="8"/>
  <c r="AG311" i="8" s="1"/>
  <c r="AG328" i="8" s="1"/>
  <c r="AG357" i="8" s="1"/>
  <c r="Y178" i="8"/>
  <c r="X182" i="8" s="1"/>
  <c r="X181" i="8"/>
  <c r="W188" i="8"/>
  <c r="W314" i="8" s="1"/>
  <c r="W331" i="8" s="1"/>
  <c r="W360" i="8" s="1"/>
  <c r="O236" i="8"/>
  <c r="O293" i="8"/>
  <c r="O306" i="8" s="1"/>
  <c r="O346" i="8" s="1"/>
  <c r="O235" i="8"/>
  <c r="AJ117" i="8"/>
  <c r="AJ286" i="8"/>
  <c r="AJ305" i="8" s="1"/>
  <c r="AJ345" i="8" s="1"/>
  <c r="Q225" i="8"/>
  <c r="AG134" i="8"/>
  <c r="AG287" i="8"/>
  <c r="AG304" i="8" s="1"/>
  <c r="AG344" i="8" s="1"/>
  <c r="U198" i="8"/>
  <c r="T205" i="8"/>
  <c r="T315" i="8" s="1"/>
  <c r="T326" i="8" s="1"/>
  <c r="T355" i="8" s="1"/>
  <c r="AF141" i="8"/>
  <c r="AF142" i="8" s="1"/>
  <c r="AF143" i="8" s="1"/>
  <c r="AI124" i="8"/>
  <c r="AI125" i="8" s="1"/>
  <c r="AI126" i="8" s="1"/>
  <c r="Z174" i="8"/>
  <c r="I266" i="8"/>
  <c r="H273" i="8"/>
  <c r="H319" i="8" s="1"/>
  <c r="H322" i="8" s="1"/>
  <c r="H351" i="8" s="1"/>
  <c r="N243" i="8"/>
  <c r="N244" i="8" s="1"/>
  <c r="N245" i="8" s="1"/>
  <c r="AL103" i="8"/>
  <c r="AL104" i="8" s="1"/>
  <c r="AB160" i="8"/>
  <c r="R219" i="8"/>
  <c r="R292" i="8"/>
  <c r="R299" i="8" s="1"/>
  <c r="R338" i="8" s="1"/>
  <c r="L245" i="8"/>
  <c r="AK102" i="4"/>
  <c r="AJ348" i="4"/>
  <c r="AI286" i="4"/>
  <c r="AI305" i="4" s="1"/>
  <c r="AI345" i="4" s="1"/>
  <c r="AI117" i="4"/>
  <c r="AH329" i="4"/>
  <c r="AI115" i="4"/>
  <c r="AI116" i="4" s="1"/>
  <c r="AI118" i="4"/>
  <c r="AI119" i="4"/>
  <c r="AH121" i="4"/>
  <c r="AJ121" i="8" l="1"/>
  <c r="AG138" i="8"/>
  <c r="AG140" i="8" s="1"/>
  <c r="S215" i="8"/>
  <c r="R222" i="8"/>
  <c r="R316" i="8" s="1"/>
  <c r="R323" i="8" s="1"/>
  <c r="R352" i="8" s="1"/>
  <c r="AD155" i="8"/>
  <c r="AJ123" i="8"/>
  <c r="X187" i="8"/>
  <c r="X186" i="8"/>
  <c r="X183" i="8"/>
  <c r="X184" i="8" s="1"/>
  <c r="I272" i="8"/>
  <c r="I271" i="8"/>
  <c r="Q226" i="8"/>
  <c r="Q227" i="8" s="1"/>
  <c r="Q228" i="8" s="1"/>
  <c r="AH135" i="8"/>
  <c r="AH136" i="8"/>
  <c r="T206" i="8"/>
  <c r="AB161" i="8"/>
  <c r="AI127" i="8"/>
  <c r="AH131" i="8" s="1"/>
  <c r="AH132" i="8" s="1"/>
  <c r="AH133" i="8" s="1"/>
  <c r="J318" i="8"/>
  <c r="J324" i="8" s="1"/>
  <c r="J353" i="8" s="1"/>
  <c r="J257" i="8"/>
  <c r="AL106" i="8"/>
  <c r="AL107" i="8"/>
  <c r="AL109" i="8" s="1"/>
  <c r="P232" i="8"/>
  <c r="O239" i="8"/>
  <c r="O317" i="8" s="1"/>
  <c r="O330" i="8" s="1"/>
  <c r="O359" i="8" s="1"/>
  <c r="AE152" i="8"/>
  <c r="AE153" i="8"/>
  <c r="K255" i="8"/>
  <c r="K254" i="8"/>
  <c r="L246" i="8"/>
  <c r="X185" i="8"/>
  <c r="X290" i="8"/>
  <c r="X307" i="8" s="1"/>
  <c r="X347" i="8" s="1"/>
  <c r="Z175" i="8"/>
  <c r="Z176" i="8" s="1"/>
  <c r="Z177" i="8" s="1"/>
  <c r="AD157" i="8"/>
  <c r="R223" i="8"/>
  <c r="H274" i="8"/>
  <c r="AF144" i="8"/>
  <c r="AE148" i="8" s="1"/>
  <c r="AL105" i="8"/>
  <c r="U202" i="8"/>
  <c r="U291" i="8"/>
  <c r="U302" i="8" s="1"/>
  <c r="U341" i="8" s="1"/>
  <c r="AK119" i="8"/>
  <c r="AK118" i="8"/>
  <c r="S221" i="8"/>
  <c r="S220" i="8"/>
  <c r="U203" i="8"/>
  <c r="U204" i="8"/>
  <c r="U200" i="8"/>
  <c r="U201" i="8" s="1"/>
  <c r="W189" i="8"/>
  <c r="AK103" i="4"/>
  <c r="AK106" i="4" s="1"/>
  <c r="AK107" i="4" s="1"/>
  <c r="AK109" i="4" s="1"/>
  <c r="AJ113" i="4"/>
  <c r="AJ118" i="4" s="1"/>
  <c r="AI120" i="4"/>
  <c r="AI310" i="4" s="1"/>
  <c r="AH123" i="4"/>
  <c r="AI130" i="8" l="1"/>
  <c r="AH137" i="8"/>
  <c r="AH311" i="8" s="1"/>
  <c r="AH328" i="8" s="1"/>
  <c r="AH357" i="8" s="1"/>
  <c r="Q229" i="8"/>
  <c r="P233" i="8" s="1"/>
  <c r="P234" i="8" s="1"/>
  <c r="P235" i="8" s="1"/>
  <c r="Y181" i="8"/>
  <c r="X188" i="8"/>
  <c r="X314" i="8" s="1"/>
  <c r="X331" i="8" s="1"/>
  <c r="X360" i="8" s="1"/>
  <c r="V198" i="8"/>
  <c r="U205" i="8"/>
  <c r="U315" i="8" s="1"/>
  <c r="U326" i="8" s="1"/>
  <c r="U355" i="8" s="1"/>
  <c r="Z178" i="8"/>
  <c r="Y182" i="8" s="1"/>
  <c r="AL348" i="8"/>
  <c r="AM102" i="8"/>
  <c r="AJ124" i="8"/>
  <c r="AJ125" i="8" s="1"/>
  <c r="AJ126" i="8" s="1"/>
  <c r="K250" i="8"/>
  <c r="M246" i="8"/>
  <c r="L250" i="8" s="1"/>
  <c r="P237" i="8"/>
  <c r="P238" i="8"/>
  <c r="H276" i="8"/>
  <c r="O240" i="8"/>
  <c r="AH134" i="8"/>
  <c r="AH138" i="8" s="1"/>
  <c r="AH287" i="8"/>
  <c r="AH304" i="8" s="1"/>
  <c r="AH344" i="8" s="1"/>
  <c r="AA165" i="8"/>
  <c r="AC161" i="8"/>
  <c r="AB165" i="8" s="1"/>
  <c r="AE151" i="8"/>
  <c r="AE288" i="8"/>
  <c r="AE303" i="8" s="1"/>
  <c r="AE343" i="8" s="1"/>
  <c r="AL110" i="8"/>
  <c r="AK114" i="8" s="1"/>
  <c r="R225" i="8"/>
  <c r="J259" i="8"/>
  <c r="W191" i="8"/>
  <c r="AD158" i="8"/>
  <c r="AD159" i="8" s="1"/>
  <c r="AD160" i="8" s="1"/>
  <c r="AE149" i="8"/>
  <c r="AE150" i="8" s="1"/>
  <c r="T208" i="8"/>
  <c r="AG141" i="8"/>
  <c r="AG142" i="8" s="1"/>
  <c r="AG143" i="8" s="1"/>
  <c r="AK104" i="4"/>
  <c r="AJ119" i="4"/>
  <c r="AI329" i="4"/>
  <c r="AK110" i="4"/>
  <c r="AJ114" i="4" s="1"/>
  <c r="AH124" i="4"/>
  <c r="AH125" i="4" s="1"/>
  <c r="AH126" i="4" s="1"/>
  <c r="AI121" i="4"/>
  <c r="AK105" i="4" l="1"/>
  <c r="AG144" i="8"/>
  <c r="AF148" i="8" s="1"/>
  <c r="AF147" i="8"/>
  <c r="AE154" i="8"/>
  <c r="AE312" i="8" s="1"/>
  <c r="AE327" i="8" s="1"/>
  <c r="AE356" i="8" s="1"/>
  <c r="Q232" i="8"/>
  <c r="P239" i="8"/>
  <c r="P317" i="8" s="1"/>
  <c r="P330" i="8" s="1"/>
  <c r="P359" i="8" s="1"/>
  <c r="AH140" i="8"/>
  <c r="K253" i="8"/>
  <c r="K294" i="8"/>
  <c r="K300" i="8" s="1"/>
  <c r="K339" i="8" s="1"/>
  <c r="K251" i="8"/>
  <c r="K252" i="8" s="1"/>
  <c r="Y186" i="8"/>
  <c r="Y187" i="8"/>
  <c r="Y183" i="8"/>
  <c r="Y184" i="8" s="1"/>
  <c r="U206" i="8"/>
  <c r="AB168" i="8"/>
  <c r="AB289" i="8"/>
  <c r="AB301" i="8" s="1"/>
  <c r="AB340" i="8" s="1"/>
  <c r="V204" i="8"/>
  <c r="V203" i="8"/>
  <c r="AA168" i="8"/>
  <c r="AA289" i="8"/>
  <c r="AA301" i="8" s="1"/>
  <c r="AA340" i="8" s="1"/>
  <c r="AA166" i="8"/>
  <c r="AA167" i="8" s="1"/>
  <c r="P236" i="8"/>
  <c r="P240" i="8" s="1"/>
  <c r="P293" i="8"/>
  <c r="P306" i="8" s="1"/>
  <c r="P346" i="8" s="1"/>
  <c r="R226" i="8"/>
  <c r="R227" i="8" s="1"/>
  <c r="R228" i="8" s="1"/>
  <c r="O242" i="8"/>
  <c r="AM103" i="8"/>
  <c r="AD161" i="8"/>
  <c r="L253" i="8"/>
  <c r="L294" i="8"/>
  <c r="L300" i="8" s="1"/>
  <c r="L339" i="8" s="1"/>
  <c r="J260" i="8"/>
  <c r="J261" i="8" s="1"/>
  <c r="J262" i="8" s="1"/>
  <c r="T209" i="8"/>
  <c r="T210" i="8" s="1"/>
  <c r="T211" i="8" s="1"/>
  <c r="H277" i="8"/>
  <c r="H278" i="8" s="1"/>
  <c r="H279" i="8" s="1"/>
  <c r="H281" i="8" s="1"/>
  <c r="H334" i="8" s="1"/>
  <c r="Y185" i="8"/>
  <c r="Y290" i="8"/>
  <c r="Y307" i="8" s="1"/>
  <c r="Y347" i="8" s="1"/>
  <c r="W192" i="8"/>
  <c r="W193" i="8" s="1"/>
  <c r="W194" i="8" s="1"/>
  <c r="AJ127" i="8"/>
  <c r="AI131" i="8" s="1"/>
  <c r="AI132" i="8" s="1"/>
  <c r="AI133" i="8" s="1"/>
  <c r="N246" i="8"/>
  <c r="M250" i="8" s="1"/>
  <c r="AK117" i="8"/>
  <c r="AK286" i="8"/>
  <c r="AK305" i="8" s="1"/>
  <c r="AK345" i="8" s="1"/>
  <c r="AK115" i="8"/>
  <c r="AK116" i="8" s="1"/>
  <c r="X189" i="8"/>
  <c r="AI136" i="8"/>
  <c r="AI135" i="8"/>
  <c r="AL102" i="4"/>
  <c r="AL103" i="4" s="1"/>
  <c r="AK348" i="4"/>
  <c r="AJ286" i="4"/>
  <c r="AJ305" i="4" s="1"/>
  <c r="AJ345" i="4" s="1"/>
  <c r="AJ117" i="4"/>
  <c r="AJ115" i="4"/>
  <c r="AJ116" i="4" s="1"/>
  <c r="AJ120" i="4" s="1"/>
  <c r="AI123" i="4"/>
  <c r="R229" i="8" l="1"/>
  <c r="Q233" i="8" s="1"/>
  <c r="P242" i="8"/>
  <c r="Z181" i="8"/>
  <c r="Y188" i="8"/>
  <c r="Y314" i="8" s="1"/>
  <c r="Y331" i="8" s="1"/>
  <c r="Y360" i="8" s="1"/>
  <c r="L249" i="8"/>
  <c r="K256" i="8"/>
  <c r="AK121" i="8"/>
  <c r="AJ130" i="8"/>
  <c r="AI137" i="8"/>
  <c r="AI311" i="8" s="1"/>
  <c r="AI328" i="8" s="1"/>
  <c r="AI357" i="8" s="1"/>
  <c r="T212" i="8"/>
  <c r="S216" i="8" s="1"/>
  <c r="W195" i="8"/>
  <c r="V199" i="8" s="1"/>
  <c r="AB164" i="8"/>
  <c r="AA171" i="8"/>
  <c r="AL113" i="8"/>
  <c r="AK120" i="8"/>
  <c r="AK310" i="8" s="1"/>
  <c r="AK329" i="8" s="1"/>
  <c r="AK358" i="8" s="1"/>
  <c r="U208" i="8"/>
  <c r="Q238" i="8"/>
  <c r="Q237" i="8"/>
  <c r="Q234" i="8"/>
  <c r="Q235" i="8" s="1"/>
  <c r="X191" i="8"/>
  <c r="AH141" i="8"/>
  <c r="AH142" i="8" s="1"/>
  <c r="AH143" i="8" s="1"/>
  <c r="H371" i="8"/>
  <c r="H379" i="8" s="1"/>
  <c r="H362" i="8"/>
  <c r="H372" i="8" s="1"/>
  <c r="H380" i="8" s="1"/>
  <c r="AM106" i="8"/>
  <c r="AM107" i="8" s="1"/>
  <c r="AM109" i="8" s="1"/>
  <c r="AM104" i="8"/>
  <c r="AM105" i="8" s="1"/>
  <c r="AM348" i="8" s="1"/>
  <c r="M253" i="8"/>
  <c r="M294" i="8"/>
  <c r="M300" i="8" s="1"/>
  <c r="M339" i="8" s="1"/>
  <c r="J263" i="8"/>
  <c r="I267" i="8" s="1"/>
  <c r="O243" i="8"/>
  <c r="O244" i="8" s="1"/>
  <c r="O245" i="8" s="1"/>
  <c r="AI134" i="8"/>
  <c r="AI287" i="8"/>
  <c r="AI304" i="8" s="1"/>
  <c r="AI344" i="8" s="1"/>
  <c r="AF151" i="8"/>
  <c r="AF288" i="8"/>
  <c r="AF303" i="8" s="1"/>
  <c r="AF343" i="8" s="1"/>
  <c r="AF153" i="8"/>
  <c r="AF152" i="8"/>
  <c r="AF149" i="8"/>
  <c r="AF150" i="8" s="1"/>
  <c r="AE155" i="8"/>
  <c r="AL104" i="4"/>
  <c r="AK113" i="4"/>
  <c r="AJ310" i="4"/>
  <c r="AL106" i="4"/>
  <c r="AL107" i="4" s="1"/>
  <c r="AL109" i="4" s="1"/>
  <c r="AI124" i="4"/>
  <c r="AI125" i="4" s="1"/>
  <c r="AI126" i="4" s="1"/>
  <c r="Y189" i="8" l="1"/>
  <c r="Y191" i="8" s="1"/>
  <c r="AL105" i="4"/>
  <c r="AM102" i="4" s="1"/>
  <c r="AI138" i="8"/>
  <c r="AM110" i="8"/>
  <c r="AL114" i="8" s="1"/>
  <c r="R232" i="8"/>
  <c r="Q239" i="8"/>
  <c r="Q317" i="8" s="1"/>
  <c r="Q330" i="8" s="1"/>
  <c r="Q359" i="8" s="1"/>
  <c r="AG147" i="8"/>
  <c r="AF154" i="8"/>
  <c r="AF312" i="8" s="1"/>
  <c r="AF327" i="8" s="1"/>
  <c r="AF356" i="8" s="1"/>
  <c r="AI140" i="8"/>
  <c r="O246" i="8"/>
  <c r="N250" i="8" s="1"/>
  <c r="AH144" i="8"/>
  <c r="AG148" i="8" s="1"/>
  <c r="I270" i="8"/>
  <c r="I295" i="8"/>
  <c r="I298" i="8" s="1"/>
  <c r="I337" i="8" s="1"/>
  <c r="I268" i="8"/>
  <c r="I269" i="8" s="1"/>
  <c r="L254" i="8"/>
  <c r="L255" i="8"/>
  <c r="L251" i="8"/>
  <c r="L252" i="8" s="1"/>
  <c r="AL119" i="8"/>
  <c r="AL118" i="8"/>
  <c r="AL115" i="8"/>
  <c r="AL116" i="8" s="1"/>
  <c r="AM113" i="8" s="1"/>
  <c r="AK123" i="8"/>
  <c r="Y192" i="8"/>
  <c r="Y193" i="8" s="1"/>
  <c r="Y194" i="8" s="1"/>
  <c r="AA313" i="8"/>
  <c r="AA325" i="8" s="1"/>
  <c r="AA354" i="8" s="1"/>
  <c r="AA172" i="8"/>
  <c r="U209" i="8"/>
  <c r="U210" i="8" s="1"/>
  <c r="U211" i="8" s="1"/>
  <c r="AB166" i="8"/>
  <c r="AB167" i="8" s="1"/>
  <c r="AC164" i="8" s="1"/>
  <c r="AB170" i="8"/>
  <c r="AB169" i="8"/>
  <c r="Z187" i="8"/>
  <c r="Z186" i="8"/>
  <c r="X192" i="8"/>
  <c r="X193" i="8" s="1"/>
  <c r="X194" i="8" s="1"/>
  <c r="V202" i="8"/>
  <c r="V291" i="8"/>
  <c r="V302" i="8" s="1"/>
  <c r="V341" i="8" s="1"/>
  <c r="V200" i="8"/>
  <c r="V201" i="8" s="1"/>
  <c r="P243" i="8"/>
  <c r="P244" i="8" s="1"/>
  <c r="P245" i="8" s="1"/>
  <c r="AE157" i="8"/>
  <c r="K318" i="8"/>
  <c r="K324" i="8" s="1"/>
  <c r="K353" i="8" s="1"/>
  <c r="K257" i="8"/>
  <c r="Q236" i="8"/>
  <c r="Q293" i="8"/>
  <c r="Q306" i="8" s="1"/>
  <c r="Q346" i="8" s="1"/>
  <c r="AJ135" i="8"/>
  <c r="AJ136" i="8"/>
  <c r="S219" i="8"/>
  <c r="S292" i="8"/>
  <c r="S299" i="8" s="1"/>
  <c r="S338" i="8" s="1"/>
  <c r="S217" i="8"/>
  <c r="S218" i="8" s="1"/>
  <c r="AM103" i="4"/>
  <c r="AM104" i="4" s="1"/>
  <c r="AJ329" i="4"/>
  <c r="AL348" i="4"/>
  <c r="AJ121" i="4"/>
  <c r="AJ123" i="4" s="1"/>
  <c r="AL110" i="4"/>
  <c r="AK114" i="4" s="1"/>
  <c r="AK118" i="4"/>
  <c r="AK119" i="4"/>
  <c r="Q240" i="8" l="1"/>
  <c r="AF155" i="8"/>
  <c r="AF157" i="8" s="1"/>
  <c r="M249" i="8"/>
  <c r="M251" i="8" s="1"/>
  <c r="M252" i="8" s="1"/>
  <c r="L256" i="8"/>
  <c r="L318" i="8" s="1"/>
  <c r="L324" i="8" s="1"/>
  <c r="L353" i="8" s="1"/>
  <c r="T215" i="8"/>
  <c r="S222" i="8"/>
  <c r="X195" i="8"/>
  <c r="W199" i="8" s="1"/>
  <c r="Q242" i="8"/>
  <c r="U212" i="8"/>
  <c r="T216" i="8" s="1"/>
  <c r="P246" i="8"/>
  <c r="O250" i="8" s="1"/>
  <c r="W198" i="8"/>
  <c r="V205" i="8"/>
  <c r="N253" i="8"/>
  <c r="N294" i="8"/>
  <c r="N300" i="8" s="1"/>
  <c r="N339" i="8" s="1"/>
  <c r="AE158" i="8"/>
  <c r="AE159" i="8" s="1"/>
  <c r="AE160" i="8" s="1"/>
  <c r="AM118" i="8"/>
  <c r="AM119" i="8"/>
  <c r="AM115" i="8"/>
  <c r="AM116" i="8" s="1"/>
  <c r="AM120" i="8" s="1"/>
  <c r="AG153" i="8"/>
  <c r="AG152" i="8"/>
  <c r="AG149" i="8"/>
  <c r="AG150" i="8" s="1"/>
  <c r="AH147" i="8" s="1"/>
  <c r="AI141" i="8"/>
  <c r="AI142" i="8" s="1"/>
  <c r="AI143" i="8" s="1"/>
  <c r="R237" i="8"/>
  <c r="R238" i="8"/>
  <c r="AA174" i="8"/>
  <c r="J266" i="8"/>
  <c r="I273" i="8"/>
  <c r="AB171" i="8"/>
  <c r="AB313" i="8" s="1"/>
  <c r="AB325" i="8" s="1"/>
  <c r="AB354" i="8" s="1"/>
  <c r="AL120" i="8"/>
  <c r="AL310" i="8" s="1"/>
  <c r="AL329" i="8" s="1"/>
  <c r="AL358" i="8" s="1"/>
  <c r="AL117" i="8"/>
  <c r="AL121" i="8" s="1"/>
  <c r="AL286" i="8"/>
  <c r="AL305" i="8" s="1"/>
  <c r="AL345" i="8" s="1"/>
  <c r="AM286" i="8"/>
  <c r="AM305" i="8" s="1"/>
  <c r="AM345" i="8" s="1"/>
  <c r="AK124" i="8"/>
  <c r="AK125" i="8" s="1"/>
  <c r="AK126" i="8" s="1"/>
  <c r="AG151" i="8"/>
  <c r="AG288" i="8"/>
  <c r="AG303" i="8" s="1"/>
  <c r="AG343" i="8" s="1"/>
  <c r="AC170" i="8"/>
  <c r="AC169" i="8"/>
  <c r="AC165" i="8"/>
  <c r="K259" i="8"/>
  <c r="AK286" i="4"/>
  <c r="AK305" i="4" s="1"/>
  <c r="AK345" i="4" s="1"/>
  <c r="AK117" i="4"/>
  <c r="AK115" i="4"/>
  <c r="AK116" i="4" s="1"/>
  <c r="AK120" i="4" s="1"/>
  <c r="AM105" i="4"/>
  <c r="AM348" i="4" s="1"/>
  <c r="AJ124" i="4"/>
  <c r="AJ125" i="4" s="1"/>
  <c r="AJ126" i="4" s="1"/>
  <c r="AM106" i="4"/>
  <c r="AM107" i="4" s="1"/>
  <c r="AM109" i="4" s="1"/>
  <c r="M255" i="8" l="1"/>
  <c r="M254" i="8"/>
  <c r="L257" i="8"/>
  <c r="L259" i="8" s="1"/>
  <c r="L260" i="8" s="1"/>
  <c r="L261" i="8" s="1"/>
  <c r="AM310" i="8"/>
  <c r="AM329" i="8" s="1"/>
  <c r="AM358" i="8" s="1"/>
  <c r="AE161" i="8"/>
  <c r="AD165" i="8" s="1"/>
  <c r="AK127" i="8"/>
  <c r="AJ131" i="8" s="1"/>
  <c r="N249" i="8"/>
  <c r="M256" i="8"/>
  <c r="M318" i="8" s="1"/>
  <c r="M324" i="8" s="1"/>
  <c r="M353" i="8" s="1"/>
  <c r="O253" i="8"/>
  <c r="O294" i="8"/>
  <c r="O300" i="8" s="1"/>
  <c r="O339" i="8" s="1"/>
  <c r="W202" i="8"/>
  <c r="W291" i="8"/>
  <c r="W302" i="8" s="1"/>
  <c r="W341" i="8" s="1"/>
  <c r="AG154" i="8"/>
  <c r="AG312" i="8" s="1"/>
  <c r="AG327" i="8" s="1"/>
  <c r="AG356" i="8" s="1"/>
  <c r="AA175" i="8"/>
  <c r="AA176" i="8" s="1"/>
  <c r="AA177" i="8" s="1"/>
  <c r="Q243" i="8"/>
  <c r="Q244" i="8" s="1"/>
  <c r="Q245" i="8" s="1"/>
  <c r="S316" i="8"/>
  <c r="S323" i="8" s="1"/>
  <c r="S352" i="8" s="1"/>
  <c r="S223" i="8"/>
  <c r="T219" i="8"/>
  <c r="T292" i="8"/>
  <c r="T299" i="8" s="1"/>
  <c r="T338" i="8" s="1"/>
  <c r="AH152" i="8"/>
  <c r="AH153" i="8"/>
  <c r="AC168" i="8"/>
  <c r="AC289" i="8"/>
  <c r="AC301" i="8" s="1"/>
  <c r="AC340" i="8" s="1"/>
  <c r="AL123" i="8"/>
  <c r="J271" i="8"/>
  <c r="J272" i="8"/>
  <c r="AB172" i="8"/>
  <c r="V315" i="8"/>
  <c r="V326" i="8" s="1"/>
  <c r="V355" i="8" s="1"/>
  <c r="V206" i="8"/>
  <c r="AC166" i="8"/>
  <c r="AC167" i="8" s="1"/>
  <c r="I319" i="8"/>
  <c r="I322" i="8" s="1"/>
  <c r="I351" i="8" s="1"/>
  <c r="I274" i="8"/>
  <c r="AI144" i="8"/>
  <c r="AH148" i="8" s="1"/>
  <c r="AH149" i="8" s="1"/>
  <c r="AH150" i="8" s="1"/>
  <c r="AF158" i="8"/>
  <c r="AF159" i="8" s="1"/>
  <c r="AF160" i="8" s="1"/>
  <c r="W204" i="8"/>
  <c r="W203" i="8"/>
  <c r="W200" i="8"/>
  <c r="W201" i="8" s="1"/>
  <c r="AM121" i="8"/>
  <c r="AM123" i="8" s="1"/>
  <c r="T221" i="8"/>
  <c r="T220" i="8"/>
  <c r="T217" i="8"/>
  <c r="T218" i="8" s="1"/>
  <c r="K260" i="8"/>
  <c r="K261" i="8" s="1"/>
  <c r="K262" i="8" s="1"/>
  <c r="Y195" i="8"/>
  <c r="X199" i="8" s="1"/>
  <c r="AL113" i="4"/>
  <c r="AK310" i="4"/>
  <c r="AM110" i="4"/>
  <c r="AL114" i="4" s="1"/>
  <c r="AL117" i="4" s="1"/>
  <c r="M257" i="8" l="1"/>
  <c r="L262" i="8"/>
  <c r="U215" i="8"/>
  <c r="T222" i="8"/>
  <c r="T316" i="8" s="1"/>
  <c r="T323" i="8" s="1"/>
  <c r="T352" i="8" s="1"/>
  <c r="AI147" i="8"/>
  <c r="AH154" i="8"/>
  <c r="AH312" i="8" s="1"/>
  <c r="AH327" i="8" s="1"/>
  <c r="AH356" i="8" s="1"/>
  <c r="AD164" i="8"/>
  <c r="AC171" i="8"/>
  <c r="AC313" i="8" s="1"/>
  <c r="AC325" i="8" s="1"/>
  <c r="AC354" i="8" s="1"/>
  <c r="T223" i="8"/>
  <c r="T225" i="8" s="1"/>
  <c r="AM124" i="8"/>
  <c r="AM125" i="8" s="1"/>
  <c r="X198" i="8"/>
  <c r="W205" i="8"/>
  <c r="W315" i="8" s="1"/>
  <c r="W326" i="8" s="1"/>
  <c r="W355" i="8" s="1"/>
  <c r="Q246" i="8"/>
  <c r="P250" i="8" s="1"/>
  <c r="S225" i="8"/>
  <c r="AA178" i="8"/>
  <c r="Z182" i="8" s="1"/>
  <c r="AF161" i="8"/>
  <c r="AE165" i="8" s="1"/>
  <c r="AJ134" i="8"/>
  <c r="AJ287" i="8"/>
  <c r="AJ304" i="8" s="1"/>
  <c r="AJ344" i="8" s="1"/>
  <c r="AJ132" i="8"/>
  <c r="AJ133" i="8" s="1"/>
  <c r="N254" i="8"/>
  <c r="N255" i="8"/>
  <c r="N251" i="8"/>
  <c r="N252" i="8" s="1"/>
  <c r="M259" i="8"/>
  <c r="X202" i="8"/>
  <c r="X291" i="8"/>
  <c r="X302" i="8" s="1"/>
  <c r="X341" i="8" s="1"/>
  <c r="AB174" i="8"/>
  <c r="K263" i="8"/>
  <c r="J267" i="8" s="1"/>
  <c r="AH151" i="8"/>
  <c r="AH288" i="8"/>
  <c r="AH303" i="8" s="1"/>
  <c r="AH343" i="8" s="1"/>
  <c r="I276" i="8"/>
  <c r="AL124" i="8"/>
  <c r="AL125" i="8" s="1"/>
  <c r="AL126" i="8" s="1"/>
  <c r="V208" i="8"/>
  <c r="AD168" i="8"/>
  <c r="AD289" i="8"/>
  <c r="AD301" i="8" s="1"/>
  <c r="AD340" i="8" s="1"/>
  <c r="AG155" i="8"/>
  <c r="AK329" i="4"/>
  <c r="AM286" i="4"/>
  <c r="AM305" i="4" s="1"/>
  <c r="AM345" i="4" s="1"/>
  <c r="AL286" i="4"/>
  <c r="AL305" i="4" s="1"/>
  <c r="AL345" i="4" s="1"/>
  <c r="AL115" i="4"/>
  <c r="AL116" i="4" s="1"/>
  <c r="AL120" i="4" s="1"/>
  <c r="AK121" i="4"/>
  <c r="AL119" i="4"/>
  <c r="AL118" i="4"/>
  <c r="AM126" i="8" l="1"/>
  <c r="AH155" i="8"/>
  <c r="O249" i="8"/>
  <c r="N256" i="8"/>
  <c r="N318" i="8" s="1"/>
  <c r="N324" i="8" s="1"/>
  <c r="N353" i="8" s="1"/>
  <c r="T226" i="8"/>
  <c r="T227" i="8" s="1"/>
  <c r="AK130" i="8"/>
  <c r="AJ137" i="8"/>
  <c r="J270" i="8"/>
  <c r="J295" i="8"/>
  <c r="J298" i="8" s="1"/>
  <c r="J337" i="8" s="1"/>
  <c r="J268" i="8"/>
  <c r="J269" i="8" s="1"/>
  <c r="V209" i="8"/>
  <c r="V210" i="8" s="1"/>
  <c r="V211" i="8" s="1"/>
  <c r="S226" i="8"/>
  <c r="S227" i="8" s="1"/>
  <c r="AL127" i="8"/>
  <c r="AK131" i="8" s="1"/>
  <c r="AB175" i="8"/>
  <c r="AB176" i="8" s="1"/>
  <c r="AB177" i="8" s="1"/>
  <c r="P253" i="8"/>
  <c r="P294" i="8"/>
  <c r="P300" i="8" s="1"/>
  <c r="P339" i="8" s="1"/>
  <c r="I277" i="8"/>
  <c r="I278" i="8" s="1"/>
  <c r="I279" i="8" s="1"/>
  <c r="I281" i="8" s="1"/>
  <c r="I334" i="8" s="1"/>
  <c r="X203" i="8"/>
  <c r="X204" i="8"/>
  <c r="X200" i="8"/>
  <c r="X201" i="8" s="1"/>
  <c r="AE168" i="8"/>
  <c r="AE289" i="8"/>
  <c r="AE301" i="8" s="1"/>
  <c r="AE340" i="8" s="1"/>
  <c r="Z185" i="8"/>
  <c r="Z290" i="8"/>
  <c r="Z307" i="8" s="1"/>
  <c r="Z347" i="8" s="1"/>
  <c r="Z183" i="8"/>
  <c r="Z184" i="8" s="1"/>
  <c r="AD169" i="8"/>
  <c r="AD170" i="8"/>
  <c r="AD166" i="8"/>
  <c r="AD167" i="8" s="1"/>
  <c r="AI153" i="8"/>
  <c r="AI152" i="8"/>
  <c r="AG157" i="8"/>
  <c r="AH157" i="8"/>
  <c r="U220" i="8"/>
  <c r="U221" i="8"/>
  <c r="L263" i="8"/>
  <c r="K267" i="8" s="1"/>
  <c r="AC172" i="8"/>
  <c r="M260" i="8"/>
  <c r="M261" i="8" s="1"/>
  <c r="M262" i="8" s="1"/>
  <c r="W206" i="8"/>
  <c r="AM113" i="4"/>
  <c r="AL310" i="4"/>
  <c r="AK123" i="4"/>
  <c r="T228" i="8" l="1"/>
  <c r="N257" i="8"/>
  <c r="S228" i="8"/>
  <c r="Y198" i="8"/>
  <c r="X205" i="8"/>
  <c r="X315" i="8" s="1"/>
  <c r="X326" i="8" s="1"/>
  <c r="X355" i="8" s="1"/>
  <c r="AE164" i="8"/>
  <c r="AD171" i="8"/>
  <c r="AD313" i="8" s="1"/>
  <c r="AD325" i="8" s="1"/>
  <c r="AD354" i="8" s="1"/>
  <c r="K266" i="8"/>
  <c r="J273" i="8"/>
  <c r="AD172" i="8"/>
  <c r="AD174" i="8" s="1"/>
  <c r="M263" i="8"/>
  <c r="L267" i="8" s="1"/>
  <c r="AA181" i="8"/>
  <c r="Z188" i="8"/>
  <c r="Z314" i="8" s="1"/>
  <c r="Z331" i="8" s="1"/>
  <c r="Z360" i="8" s="1"/>
  <c r="AB178" i="8"/>
  <c r="AG158" i="8"/>
  <c r="AG159" i="8" s="1"/>
  <c r="AG160" i="8" s="1"/>
  <c r="AM127" i="8"/>
  <c r="AL131" i="8" s="1"/>
  <c r="W208" i="8"/>
  <c r="AK134" i="8"/>
  <c r="AK287" i="8"/>
  <c r="AK304" i="8" s="1"/>
  <c r="AK344" i="8" s="1"/>
  <c r="N259" i="8"/>
  <c r="AH158" i="8"/>
  <c r="AH159" i="8" s="1"/>
  <c r="S229" i="8"/>
  <c r="R233" i="8" s="1"/>
  <c r="I371" i="8"/>
  <c r="I379" i="8" s="1"/>
  <c r="I362" i="8"/>
  <c r="I372" i="8" s="1"/>
  <c r="I380" i="8" s="1"/>
  <c r="V212" i="8"/>
  <c r="U216" i="8" s="1"/>
  <c r="AC174" i="8"/>
  <c r="O255" i="8"/>
  <c r="O254" i="8"/>
  <c r="O251" i="8"/>
  <c r="O252" i="8" s="1"/>
  <c r="AJ311" i="8"/>
  <c r="AJ328" i="8" s="1"/>
  <c r="AJ357" i="8" s="1"/>
  <c r="AJ138" i="8"/>
  <c r="AK135" i="8"/>
  <c r="AK136" i="8"/>
  <c r="AK132" i="8"/>
  <c r="AK133" i="8" s="1"/>
  <c r="K270" i="8"/>
  <c r="K295" i="8"/>
  <c r="K298" i="8" s="1"/>
  <c r="K337" i="8" s="1"/>
  <c r="AL329" i="4"/>
  <c r="AM115" i="4"/>
  <c r="AM116" i="4" s="1"/>
  <c r="AM120" i="4" s="1"/>
  <c r="AM119" i="4"/>
  <c r="AM118" i="4"/>
  <c r="AK124" i="4"/>
  <c r="AK125" i="4" s="1"/>
  <c r="AK126" i="4" s="1"/>
  <c r="AL121" i="4"/>
  <c r="X206" i="8" l="1"/>
  <c r="X208" i="8" s="1"/>
  <c r="AA182" i="8"/>
  <c r="AD175" i="8"/>
  <c r="AD176" i="8" s="1"/>
  <c r="AG161" i="8"/>
  <c r="AF165" i="8" s="1"/>
  <c r="AL130" i="8"/>
  <c r="AK137" i="8"/>
  <c r="AK311" i="8" s="1"/>
  <c r="AK328" i="8" s="1"/>
  <c r="AK357" i="8" s="1"/>
  <c r="P249" i="8"/>
  <c r="O256" i="8"/>
  <c r="O318" i="8" s="1"/>
  <c r="O324" i="8" s="1"/>
  <c r="O353" i="8" s="1"/>
  <c r="W209" i="8"/>
  <c r="W210" i="8" s="1"/>
  <c r="W211" i="8" s="1"/>
  <c r="L270" i="8"/>
  <c r="L295" i="8"/>
  <c r="L298" i="8" s="1"/>
  <c r="L337" i="8" s="1"/>
  <c r="AL134" i="8"/>
  <c r="AL287" i="8"/>
  <c r="AL304" i="8" s="1"/>
  <c r="AL344" i="8" s="1"/>
  <c r="AM287" i="8"/>
  <c r="AM304" i="8" s="1"/>
  <c r="AM344" i="8" s="1"/>
  <c r="AH160" i="8"/>
  <c r="K272" i="8"/>
  <c r="K271" i="8"/>
  <c r="K268" i="8"/>
  <c r="K269" i="8" s="1"/>
  <c r="L266" i="8" s="1"/>
  <c r="AA185" i="8"/>
  <c r="AA290" i="8"/>
  <c r="AA307" i="8" s="1"/>
  <c r="AA347" i="8" s="1"/>
  <c r="N260" i="8"/>
  <c r="N261" i="8" s="1"/>
  <c r="N262" i="8" s="1"/>
  <c r="Z189" i="8"/>
  <c r="AE169" i="8"/>
  <c r="AE170" i="8"/>
  <c r="AE166" i="8"/>
  <c r="AE167" i="8" s="1"/>
  <c r="R236" i="8"/>
  <c r="R293" i="8"/>
  <c r="R306" i="8" s="1"/>
  <c r="R346" i="8" s="1"/>
  <c r="R234" i="8"/>
  <c r="R235" i="8" s="1"/>
  <c r="J319" i="8"/>
  <c r="J322" i="8" s="1"/>
  <c r="J351" i="8" s="1"/>
  <c r="J274" i="8"/>
  <c r="T229" i="8"/>
  <c r="X209" i="8"/>
  <c r="X210" i="8" s="1"/>
  <c r="AC175" i="8"/>
  <c r="AC176" i="8" s="1"/>
  <c r="AD177" i="8" s="1"/>
  <c r="AJ140" i="8"/>
  <c r="U219" i="8"/>
  <c r="U292" i="8"/>
  <c r="U299" i="8" s="1"/>
  <c r="U338" i="8" s="1"/>
  <c r="U217" i="8"/>
  <c r="U218" i="8" s="1"/>
  <c r="AA187" i="8"/>
  <c r="AA186" i="8"/>
  <c r="AA183" i="8"/>
  <c r="AA184" i="8" s="1"/>
  <c r="Y203" i="8"/>
  <c r="Y204" i="8"/>
  <c r="AM310" i="4"/>
  <c r="AM121" i="4"/>
  <c r="AM123" i="4" s="1"/>
  <c r="AL123" i="4"/>
  <c r="X211" i="8" l="1"/>
  <c r="AF164" i="8"/>
  <c r="AF170" i="8" s="1"/>
  <c r="AE171" i="8"/>
  <c r="AE313" i="8" s="1"/>
  <c r="AE325" i="8" s="1"/>
  <c r="AE354" i="8" s="1"/>
  <c r="AK138" i="8"/>
  <c r="S232" i="8"/>
  <c r="R239" i="8"/>
  <c r="R317" i="8" s="1"/>
  <c r="R330" i="8" s="1"/>
  <c r="R359" i="8" s="1"/>
  <c r="N263" i="8"/>
  <c r="M267" i="8" s="1"/>
  <c r="AB181" i="8"/>
  <c r="AA188" i="8"/>
  <c r="AA314" i="8" s="1"/>
  <c r="AA331" i="8" s="1"/>
  <c r="AA360" i="8" s="1"/>
  <c r="V215" i="8"/>
  <c r="U222" i="8"/>
  <c r="R240" i="8"/>
  <c r="W212" i="8"/>
  <c r="X212" i="8" s="1"/>
  <c r="J276" i="8"/>
  <c r="L271" i="8"/>
  <c r="L272" i="8"/>
  <c r="L268" i="8"/>
  <c r="L269" i="8" s="1"/>
  <c r="M266" i="8" s="1"/>
  <c r="AL135" i="8"/>
  <c r="AL136" i="8"/>
  <c r="AL132" i="8"/>
  <c r="AL133" i="8" s="1"/>
  <c r="S233" i="8"/>
  <c r="AH161" i="8"/>
  <c r="AG165" i="8" s="1"/>
  <c r="AK140" i="8"/>
  <c r="AF168" i="8"/>
  <c r="AF289" i="8"/>
  <c r="AF301" i="8" s="1"/>
  <c r="AF340" i="8" s="1"/>
  <c r="Z191" i="8"/>
  <c r="O257" i="8"/>
  <c r="AC177" i="8"/>
  <c r="AF166" i="8"/>
  <c r="AF167" i="8" s="1"/>
  <c r="P254" i="8"/>
  <c r="P255" i="8"/>
  <c r="P251" i="8"/>
  <c r="P252" i="8" s="1"/>
  <c r="AJ141" i="8"/>
  <c r="AJ142" i="8" s="1"/>
  <c r="AJ143" i="8" s="1"/>
  <c r="K273" i="8"/>
  <c r="K319" i="8" s="1"/>
  <c r="K322" i="8" s="1"/>
  <c r="K351" i="8" s="1"/>
  <c r="AM329" i="4"/>
  <c r="AM124" i="4"/>
  <c r="AM125" i="4" s="1"/>
  <c r="AL124" i="4"/>
  <c r="AL125" i="4" s="1"/>
  <c r="AF169" i="8" l="1"/>
  <c r="AE172" i="8"/>
  <c r="AE174" i="8" s="1"/>
  <c r="AG164" i="8"/>
  <c r="AF171" i="8"/>
  <c r="AF313" i="8" s="1"/>
  <c r="AF325" i="8" s="1"/>
  <c r="AF354" i="8" s="1"/>
  <c r="AA189" i="8"/>
  <c r="AA191" i="8" s="1"/>
  <c r="AJ144" i="8"/>
  <c r="AI148" i="8" s="1"/>
  <c r="Q249" i="8"/>
  <c r="P256" i="8"/>
  <c r="P318" i="8" s="1"/>
  <c r="P324" i="8" s="1"/>
  <c r="P353" i="8" s="1"/>
  <c r="AM130" i="8"/>
  <c r="AL137" i="8"/>
  <c r="AL311" i="8" s="1"/>
  <c r="AL328" i="8" s="1"/>
  <c r="AL357" i="8" s="1"/>
  <c r="AA192" i="8"/>
  <c r="AA193" i="8" s="1"/>
  <c r="AG168" i="8"/>
  <c r="AG289" i="8"/>
  <c r="AG301" i="8" s="1"/>
  <c r="AG340" i="8" s="1"/>
  <c r="V221" i="8"/>
  <c r="V220" i="8"/>
  <c r="J277" i="8"/>
  <c r="J278" i="8" s="1"/>
  <c r="J279" i="8" s="1"/>
  <c r="J281" i="8" s="1"/>
  <c r="J334" i="8" s="1"/>
  <c r="AB187" i="8"/>
  <c r="AB186" i="8"/>
  <c r="AG170" i="8"/>
  <c r="AG169" i="8"/>
  <c r="AG166" i="8"/>
  <c r="AG167" i="8" s="1"/>
  <c r="M272" i="8"/>
  <c r="M271" i="8"/>
  <c r="M268" i="8"/>
  <c r="M269" i="8" s="1"/>
  <c r="S236" i="8"/>
  <c r="S293" i="8"/>
  <c r="S306" i="8" s="1"/>
  <c r="S346" i="8" s="1"/>
  <c r="AK141" i="8"/>
  <c r="AK142" i="8" s="1"/>
  <c r="AK143" i="8" s="1"/>
  <c r="K274" i="8"/>
  <c r="R242" i="8"/>
  <c r="V216" i="8"/>
  <c r="V217" i="8" s="1"/>
  <c r="Z192" i="8"/>
  <c r="Z193" i="8" s="1"/>
  <c r="Z194" i="8" s="1"/>
  <c r="S238" i="8"/>
  <c r="S237" i="8"/>
  <c r="S234" i="8"/>
  <c r="S235" i="8" s="1"/>
  <c r="U316" i="8"/>
  <c r="U323" i="8" s="1"/>
  <c r="U352" i="8" s="1"/>
  <c r="U223" i="8"/>
  <c r="AC178" i="8"/>
  <c r="O259" i="8"/>
  <c r="M270" i="8"/>
  <c r="M295" i="8"/>
  <c r="M298" i="8" s="1"/>
  <c r="M337" i="8" s="1"/>
  <c r="L273" i="8"/>
  <c r="L319" i="8" s="1"/>
  <c r="L322" i="8" s="1"/>
  <c r="L351" i="8" s="1"/>
  <c r="AM126" i="4"/>
  <c r="AL126" i="4"/>
  <c r="AF172" i="8" l="1"/>
  <c r="AF174" i="8" s="1"/>
  <c r="P257" i="8"/>
  <c r="P259" i="8" s="1"/>
  <c r="AA194" i="8"/>
  <c r="V218" i="8"/>
  <c r="V222" i="8" s="1"/>
  <c r="V316" i="8" s="1"/>
  <c r="V323" i="8" s="1"/>
  <c r="V352" i="8" s="1"/>
  <c r="W215" i="8"/>
  <c r="T232" i="8"/>
  <c r="S239" i="8"/>
  <c r="S317" i="8" s="1"/>
  <c r="S330" i="8" s="1"/>
  <c r="S359" i="8" s="1"/>
  <c r="N266" i="8"/>
  <c r="M273" i="8"/>
  <c r="M319" i="8" s="1"/>
  <c r="M322" i="8" s="1"/>
  <c r="M351" i="8" s="1"/>
  <c r="Z195" i="8"/>
  <c r="Y199" i="8" s="1"/>
  <c r="AH164" i="8"/>
  <c r="AG171" i="8"/>
  <c r="J371" i="8"/>
  <c r="J379" i="8" s="1"/>
  <c r="J362" i="8"/>
  <c r="J372" i="8" s="1"/>
  <c r="J380" i="8" s="1"/>
  <c r="R243" i="8"/>
  <c r="R244" i="8" s="1"/>
  <c r="R245" i="8" s="1"/>
  <c r="P260" i="8"/>
  <c r="P261" i="8" s="1"/>
  <c r="U225" i="8"/>
  <c r="AF175" i="8"/>
  <c r="AF176" i="8" s="1"/>
  <c r="AL138" i="8"/>
  <c r="AK144" i="8"/>
  <c r="AJ148" i="8" s="1"/>
  <c r="O260" i="8"/>
  <c r="O261" i="8" s="1"/>
  <c r="O262" i="8" s="1"/>
  <c r="L274" i="8"/>
  <c r="L276" i="8" s="1"/>
  <c r="Q254" i="8"/>
  <c r="Q255" i="8"/>
  <c r="AB182" i="8"/>
  <c r="AD178" i="8"/>
  <c r="V219" i="8"/>
  <c r="V292" i="8"/>
  <c r="V299" i="8" s="1"/>
  <c r="V338" i="8" s="1"/>
  <c r="AI151" i="8"/>
  <c r="AI288" i="8"/>
  <c r="AI303" i="8" s="1"/>
  <c r="AI343" i="8" s="1"/>
  <c r="AI149" i="8"/>
  <c r="AI150" i="8" s="1"/>
  <c r="K276" i="8"/>
  <c r="AE175" i="8"/>
  <c r="AE176" i="8" s="1"/>
  <c r="AE177" i="8" s="1"/>
  <c r="AM135" i="8"/>
  <c r="AM136" i="8"/>
  <c r="AM132" i="8"/>
  <c r="AM133" i="8" s="1"/>
  <c r="AM137" i="8" s="1"/>
  <c r="AM311" i="8" s="1"/>
  <c r="AM328" i="8" s="1"/>
  <c r="AM357" i="8" s="1"/>
  <c r="D127" i="4"/>
  <c r="C131" i="4" s="1"/>
  <c r="V223" i="8" l="1"/>
  <c r="V225" i="8" s="1"/>
  <c r="AA195" i="8"/>
  <c r="AF177" i="8"/>
  <c r="R246" i="8"/>
  <c r="Q250" i="8" s="1"/>
  <c r="AE178" i="8"/>
  <c r="O263" i="8"/>
  <c r="N267" i="8" s="1"/>
  <c r="N268" i="8" s="1"/>
  <c r="AJ147" i="8"/>
  <c r="AI154" i="8"/>
  <c r="AI312" i="8" s="1"/>
  <c r="AI327" i="8" s="1"/>
  <c r="AI356" i="8" s="1"/>
  <c r="N272" i="8"/>
  <c r="N271" i="8"/>
  <c r="AB185" i="8"/>
  <c r="AB290" i="8"/>
  <c r="AB307" i="8" s="1"/>
  <c r="AB347" i="8" s="1"/>
  <c r="AB183" i="8"/>
  <c r="AB184" i="8" s="1"/>
  <c r="Y202" i="8"/>
  <c r="Y291" i="8"/>
  <c r="Y302" i="8" s="1"/>
  <c r="Y341" i="8" s="1"/>
  <c r="Y200" i="8"/>
  <c r="Y201" i="8" s="1"/>
  <c r="AH169" i="8"/>
  <c r="AH170" i="8"/>
  <c r="V226" i="8"/>
  <c r="V227" i="8" s="1"/>
  <c r="AM138" i="8"/>
  <c r="AM140" i="8" s="1"/>
  <c r="P262" i="8"/>
  <c r="AJ151" i="8"/>
  <c r="AJ288" i="8"/>
  <c r="AJ303" i="8" s="1"/>
  <c r="AJ343" i="8" s="1"/>
  <c r="L277" i="8"/>
  <c r="L278" i="8" s="1"/>
  <c r="U226" i="8"/>
  <c r="U227" i="8" s="1"/>
  <c r="U228" i="8" s="1"/>
  <c r="M274" i="8"/>
  <c r="M276" i="8" s="1"/>
  <c r="K277" i="8"/>
  <c r="K278" i="8" s="1"/>
  <c r="W220" i="8"/>
  <c r="W221" i="8"/>
  <c r="W216" i="8"/>
  <c r="W217" i="8" s="1"/>
  <c r="AG313" i="8"/>
  <c r="AG325" i="8" s="1"/>
  <c r="AG354" i="8" s="1"/>
  <c r="AG172" i="8"/>
  <c r="T237" i="8"/>
  <c r="T238" i="8"/>
  <c r="AL140" i="8"/>
  <c r="S240" i="8"/>
  <c r="C134" i="4"/>
  <c r="C287" i="4"/>
  <c r="C304" i="4" s="1"/>
  <c r="C344" i="4" s="1"/>
  <c r="E127" i="4"/>
  <c r="C133" i="4"/>
  <c r="C137" i="4" s="1"/>
  <c r="V228" i="8" l="1"/>
  <c r="L279" i="8"/>
  <c r="L281" i="8" s="1"/>
  <c r="L334" i="8" s="1"/>
  <c r="M277" i="8"/>
  <c r="M278" i="8" s="1"/>
  <c r="M279" i="8" s="1"/>
  <c r="M281" i="8" s="1"/>
  <c r="M334" i="8" s="1"/>
  <c r="U229" i="8"/>
  <c r="T233" i="8" s="1"/>
  <c r="AC181" i="8"/>
  <c r="AB188" i="8"/>
  <c r="AB314" i="8" s="1"/>
  <c r="AB331" i="8" s="1"/>
  <c r="AB360" i="8" s="1"/>
  <c r="AM141" i="8"/>
  <c r="AM142" i="8" s="1"/>
  <c r="L362" i="8"/>
  <c r="L372" i="8" s="1"/>
  <c r="L380" i="8" s="1"/>
  <c r="L371" i="8"/>
  <c r="L379" i="8" s="1"/>
  <c r="AJ153" i="8"/>
  <c r="AJ152" i="8"/>
  <c r="AJ149" i="8"/>
  <c r="AJ150" i="8" s="1"/>
  <c r="AI155" i="8"/>
  <c r="K279" i="8"/>
  <c r="K281" i="8" s="1"/>
  <c r="K334" i="8" s="1"/>
  <c r="P263" i="8"/>
  <c r="O267" i="8" s="1"/>
  <c r="S242" i="8"/>
  <c r="AG174" i="8"/>
  <c r="Z198" i="8"/>
  <c r="Y205" i="8"/>
  <c r="Y315" i="8" s="1"/>
  <c r="Y326" i="8" s="1"/>
  <c r="Y355" i="8" s="1"/>
  <c r="W219" i="8"/>
  <c r="W292" i="8"/>
  <c r="W299" i="8" s="1"/>
  <c r="W338" i="8" s="1"/>
  <c r="AF178" i="8"/>
  <c r="AL141" i="8"/>
  <c r="AL142" i="8" s="1"/>
  <c r="AL143" i="8" s="1"/>
  <c r="N270" i="8"/>
  <c r="N295" i="8"/>
  <c r="N298" i="8" s="1"/>
  <c r="N337" i="8" s="1"/>
  <c r="N269" i="8"/>
  <c r="W218" i="8"/>
  <c r="Q253" i="8"/>
  <c r="Q294" i="8"/>
  <c r="Q300" i="8" s="1"/>
  <c r="Q339" i="8" s="1"/>
  <c r="Q251" i="8"/>
  <c r="Q252" i="8" s="1"/>
  <c r="D131" i="4"/>
  <c r="D134" i="4" s="1"/>
  <c r="F127" i="4"/>
  <c r="D130" i="4"/>
  <c r="AM143" i="8" l="1"/>
  <c r="V229" i="8"/>
  <c r="AK147" i="8"/>
  <c r="AJ154" i="8"/>
  <c r="M362" i="8"/>
  <c r="M372" i="8" s="1"/>
  <c r="M380" i="8" s="1"/>
  <c r="M371" i="8"/>
  <c r="M379" i="8" s="1"/>
  <c r="K371" i="8"/>
  <c r="K379" i="8" s="1"/>
  <c r="K362" i="8"/>
  <c r="K372" i="8" s="1"/>
  <c r="K380" i="8" s="1"/>
  <c r="AL144" i="8"/>
  <c r="AK148" i="8" s="1"/>
  <c r="R249" i="8"/>
  <c r="Q256" i="8"/>
  <c r="AC187" i="8"/>
  <c r="AC186" i="8"/>
  <c r="AC182" i="8"/>
  <c r="AC183" i="8" s="1"/>
  <c r="AG175" i="8"/>
  <c r="AG176" i="8" s="1"/>
  <c r="AG177" i="8"/>
  <c r="Y206" i="8"/>
  <c r="O270" i="8"/>
  <c r="O295" i="8"/>
  <c r="O298" i="8" s="1"/>
  <c r="O337" i="8" s="1"/>
  <c r="T236" i="8"/>
  <c r="T293" i="8"/>
  <c r="T306" i="8" s="1"/>
  <c r="T346" i="8" s="1"/>
  <c r="T234" i="8"/>
  <c r="T235" i="8" s="1"/>
  <c r="O266" i="8"/>
  <c r="N273" i="8"/>
  <c r="N319" i="8" s="1"/>
  <c r="N322" i="8" s="1"/>
  <c r="N351" i="8" s="1"/>
  <c r="S243" i="8"/>
  <c r="S244" i="8" s="1"/>
  <c r="S245" i="8" s="1"/>
  <c r="AI157" i="8"/>
  <c r="X215" i="8"/>
  <c r="W222" i="8"/>
  <c r="W316" i="8" s="1"/>
  <c r="W323" i="8" s="1"/>
  <c r="W352" i="8" s="1"/>
  <c r="Z203" i="8"/>
  <c r="Z204" i="8"/>
  <c r="Z199" i="8"/>
  <c r="Z200" i="8" s="1"/>
  <c r="AB189" i="8"/>
  <c r="D287" i="4"/>
  <c r="D304" i="4" s="1"/>
  <c r="D344" i="4" s="1"/>
  <c r="G127" i="4"/>
  <c r="H127" i="4" s="1"/>
  <c r="E131" i="4"/>
  <c r="D132" i="4"/>
  <c r="D133" i="4" s="1"/>
  <c r="D137" i="4" s="1"/>
  <c r="D135" i="4"/>
  <c r="D136" i="4"/>
  <c r="C311" i="4"/>
  <c r="C328" i="4" s="1"/>
  <c r="C357" i="4" s="1"/>
  <c r="C138" i="4"/>
  <c r="S246" i="8" l="1"/>
  <c r="R250" i="8" s="1"/>
  <c r="AG178" i="8"/>
  <c r="AK151" i="8"/>
  <c r="AK288" i="8"/>
  <c r="AK303" i="8" s="1"/>
  <c r="AK343" i="8" s="1"/>
  <c r="O272" i="8"/>
  <c r="O271" i="8"/>
  <c r="O268" i="8"/>
  <c r="O269" i="8" s="1"/>
  <c r="AM144" i="8"/>
  <c r="AL148" i="8" s="1"/>
  <c r="Z202" i="8"/>
  <c r="Z291" i="8"/>
  <c r="Z302" i="8" s="1"/>
  <c r="Z341" i="8" s="1"/>
  <c r="AC185" i="8"/>
  <c r="AC290" i="8"/>
  <c r="AC307" i="8" s="1"/>
  <c r="AC347" i="8" s="1"/>
  <c r="AC184" i="8"/>
  <c r="X221" i="8"/>
  <c r="X220" i="8"/>
  <c r="AJ312" i="8"/>
  <c r="AJ327" i="8" s="1"/>
  <c r="AJ356" i="8" s="1"/>
  <c r="AJ155" i="8"/>
  <c r="AK152" i="8"/>
  <c r="AK153" i="8"/>
  <c r="AK149" i="8"/>
  <c r="AK150" i="8" s="1"/>
  <c r="Y208" i="8"/>
  <c r="U232" i="8"/>
  <c r="T239" i="8"/>
  <c r="T317" i="8" s="1"/>
  <c r="T330" i="8" s="1"/>
  <c r="T359" i="8" s="1"/>
  <c r="Z201" i="8"/>
  <c r="AI158" i="8"/>
  <c r="AI159" i="8" s="1"/>
  <c r="AI160" i="8" s="1"/>
  <c r="Q318" i="8"/>
  <c r="Q324" i="8" s="1"/>
  <c r="Q353" i="8" s="1"/>
  <c r="Q257" i="8"/>
  <c r="W223" i="8"/>
  <c r="AB191" i="8"/>
  <c r="R255" i="8"/>
  <c r="R254" i="8"/>
  <c r="R251" i="8"/>
  <c r="N274" i="8"/>
  <c r="G131" i="4"/>
  <c r="G134" i="4" s="1"/>
  <c r="F131" i="4"/>
  <c r="F134" i="4" s="1"/>
  <c r="E287" i="4"/>
  <c r="E304" i="4" s="1"/>
  <c r="E344" i="4" s="1"/>
  <c r="E134" i="4"/>
  <c r="I127" i="4"/>
  <c r="H131" i="4" s="1"/>
  <c r="E130" i="4"/>
  <c r="C140" i="4"/>
  <c r="P266" i="8" l="1"/>
  <c r="O273" i="8"/>
  <c r="O319" i="8" s="1"/>
  <c r="O322" i="8" s="1"/>
  <c r="O351" i="8" s="1"/>
  <c r="AL147" i="8"/>
  <c r="AK154" i="8"/>
  <c r="AK312" i="8" s="1"/>
  <c r="AK327" i="8" s="1"/>
  <c r="AK356" i="8" s="1"/>
  <c r="Y209" i="8"/>
  <c r="Y210" i="8" s="1"/>
  <c r="Y211" i="8" s="1"/>
  <c r="AD181" i="8"/>
  <c r="AC188" i="8"/>
  <c r="W225" i="8"/>
  <c r="AI161" i="8"/>
  <c r="AH165" i="8" s="1"/>
  <c r="N276" i="8"/>
  <c r="AL151" i="8"/>
  <c r="AM288" i="8"/>
  <c r="AM303" i="8" s="1"/>
  <c r="AM343" i="8" s="1"/>
  <c r="AL288" i="8"/>
  <c r="AL303" i="8" s="1"/>
  <c r="AL343" i="8" s="1"/>
  <c r="AB192" i="8"/>
  <c r="AB193" i="8" s="1"/>
  <c r="AB194" i="8" s="1"/>
  <c r="Q259" i="8"/>
  <c r="AJ157" i="8"/>
  <c r="AA198" i="8"/>
  <c r="Z205" i="8"/>
  <c r="Z315" i="8" s="1"/>
  <c r="Z326" i="8" s="1"/>
  <c r="Z355" i="8" s="1"/>
  <c r="R253" i="8"/>
  <c r="R294" i="8"/>
  <c r="R300" i="8" s="1"/>
  <c r="R339" i="8" s="1"/>
  <c r="R252" i="8"/>
  <c r="U237" i="8"/>
  <c r="U238" i="8"/>
  <c r="U233" i="8"/>
  <c r="T240" i="8"/>
  <c r="F287" i="4"/>
  <c r="F304" i="4" s="1"/>
  <c r="F344" i="4" s="1"/>
  <c r="G287" i="4"/>
  <c r="G304" i="4" s="1"/>
  <c r="G344" i="4" s="1"/>
  <c r="H287" i="4"/>
  <c r="H304" i="4" s="1"/>
  <c r="H344" i="4" s="1"/>
  <c r="H134" i="4"/>
  <c r="E132" i="4"/>
  <c r="E133" i="4" s="1"/>
  <c r="E137" i="4" s="1"/>
  <c r="D138" i="4"/>
  <c r="D140" i="4" s="1"/>
  <c r="D311" i="4"/>
  <c r="J127" i="4"/>
  <c r="I131" i="4" s="1"/>
  <c r="C141" i="4"/>
  <c r="C142" i="4" s="1"/>
  <c r="C143" i="4" s="1"/>
  <c r="C144" i="4" s="1"/>
  <c r="E136" i="4"/>
  <c r="E135" i="4"/>
  <c r="O274" i="8" l="1"/>
  <c r="O276" i="8" s="1"/>
  <c r="O277" i="8" s="1"/>
  <c r="O278" i="8" s="1"/>
  <c r="Y212" i="8"/>
  <c r="X216" i="8" s="1"/>
  <c r="AB195" i="8"/>
  <c r="AA199" i="8" s="1"/>
  <c r="U236" i="8"/>
  <c r="U293" i="8"/>
  <c r="U306" i="8" s="1"/>
  <c r="U346" i="8" s="1"/>
  <c r="AA203" i="8"/>
  <c r="AA204" i="8"/>
  <c r="AJ158" i="8"/>
  <c r="AJ159" i="8" s="1"/>
  <c r="AJ160" i="8" s="1"/>
  <c r="AH168" i="8"/>
  <c r="AH289" i="8"/>
  <c r="AH301" i="8" s="1"/>
  <c r="AH340" i="8" s="1"/>
  <c r="AH166" i="8"/>
  <c r="AH167" i="8" s="1"/>
  <c r="AC314" i="8"/>
  <c r="AC331" i="8" s="1"/>
  <c r="AC360" i="8" s="1"/>
  <c r="AC189" i="8"/>
  <c r="AD187" i="8"/>
  <c r="AD186" i="8"/>
  <c r="AD182" i="8"/>
  <c r="T242" i="8"/>
  <c r="AK155" i="8"/>
  <c r="S249" i="8"/>
  <c r="R256" i="8"/>
  <c r="R318" i="8" s="1"/>
  <c r="R324" i="8" s="1"/>
  <c r="R353" i="8" s="1"/>
  <c r="Q260" i="8"/>
  <c r="Q261" i="8" s="1"/>
  <c r="Q262" i="8" s="1"/>
  <c r="W226" i="8"/>
  <c r="W227" i="8" s="1"/>
  <c r="W228" i="8" s="1"/>
  <c r="P272" i="8"/>
  <c r="P271" i="8"/>
  <c r="U234" i="8"/>
  <c r="U235" i="8" s="1"/>
  <c r="N277" i="8"/>
  <c r="N278" i="8" s="1"/>
  <c r="N279" i="8" s="1"/>
  <c r="N281" i="8" s="1"/>
  <c r="N334" i="8" s="1"/>
  <c r="AL153" i="8"/>
  <c r="AL152" i="8"/>
  <c r="AL149" i="8"/>
  <c r="AL150" i="8" s="1"/>
  <c r="Z206" i="8"/>
  <c r="I287" i="4"/>
  <c r="I304" i="4" s="1"/>
  <c r="I344" i="4" s="1"/>
  <c r="I134" i="4"/>
  <c r="D328" i="4"/>
  <c r="D357" i="4" s="1"/>
  <c r="K127" i="4"/>
  <c r="F130" i="4"/>
  <c r="D141" i="4"/>
  <c r="D142" i="4" s="1"/>
  <c r="D143" i="4" s="1"/>
  <c r="W229" i="8" l="1"/>
  <c r="AJ161" i="8"/>
  <c r="AI165" i="8" s="1"/>
  <c r="AM147" i="8"/>
  <c r="AL154" i="8"/>
  <c r="AL312" i="8" s="1"/>
  <c r="AL327" i="8" s="1"/>
  <c r="AL356" i="8" s="1"/>
  <c r="N362" i="8"/>
  <c r="N372" i="8" s="1"/>
  <c r="N380" i="8" s="1"/>
  <c r="N371" i="8"/>
  <c r="N379" i="8" s="1"/>
  <c r="V232" i="8"/>
  <c r="U239" i="8"/>
  <c r="X219" i="8"/>
  <c r="X292" i="8"/>
  <c r="X299" i="8" s="1"/>
  <c r="X338" i="8" s="1"/>
  <c r="X217" i="8"/>
  <c r="X218" i="8" s="1"/>
  <c r="T243" i="8"/>
  <c r="T244" i="8" s="1"/>
  <c r="T245" i="8" s="1"/>
  <c r="AK157" i="8"/>
  <c r="Z208" i="8"/>
  <c r="AD185" i="8"/>
  <c r="AD290" i="8"/>
  <c r="AD307" i="8" s="1"/>
  <c r="AD347" i="8" s="1"/>
  <c r="O279" i="8"/>
  <c r="O281" i="8" s="1"/>
  <c r="O334" i="8" s="1"/>
  <c r="AD183" i="8"/>
  <c r="AD184" i="8" s="1"/>
  <c r="AC191" i="8"/>
  <c r="R257" i="8"/>
  <c r="AI164" i="8"/>
  <c r="AH171" i="8"/>
  <c r="AA202" i="8"/>
  <c r="AA291" i="8"/>
  <c r="AA302" i="8" s="1"/>
  <c r="AA341" i="8" s="1"/>
  <c r="Q263" i="8"/>
  <c r="P267" i="8" s="1"/>
  <c r="AA200" i="8"/>
  <c r="AA201" i="8" s="1"/>
  <c r="S255" i="8"/>
  <c r="S254" i="8"/>
  <c r="L127" i="4"/>
  <c r="J131" i="4"/>
  <c r="J134" i="4" s="1"/>
  <c r="F132" i="4"/>
  <c r="F133" i="4" s="1"/>
  <c r="G130" i="4" s="1"/>
  <c r="E138" i="4"/>
  <c r="E140" i="4" s="1"/>
  <c r="E311" i="4"/>
  <c r="D144" i="4"/>
  <c r="F135" i="4"/>
  <c r="F136" i="4"/>
  <c r="AL155" i="8" l="1"/>
  <c r="AL157" i="8" s="1"/>
  <c r="AE181" i="8"/>
  <c r="AD188" i="8"/>
  <c r="U317" i="8"/>
  <c r="U330" i="8" s="1"/>
  <c r="U359" i="8" s="1"/>
  <c r="U240" i="8"/>
  <c r="V237" i="8"/>
  <c r="V238" i="8"/>
  <c r="T246" i="8"/>
  <c r="S250" i="8" s="1"/>
  <c r="P270" i="8"/>
  <c r="P295" i="8"/>
  <c r="P298" i="8" s="1"/>
  <c r="P337" i="8" s="1"/>
  <c r="P268" i="8"/>
  <c r="P269" i="8" s="1"/>
  <c r="AK158" i="8"/>
  <c r="AK159" i="8" s="1"/>
  <c r="AK160" i="8" s="1"/>
  <c r="AC192" i="8"/>
  <c r="AC193" i="8" s="1"/>
  <c r="AC194" i="8" s="1"/>
  <c r="AM152" i="8"/>
  <c r="AM153" i="8"/>
  <c r="AM149" i="8"/>
  <c r="AM150" i="8" s="1"/>
  <c r="AM154" i="8" s="1"/>
  <c r="AM312" i="8" s="1"/>
  <c r="AM327" i="8" s="1"/>
  <c r="AM356" i="8" s="1"/>
  <c r="AB198" i="8"/>
  <c r="AA205" i="8"/>
  <c r="AA315" i="8" s="1"/>
  <c r="AA326" i="8" s="1"/>
  <c r="AA355" i="8" s="1"/>
  <c r="Z209" i="8"/>
  <c r="Z210" i="8" s="1"/>
  <c r="Z211" i="8" s="1"/>
  <c r="Y215" i="8"/>
  <c r="X222" i="8"/>
  <c r="X316" i="8" s="1"/>
  <c r="X323" i="8" s="1"/>
  <c r="X352" i="8" s="1"/>
  <c r="AI168" i="8"/>
  <c r="AI289" i="8"/>
  <c r="AI301" i="8" s="1"/>
  <c r="AI340" i="8" s="1"/>
  <c r="AI170" i="8"/>
  <c r="AI169" i="8"/>
  <c r="AI166" i="8"/>
  <c r="AI167" i="8" s="1"/>
  <c r="O371" i="8"/>
  <c r="O379" i="8" s="1"/>
  <c r="O362" i="8"/>
  <c r="O372" i="8" s="1"/>
  <c r="O380" i="8" s="1"/>
  <c r="AH313" i="8"/>
  <c r="AH325" i="8" s="1"/>
  <c r="AH354" i="8" s="1"/>
  <c r="AH172" i="8"/>
  <c r="R259" i="8"/>
  <c r="V233" i="8"/>
  <c r="V234" i="8" s="1"/>
  <c r="V235" i="8" s="1"/>
  <c r="C148" i="4"/>
  <c r="C151" i="4" s="1"/>
  <c r="M127" i="4"/>
  <c r="K131" i="4"/>
  <c r="K134" i="4" s="1"/>
  <c r="E328" i="4"/>
  <c r="E357" i="4" s="1"/>
  <c r="G132" i="4"/>
  <c r="G133" i="4" s="1"/>
  <c r="H130" i="4" s="1"/>
  <c r="F137" i="4"/>
  <c r="J287" i="4"/>
  <c r="J304" i="4" s="1"/>
  <c r="J344" i="4" s="1"/>
  <c r="E141" i="4"/>
  <c r="E142" i="4" s="1"/>
  <c r="E143" i="4" s="1"/>
  <c r="G136" i="4"/>
  <c r="G135" i="4"/>
  <c r="Q266" i="8" l="1"/>
  <c r="P273" i="8"/>
  <c r="P319" i="8" s="1"/>
  <c r="P322" i="8" s="1"/>
  <c r="P351" i="8" s="1"/>
  <c r="W232" i="8"/>
  <c r="V239" i="8"/>
  <c r="V317" i="8" s="1"/>
  <c r="V330" i="8" s="1"/>
  <c r="V359" i="8" s="1"/>
  <c r="AJ164" i="8"/>
  <c r="AI171" i="8"/>
  <c r="AI313" i="8" s="1"/>
  <c r="AI325" i="8" s="1"/>
  <c r="AI354" i="8" s="1"/>
  <c r="Z212" i="8"/>
  <c r="Y216" i="8" s="1"/>
  <c r="AC195" i="8"/>
  <c r="AB199" i="8" s="1"/>
  <c r="U242" i="8"/>
  <c r="AK161" i="8"/>
  <c r="AJ165" i="8" s="1"/>
  <c r="AA206" i="8"/>
  <c r="R260" i="8"/>
  <c r="R261" i="8" s="1"/>
  <c r="R262" i="8" s="1"/>
  <c r="AL158" i="8"/>
  <c r="AL159" i="8" s="1"/>
  <c r="AL160" i="8" s="1"/>
  <c r="AH174" i="8"/>
  <c r="AD314" i="8"/>
  <c r="AD331" i="8" s="1"/>
  <c r="AD360" i="8" s="1"/>
  <c r="AD189" i="8"/>
  <c r="Y221" i="8"/>
  <c r="Y220" i="8"/>
  <c r="AB204" i="8"/>
  <c r="AB203" i="8"/>
  <c r="S253" i="8"/>
  <c r="S294" i="8"/>
  <c r="S300" i="8" s="1"/>
  <c r="S339" i="8" s="1"/>
  <c r="S251" i="8"/>
  <c r="S252" i="8" s="1"/>
  <c r="AE186" i="8"/>
  <c r="AE187" i="8"/>
  <c r="AE182" i="8"/>
  <c r="AE183" i="8" s="1"/>
  <c r="V236" i="8"/>
  <c r="V293" i="8"/>
  <c r="V306" i="8" s="1"/>
  <c r="V346" i="8" s="1"/>
  <c r="AM155" i="8"/>
  <c r="AM157" i="8" s="1"/>
  <c r="X223" i="8"/>
  <c r="C150" i="4"/>
  <c r="C154" i="4" s="1"/>
  <c r="C288" i="4"/>
  <c r="C303" i="4" s="1"/>
  <c r="C343" i="4" s="1"/>
  <c r="K287" i="4"/>
  <c r="K304" i="4" s="1"/>
  <c r="K344" i="4" s="1"/>
  <c r="L131" i="4"/>
  <c r="N127" i="4"/>
  <c r="H132" i="4"/>
  <c r="H133" i="4" s="1"/>
  <c r="H137" i="4" s="1"/>
  <c r="G137" i="4"/>
  <c r="G311" i="4" s="1"/>
  <c r="F311" i="4"/>
  <c r="H135" i="4"/>
  <c r="H136" i="4"/>
  <c r="F138" i="4"/>
  <c r="E144" i="4"/>
  <c r="D148" i="4" s="1"/>
  <c r="P274" i="8" l="1"/>
  <c r="V240" i="8"/>
  <c r="V242" i="8" s="1"/>
  <c r="V243" i="8" s="1"/>
  <c r="V244" i="8" s="1"/>
  <c r="AL161" i="8"/>
  <c r="AK165" i="8" s="1"/>
  <c r="T249" i="8"/>
  <c r="S256" i="8"/>
  <c r="S318" i="8" s="1"/>
  <c r="S324" i="8" s="1"/>
  <c r="S353" i="8" s="1"/>
  <c r="AB202" i="8"/>
  <c r="AB291" i="8"/>
  <c r="AB302" i="8" s="1"/>
  <c r="AB341" i="8" s="1"/>
  <c r="AI172" i="8"/>
  <c r="AH175" i="8"/>
  <c r="AH176" i="8" s="1"/>
  <c r="AH177" i="8" s="1"/>
  <c r="AA208" i="8"/>
  <c r="AJ166" i="8"/>
  <c r="AJ167" i="8" s="1"/>
  <c r="AJ169" i="8"/>
  <c r="AJ170" i="8"/>
  <c r="AE185" i="8"/>
  <c r="AE290" i="8"/>
  <c r="AE307" i="8" s="1"/>
  <c r="AE347" i="8" s="1"/>
  <c r="Y219" i="8"/>
  <c r="Y292" i="8"/>
  <c r="Y299" i="8" s="1"/>
  <c r="Y338" i="8" s="1"/>
  <c r="X225" i="8"/>
  <c r="Y218" i="8"/>
  <c r="AJ168" i="8"/>
  <c r="AJ289" i="8"/>
  <c r="AJ301" i="8" s="1"/>
  <c r="AJ340" i="8" s="1"/>
  <c r="W237" i="8"/>
  <c r="W238" i="8"/>
  <c r="AD191" i="8"/>
  <c r="P276" i="8"/>
  <c r="AE184" i="8"/>
  <c r="Y217" i="8"/>
  <c r="R263" i="8"/>
  <c r="Q267" i="8" s="1"/>
  <c r="U243" i="8"/>
  <c r="U244" i="8" s="1"/>
  <c r="AM158" i="8"/>
  <c r="AM159" i="8" s="1"/>
  <c r="AM160" i="8" s="1"/>
  <c r="AB200" i="8"/>
  <c r="AB201" i="8" s="1"/>
  <c r="Q271" i="8"/>
  <c r="Q272" i="8"/>
  <c r="Q268" i="8"/>
  <c r="Q269" i="8" s="1"/>
  <c r="D147" i="4"/>
  <c r="D152" i="4" s="1"/>
  <c r="M131" i="4"/>
  <c r="M287" i="4" s="1"/>
  <c r="M304" i="4" s="1"/>
  <c r="M344" i="4" s="1"/>
  <c r="O127" i="4"/>
  <c r="L287" i="4"/>
  <c r="L304" i="4" s="1"/>
  <c r="L344" i="4" s="1"/>
  <c r="L134" i="4"/>
  <c r="F328" i="4"/>
  <c r="F357" i="4" s="1"/>
  <c r="G328" i="4"/>
  <c r="G357" i="4" s="1"/>
  <c r="C155" i="4"/>
  <c r="I130" i="4"/>
  <c r="C312" i="4"/>
  <c r="C327" i="4" s="1"/>
  <c r="C356" i="4" s="1"/>
  <c r="F140" i="4"/>
  <c r="G138" i="4"/>
  <c r="G140" i="4" s="1"/>
  <c r="D151" i="4"/>
  <c r="V245" i="8" l="1"/>
  <c r="AK164" i="8"/>
  <c r="AJ171" i="8"/>
  <c r="AH178" i="8"/>
  <c r="R266" i="8"/>
  <c r="Q273" i="8"/>
  <c r="Q319" i="8" s="1"/>
  <c r="Q322" i="8" s="1"/>
  <c r="Q351" i="8" s="1"/>
  <c r="AM161" i="8"/>
  <c r="AL165" i="8" s="1"/>
  <c r="AI174" i="8"/>
  <c r="AF181" i="8"/>
  <c r="AE188" i="8"/>
  <c r="AC198" i="8"/>
  <c r="AB205" i="8"/>
  <c r="AB315" i="8" s="1"/>
  <c r="AB326" i="8" s="1"/>
  <c r="AB355" i="8" s="1"/>
  <c r="P277" i="8"/>
  <c r="P278" i="8" s="1"/>
  <c r="P279" i="8" s="1"/>
  <c r="P281" i="8" s="1"/>
  <c r="P334" i="8" s="1"/>
  <c r="T254" i="8"/>
  <c r="T255" i="8"/>
  <c r="S257" i="8"/>
  <c r="Z215" i="8"/>
  <c r="Y222" i="8"/>
  <c r="U245" i="8"/>
  <c r="X226" i="8"/>
  <c r="X227" i="8" s="1"/>
  <c r="X228" i="8" s="1"/>
  <c r="AA209" i="8"/>
  <c r="AA210" i="8" s="1"/>
  <c r="AA211" i="8" s="1"/>
  <c r="AK168" i="8"/>
  <c r="AK289" i="8"/>
  <c r="AK301" i="8" s="1"/>
  <c r="AK340" i="8" s="1"/>
  <c r="AD192" i="8"/>
  <c r="AD193" i="8" s="1"/>
  <c r="AD194" i="8" s="1"/>
  <c r="Q270" i="8"/>
  <c r="Q295" i="8"/>
  <c r="Q298" i="8" s="1"/>
  <c r="Q337" i="8" s="1"/>
  <c r="D153" i="4"/>
  <c r="N131" i="4"/>
  <c r="N134" i="4" s="1"/>
  <c r="P127" i="4"/>
  <c r="M134" i="4"/>
  <c r="H311" i="4"/>
  <c r="D288" i="4"/>
  <c r="D303" i="4" s="1"/>
  <c r="D343" i="4" s="1"/>
  <c r="D149" i="4"/>
  <c r="D150" i="4" s="1"/>
  <c r="D154" i="4" s="1"/>
  <c r="I136" i="4"/>
  <c r="I132" i="4"/>
  <c r="I133" i="4" s="1"/>
  <c r="J130" i="4" s="1"/>
  <c r="H138" i="4"/>
  <c r="H140" i="4" s="1"/>
  <c r="I135" i="4"/>
  <c r="F141" i="4"/>
  <c r="F142" i="4" s="1"/>
  <c r="C157" i="4"/>
  <c r="G141" i="4"/>
  <c r="G142" i="4" s="1"/>
  <c r="AB206" i="8" l="1"/>
  <c r="Q274" i="8"/>
  <c r="Q276" i="8" s="1"/>
  <c r="AA212" i="8"/>
  <c r="Z216" i="8" s="1"/>
  <c r="Z217" i="8" s="1"/>
  <c r="Z218" i="8" s="1"/>
  <c r="X229" i="8"/>
  <c r="W233" i="8" s="1"/>
  <c r="AD195" i="8"/>
  <c r="AC199" i="8" s="1"/>
  <c r="P371" i="8"/>
  <c r="P379" i="8" s="1"/>
  <c r="P362" i="8"/>
  <c r="P372" i="8" s="1"/>
  <c r="P380" i="8" s="1"/>
  <c r="AC204" i="8"/>
  <c r="AC203" i="8"/>
  <c r="Y316" i="8"/>
  <c r="Y323" i="8" s="1"/>
  <c r="Y352" i="8" s="1"/>
  <c r="Y223" i="8"/>
  <c r="Z221" i="8"/>
  <c r="Z220" i="8"/>
  <c r="AF186" i="8"/>
  <c r="AF187" i="8"/>
  <c r="AF182" i="8"/>
  <c r="AL168" i="8"/>
  <c r="AL289" i="8"/>
  <c r="AL301" i="8" s="1"/>
  <c r="AL340" i="8" s="1"/>
  <c r="AM289" i="8"/>
  <c r="AM301" i="8" s="1"/>
  <c r="AM340" i="8" s="1"/>
  <c r="U246" i="8"/>
  <c r="R271" i="8"/>
  <c r="R272" i="8"/>
  <c r="S259" i="8"/>
  <c r="AI175" i="8"/>
  <c r="AI176" i="8" s="1"/>
  <c r="AI177" i="8" s="1"/>
  <c r="AJ313" i="8"/>
  <c r="AJ325" i="8" s="1"/>
  <c r="AJ354" i="8" s="1"/>
  <c r="AJ172" i="8"/>
  <c r="AB208" i="8"/>
  <c r="AE314" i="8"/>
  <c r="AE331" i="8" s="1"/>
  <c r="AE360" i="8" s="1"/>
  <c r="AE189" i="8"/>
  <c r="AK170" i="8"/>
  <c r="AK169" i="8"/>
  <c r="AK166" i="8"/>
  <c r="AK167" i="8" s="1"/>
  <c r="N287" i="4"/>
  <c r="N304" i="4" s="1"/>
  <c r="N344" i="4" s="1"/>
  <c r="O131" i="4"/>
  <c r="Q127" i="4"/>
  <c r="H328" i="4"/>
  <c r="H357" i="4" s="1"/>
  <c r="I137" i="4"/>
  <c r="J132" i="4"/>
  <c r="J133" i="4" s="1"/>
  <c r="J137" i="4" s="1"/>
  <c r="J135" i="4"/>
  <c r="J136" i="4"/>
  <c r="G143" i="4"/>
  <c r="F143" i="4"/>
  <c r="F144" i="4" s="1"/>
  <c r="E148" i="4" s="1"/>
  <c r="C158" i="4"/>
  <c r="C159" i="4" s="1"/>
  <c r="C160" i="4" s="1"/>
  <c r="C161" i="4" s="1"/>
  <c r="H141" i="4"/>
  <c r="H142" i="4" s="1"/>
  <c r="H143" i="4" s="1"/>
  <c r="E147" i="4"/>
  <c r="AL164" i="8" l="1"/>
  <c r="AK171" i="8"/>
  <c r="AK313" i="8" s="1"/>
  <c r="AK325" i="8" s="1"/>
  <c r="AK354" i="8" s="1"/>
  <c r="AI178" i="8"/>
  <c r="AA215" i="8"/>
  <c r="Z222" i="8"/>
  <c r="Z316" i="8" s="1"/>
  <c r="Z323" i="8" s="1"/>
  <c r="Z352" i="8" s="1"/>
  <c r="AB209" i="8"/>
  <c r="AB210" i="8" s="1"/>
  <c r="AB211" i="8" s="1"/>
  <c r="T250" i="8"/>
  <c r="V246" i="8"/>
  <c r="AC202" i="8"/>
  <c r="AC291" i="8"/>
  <c r="AC302" i="8" s="1"/>
  <c r="AC341" i="8" s="1"/>
  <c r="S260" i="8"/>
  <c r="S261" i="8" s="1"/>
  <c r="S262" i="8" s="1"/>
  <c r="Y225" i="8"/>
  <c r="W236" i="8"/>
  <c r="W293" i="8"/>
  <c r="W306" i="8" s="1"/>
  <c r="W346" i="8" s="1"/>
  <c r="W234" i="8"/>
  <c r="W235" i="8" s="1"/>
  <c r="AF185" i="8"/>
  <c r="AF290" i="8"/>
  <c r="AF307" i="8" s="1"/>
  <c r="AF347" i="8" s="1"/>
  <c r="AK172" i="8"/>
  <c r="AK174" i="8" s="1"/>
  <c r="AF183" i="8"/>
  <c r="AF184" i="8" s="1"/>
  <c r="Q277" i="8"/>
  <c r="Q278" i="8" s="1"/>
  <c r="Q279" i="8" s="1"/>
  <c r="Q281" i="8" s="1"/>
  <c r="Q334" i="8" s="1"/>
  <c r="AE191" i="8"/>
  <c r="AC200" i="8"/>
  <c r="AC201" i="8" s="1"/>
  <c r="AJ174" i="8"/>
  <c r="Z219" i="8"/>
  <c r="Z292" i="8"/>
  <c r="Z299" i="8" s="1"/>
  <c r="Z338" i="8" s="1"/>
  <c r="P131" i="4"/>
  <c r="R127" i="4"/>
  <c r="O134" i="4"/>
  <c r="O287" i="4"/>
  <c r="O304" i="4" s="1"/>
  <c r="O344" i="4" s="1"/>
  <c r="D312" i="4"/>
  <c r="D327" i="4" s="1"/>
  <c r="D356" i="4" s="1"/>
  <c r="I138" i="4"/>
  <c r="I140" i="4" s="1"/>
  <c r="I141" i="4" s="1"/>
  <c r="I142" i="4" s="1"/>
  <c r="I143" i="4" s="1"/>
  <c r="I311" i="4"/>
  <c r="K130" i="4"/>
  <c r="G144" i="4"/>
  <c r="E153" i="4"/>
  <c r="E152" i="4"/>
  <c r="D155" i="4"/>
  <c r="Z223" i="8" l="1"/>
  <c r="Z225" i="8" s="1"/>
  <c r="Z226" i="8" s="1"/>
  <c r="Z227" i="8" s="1"/>
  <c r="AB212" i="8"/>
  <c r="AA216" i="8" s="1"/>
  <c r="Q371" i="8"/>
  <c r="Q379" i="8" s="1"/>
  <c r="Q362" i="8"/>
  <c r="Q372" i="8" s="1"/>
  <c r="Q380" i="8" s="1"/>
  <c r="AA221" i="8"/>
  <c r="AA220" i="8"/>
  <c r="AA217" i="8"/>
  <c r="AD198" i="8"/>
  <c r="AC205" i="8"/>
  <c r="AC315" i="8" s="1"/>
  <c r="AC326" i="8" s="1"/>
  <c r="AC355" i="8" s="1"/>
  <c r="T253" i="8"/>
  <c r="T294" i="8"/>
  <c r="T300" i="8" s="1"/>
  <c r="T339" i="8" s="1"/>
  <c r="T251" i="8"/>
  <c r="T252" i="8" s="1"/>
  <c r="AG181" i="8"/>
  <c r="AF188" i="8"/>
  <c r="S263" i="8"/>
  <c r="R267" i="8" s="1"/>
  <c r="AK175" i="8"/>
  <c r="AK176" i="8" s="1"/>
  <c r="X232" i="8"/>
  <c r="W239" i="8"/>
  <c r="W317" i="8" s="1"/>
  <c r="W330" i="8" s="1"/>
  <c r="W359" i="8" s="1"/>
  <c r="AJ175" i="8"/>
  <c r="AJ176" i="8" s="1"/>
  <c r="AJ177" i="8" s="1"/>
  <c r="AE192" i="8"/>
  <c r="AE193" i="8" s="1"/>
  <c r="AE194" i="8" s="1"/>
  <c r="Y226" i="8"/>
  <c r="Y227" i="8" s="1"/>
  <c r="Y228" i="8" s="1"/>
  <c r="AL170" i="8"/>
  <c r="AL169" i="8"/>
  <c r="AL166" i="8"/>
  <c r="AL167" i="8" s="1"/>
  <c r="H144" i="4"/>
  <c r="G148" i="4" s="1"/>
  <c r="G151" i="4" s="1"/>
  <c r="F148" i="4"/>
  <c r="F151" i="4" s="1"/>
  <c r="Q131" i="4"/>
  <c r="S127" i="4"/>
  <c r="P287" i="4"/>
  <c r="P304" i="4" s="1"/>
  <c r="P344" i="4" s="1"/>
  <c r="P134" i="4"/>
  <c r="E288" i="4"/>
  <c r="E303" i="4" s="1"/>
  <c r="E343" i="4" s="1"/>
  <c r="E151" i="4"/>
  <c r="I328" i="4"/>
  <c r="I357" i="4" s="1"/>
  <c r="J311" i="4"/>
  <c r="J138" i="4"/>
  <c r="J140" i="4" s="1"/>
  <c r="E149" i="4"/>
  <c r="E150" i="4" s="1"/>
  <c r="E154" i="4" s="1"/>
  <c r="K132" i="4"/>
  <c r="K133" i="4" s="1"/>
  <c r="K137" i="4" s="1"/>
  <c r="K135" i="4"/>
  <c r="K136" i="4"/>
  <c r="D157" i="4"/>
  <c r="AM164" i="8" l="1"/>
  <c r="AL171" i="8"/>
  <c r="AL313" i="8" s="1"/>
  <c r="AL325" i="8" s="1"/>
  <c r="AL354" i="8" s="1"/>
  <c r="W240" i="8"/>
  <c r="Y229" i="8"/>
  <c r="X233" i="8" s="1"/>
  <c r="AE195" i="8"/>
  <c r="AD199" i="8" s="1"/>
  <c r="AJ178" i="8"/>
  <c r="R270" i="8"/>
  <c r="R295" i="8"/>
  <c r="R298" i="8" s="1"/>
  <c r="R337" i="8" s="1"/>
  <c r="R268" i="8"/>
  <c r="R269" i="8" s="1"/>
  <c r="AG186" i="8"/>
  <c r="AG187" i="8"/>
  <c r="AG182" i="8"/>
  <c r="Z228" i="8"/>
  <c r="AM170" i="8"/>
  <c r="AM169" i="8"/>
  <c r="AM166" i="8"/>
  <c r="AM167" i="8" s="1"/>
  <c r="AM171" i="8" s="1"/>
  <c r="AM313" i="8" s="1"/>
  <c r="AM325" i="8" s="1"/>
  <c r="AM354" i="8" s="1"/>
  <c r="AA219" i="8"/>
  <c r="AA292" i="8"/>
  <c r="AA299" i="8" s="1"/>
  <c r="AA338" i="8" s="1"/>
  <c r="U249" i="8"/>
  <c r="T256" i="8"/>
  <c r="T318" i="8" s="1"/>
  <c r="T324" i="8" s="1"/>
  <c r="T353" i="8" s="1"/>
  <c r="X237" i="8"/>
  <c r="X238" i="8"/>
  <c r="X234" i="8"/>
  <c r="X235" i="8" s="1"/>
  <c r="AL172" i="8"/>
  <c r="AK177" i="8"/>
  <c r="AD204" i="8"/>
  <c r="AD203" i="8"/>
  <c r="AF314" i="8"/>
  <c r="AF331" i="8" s="1"/>
  <c r="AF360" i="8" s="1"/>
  <c r="AF189" i="8"/>
  <c r="W242" i="8"/>
  <c r="AA218" i="8"/>
  <c r="AC206" i="8"/>
  <c r="I144" i="4"/>
  <c r="H148" i="4" s="1"/>
  <c r="H151" i="4" s="1"/>
  <c r="R131" i="4"/>
  <c r="T127" i="4"/>
  <c r="Q134" i="4"/>
  <c r="Q287" i="4"/>
  <c r="Q304" i="4" s="1"/>
  <c r="Q344" i="4" s="1"/>
  <c r="J328" i="4"/>
  <c r="J357" i="4" s="1"/>
  <c r="F288" i="4"/>
  <c r="F303" i="4" s="1"/>
  <c r="F343" i="4" s="1"/>
  <c r="G288" i="4"/>
  <c r="G303" i="4" s="1"/>
  <c r="G343" i="4" s="1"/>
  <c r="L130" i="4"/>
  <c r="K311" i="4"/>
  <c r="F147" i="4"/>
  <c r="D158" i="4"/>
  <c r="D159" i="4" s="1"/>
  <c r="D160" i="4" s="1"/>
  <c r="J141" i="4"/>
  <c r="J142" i="4" s="1"/>
  <c r="J143" i="4" s="1"/>
  <c r="Y232" i="8" l="1"/>
  <c r="X239" i="8"/>
  <c r="X317" i="8" s="1"/>
  <c r="X330" i="8" s="1"/>
  <c r="X359" i="8" s="1"/>
  <c r="S266" i="8"/>
  <c r="R273" i="8"/>
  <c r="R319" i="8" s="1"/>
  <c r="R322" i="8" s="1"/>
  <c r="R351" i="8" s="1"/>
  <c r="AC208" i="8"/>
  <c r="AB215" i="8"/>
  <c r="AA222" i="8"/>
  <c r="AA316" i="8" s="1"/>
  <c r="AA323" i="8" s="1"/>
  <c r="AA352" i="8" s="1"/>
  <c r="AM172" i="8"/>
  <c r="AM174" i="8" s="1"/>
  <c r="W243" i="8"/>
  <c r="W244" i="8" s="1"/>
  <c r="W245" i="8" s="1"/>
  <c r="AF191" i="8"/>
  <c r="AK178" i="8"/>
  <c r="AL174" i="8"/>
  <c r="AD202" i="8"/>
  <c r="AD291" i="8"/>
  <c r="AD302" i="8" s="1"/>
  <c r="AD341" i="8" s="1"/>
  <c r="T257" i="8"/>
  <c r="AG185" i="8"/>
  <c r="AG290" i="8"/>
  <c r="AG307" i="8" s="1"/>
  <c r="AG347" i="8" s="1"/>
  <c r="AG183" i="8"/>
  <c r="AG184" i="8" s="1"/>
  <c r="X236" i="8"/>
  <c r="X240" i="8" s="1"/>
  <c r="X293" i="8"/>
  <c r="X306" i="8" s="1"/>
  <c r="X346" i="8" s="1"/>
  <c r="Z229" i="8"/>
  <c r="Y233" i="8" s="1"/>
  <c r="AD200" i="8"/>
  <c r="AD201" i="8" s="1"/>
  <c r="U255" i="8"/>
  <c r="U254" i="8"/>
  <c r="U250" i="8"/>
  <c r="R134" i="4"/>
  <c r="R287" i="4"/>
  <c r="R304" i="4" s="1"/>
  <c r="R344" i="4" s="1"/>
  <c r="S131" i="4"/>
  <c r="U127" i="4"/>
  <c r="K328" i="4"/>
  <c r="K357" i="4" s="1"/>
  <c r="F149" i="4"/>
  <c r="F150" i="4" s="1"/>
  <c r="G147" i="4" s="1"/>
  <c r="E312" i="4"/>
  <c r="E327" i="4" s="1"/>
  <c r="E356" i="4" s="1"/>
  <c r="H288" i="4"/>
  <c r="H303" i="4" s="1"/>
  <c r="H343" i="4" s="1"/>
  <c r="K138" i="4"/>
  <c r="K140" i="4" s="1"/>
  <c r="K141" i="4" s="1"/>
  <c r="K142" i="4" s="1"/>
  <c r="L132" i="4"/>
  <c r="L133" i="4" s="1"/>
  <c r="M130" i="4" s="1"/>
  <c r="L136" i="4"/>
  <c r="L135" i="4"/>
  <c r="J144" i="4"/>
  <c r="I148" i="4" s="1"/>
  <c r="D161" i="4"/>
  <c r="E155" i="4"/>
  <c r="F153" i="4"/>
  <c r="F152" i="4"/>
  <c r="R274" i="8" l="1"/>
  <c r="AM175" i="8"/>
  <c r="AM176" i="8" s="1"/>
  <c r="W246" i="8"/>
  <c r="X242" i="8"/>
  <c r="AL175" i="8"/>
  <c r="AL176" i="8" s="1"/>
  <c r="AC209" i="8"/>
  <c r="AC210" i="8" s="1"/>
  <c r="AC211" i="8" s="1"/>
  <c r="AB220" i="8"/>
  <c r="AB221" i="8"/>
  <c r="AE198" i="8"/>
  <c r="AD205" i="8"/>
  <c r="R276" i="8"/>
  <c r="AH181" i="8"/>
  <c r="AG188" i="8"/>
  <c r="AG314" i="8" s="1"/>
  <c r="AG331" i="8" s="1"/>
  <c r="AG360" i="8" s="1"/>
  <c r="Y236" i="8"/>
  <c r="Y293" i="8"/>
  <c r="Y306" i="8" s="1"/>
  <c r="Y346" i="8" s="1"/>
  <c r="U251" i="8"/>
  <c r="U252" i="8" s="1"/>
  <c r="AA223" i="8"/>
  <c r="T259" i="8"/>
  <c r="U253" i="8"/>
  <c r="U294" i="8"/>
  <c r="U300" i="8" s="1"/>
  <c r="U339" i="8" s="1"/>
  <c r="AF192" i="8"/>
  <c r="AF193" i="8" s="1"/>
  <c r="AF194" i="8" s="1"/>
  <c r="S271" i="8"/>
  <c r="S272" i="8"/>
  <c r="Y238" i="8"/>
  <c r="Y237" i="8"/>
  <c r="Y234" i="8"/>
  <c r="Y235" i="8" s="1"/>
  <c r="C165" i="4"/>
  <c r="C168" i="4" s="1"/>
  <c r="S134" i="4"/>
  <c r="S287" i="4"/>
  <c r="S304" i="4" s="1"/>
  <c r="S344" i="4" s="1"/>
  <c r="T131" i="4"/>
  <c r="V127" i="4"/>
  <c r="L137" i="4"/>
  <c r="G149" i="4"/>
  <c r="G150" i="4" s="1"/>
  <c r="G154" i="4" s="1"/>
  <c r="F154" i="4"/>
  <c r="K143" i="4"/>
  <c r="K144" i="4" s="1"/>
  <c r="M132" i="4"/>
  <c r="M133" i="4" s="1"/>
  <c r="N130" i="4" s="1"/>
  <c r="M135" i="4"/>
  <c r="M136" i="4"/>
  <c r="G152" i="4"/>
  <c r="G153" i="4"/>
  <c r="E157" i="4"/>
  <c r="I151" i="4"/>
  <c r="AM177" i="8" l="1"/>
  <c r="AC212" i="8"/>
  <c r="AB216" i="8" s="1"/>
  <c r="V249" i="8"/>
  <c r="U256" i="8"/>
  <c r="U318" i="8" s="1"/>
  <c r="U324" i="8" s="1"/>
  <c r="U353" i="8" s="1"/>
  <c r="AF195" i="8"/>
  <c r="AE199" i="8" s="1"/>
  <c r="Z232" i="8"/>
  <c r="Y239" i="8"/>
  <c r="Y317" i="8" s="1"/>
  <c r="Y330" i="8" s="1"/>
  <c r="Y359" i="8" s="1"/>
  <c r="AA225" i="8"/>
  <c r="X243" i="8"/>
  <c r="X244" i="8" s="1"/>
  <c r="X245" i="8" s="1"/>
  <c r="AL177" i="8"/>
  <c r="R277" i="8"/>
  <c r="R278" i="8" s="1"/>
  <c r="R279" i="8" s="1"/>
  <c r="R281" i="8" s="1"/>
  <c r="R334" i="8" s="1"/>
  <c r="T260" i="8"/>
  <c r="T261" i="8" s="1"/>
  <c r="T262" i="8" s="1"/>
  <c r="AD315" i="8"/>
  <c r="AD326" i="8" s="1"/>
  <c r="AD355" i="8" s="1"/>
  <c r="AD206" i="8"/>
  <c r="AG189" i="8"/>
  <c r="AE204" i="8"/>
  <c r="AE203" i="8"/>
  <c r="V250" i="8"/>
  <c r="AH187" i="8"/>
  <c r="AH186" i="8"/>
  <c r="AH182" i="8"/>
  <c r="AH183" i="8" s="1"/>
  <c r="C289" i="4"/>
  <c r="C301" i="4" s="1"/>
  <c r="C340" i="4" s="1"/>
  <c r="C167" i="4"/>
  <c r="C171" i="4" s="1"/>
  <c r="J148" i="4"/>
  <c r="J151" i="4" s="1"/>
  <c r="U131" i="4"/>
  <c r="U134" i="4" s="1"/>
  <c r="W127" i="4"/>
  <c r="T287" i="4"/>
  <c r="T304" i="4" s="1"/>
  <c r="T344" i="4" s="1"/>
  <c r="T134" i="4"/>
  <c r="M137" i="4"/>
  <c r="L311" i="4"/>
  <c r="F155" i="4"/>
  <c r="F157" i="4" s="1"/>
  <c r="F312" i="4"/>
  <c r="F327" i="4" s="1"/>
  <c r="F356" i="4" s="1"/>
  <c r="I288" i="4"/>
  <c r="I303" i="4" s="1"/>
  <c r="I343" i="4" s="1"/>
  <c r="L138" i="4"/>
  <c r="L140" i="4" s="1"/>
  <c r="L141" i="4" s="1"/>
  <c r="L142" i="4" s="1"/>
  <c r="L143" i="4" s="1"/>
  <c r="L144" i="4" s="1"/>
  <c r="K148" i="4" s="1"/>
  <c r="N132" i="4"/>
  <c r="N133" i="4" s="1"/>
  <c r="N137" i="4" s="1"/>
  <c r="N135" i="4"/>
  <c r="N136" i="4"/>
  <c r="H147" i="4"/>
  <c r="G312" i="4"/>
  <c r="G327" i="4" s="1"/>
  <c r="G356" i="4" s="1"/>
  <c r="E158" i="4"/>
  <c r="E159" i="4" s="1"/>
  <c r="E160" i="4" s="1"/>
  <c r="Y240" i="8" l="1"/>
  <c r="T263" i="8"/>
  <c r="S267" i="8" s="1"/>
  <c r="Y242" i="8"/>
  <c r="AH185" i="8"/>
  <c r="AH290" i="8"/>
  <c r="AH307" i="8" s="1"/>
  <c r="AH347" i="8" s="1"/>
  <c r="AD208" i="8"/>
  <c r="AL178" i="8"/>
  <c r="AH184" i="8"/>
  <c r="AE202" i="8"/>
  <c r="AE291" i="8"/>
  <c r="AE302" i="8" s="1"/>
  <c r="AE341" i="8" s="1"/>
  <c r="V253" i="8"/>
  <c r="V294" i="8"/>
  <c r="V300" i="8" s="1"/>
  <c r="V339" i="8" s="1"/>
  <c r="U257" i="8"/>
  <c r="V255" i="8"/>
  <c r="V254" i="8"/>
  <c r="V251" i="8"/>
  <c r="V252" i="8" s="1"/>
  <c r="AG191" i="8"/>
  <c r="Z238" i="8"/>
  <c r="Z237" i="8"/>
  <c r="R371" i="8"/>
  <c r="R379" i="8" s="1"/>
  <c r="R362" i="8"/>
  <c r="R372" i="8" s="1"/>
  <c r="R380" i="8" s="1"/>
  <c r="X246" i="8"/>
  <c r="AE200" i="8"/>
  <c r="AE201" i="8" s="1"/>
  <c r="AA226" i="8"/>
  <c r="AA227" i="8" s="1"/>
  <c r="AA228" i="8" s="1"/>
  <c r="AB219" i="8"/>
  <c r="AB292" i="8"/>
  <c r="AB299" i="8" s="1"/>
  <c r="AB338" i="8" s="1"/>
  <c r="AB217" i="8"/>
  <c r="AB218" i="8" s="1"/>
  <c r="D164" i="4"/>
  <c r="D170" i="4" s="1"/>
  <c r="J288" i="4"/>
  <c r="J303" i="4" s="1"/>
  <c r="J343" i="4" s="1"/>
  <c r="U287" i="4"/>
  <c r="U304" i="4" s="1"/>
  <c r="U344" i="4" s="1"/>
  <c r="V131" i="4"/>
  <c r="X127" i="4"/>
  <c r="L328" i="4"/>
  <c r="L357" i="4" s="1"/>
  <c r="H149" i="4"/>
  <c r="H150" i="4" s="1"/>
  <c r="H154" i="4" s="1"/>
  <c r="M311" i="4"/>
  <c r="M138" i="4"/>
  <c r="M140" i="4" s="1"/>
  <c r="M141" i="4" s="1"/>
  <c r="M142" i="4" s="1"/>
  <c r="O130" i="4"/>
  <c r="E161" i="4"/>
  <c r="H152" i="4"/>
  <c r="H153" i="4"/>
  <c r="C313" i="4"/>
  <c r="C172" i="4"/>
  <c r="G155" i="4"/>
  <c r="F158" i="4"/>
  <c r="F159" i="4" s="1"/>
  <c r="F160" i="4" s="1"/>
  <c r="AF198" i="8" l="1"/>
  <c r="AE205" i="8"/>
  <c r="AC215" i="8"/>
  <c r="AB222" i="8"/>
  <c r="AB316" i="8" s="1"/>
  <c r="AB323" i="8" s="1"/>
  <c r="AB352" i="8" s="1"/>
  <c r="AA229" i="8"/>
  <c r="Z233" i="8" s="1"/>
  <c r="W249" i="8"/>
  <c r="W250" i="8" s="1"/>
  <c r="V256" i="8"/>
  <c r="V318" i="8" s="1"/>
  <c r="V324" i="8" s="1"/>
  <c r="V353" i="8" s="1"/>
  <c r="AM178" i="8"/>
  <c r="U259" i="8"/>
  <c r="AG192" i="8"/>
  <c r="AG193" i="8" s="1"/>
  <c r="AG194" i="8" s="1"/>
  <c r="AD209" i="8"/>
  <c r="AD210" i="8" s="1"/>
  <c r="AD211" i="8" s="1"/>
  <c r="Y243" i="8"/>
  <c r="Y244" i="8" s="1"/>
  <c r="Y245" i="8" s="1"/>
  <c r="S270" i="8"/>
  <c r="S295" i="8"/>
  <c r="S298" i="8" s="1"/>
  <c r="S337" i="8" s="1"/>
  <c r="S268" i="8"/>
  <c r="S269" i="8" s="1"/>
  <c r="AI181" i="8"/>
  <c r="AH188" i="8"/>
  <c r="AH314" i="8" s="1"/>
  <c r="AH331" i="8" s="1"/>
  <c r="AH360" i="8" s="1"/>
  <c r="D169" i="4"/>
  <c r="D165" i="4"/>
  <c r="D168" i="4" s="1"/>
  <c r="W131" i="4"/>
  <c r="W134" i="4" s="1"/>
  <c r="Y127" i="4"/>
  <c r="V287" i="4"/>
  <c r="V304" i="4" s="1"/>
  <c r="V344" i="4" s="1"/>
  <c r="V134" i="4"/>
  <c r="K288" i="4"/>
  <c r="K303" i="4" s="1"/>
  <c r="K343" i="4" s="1"/>
  <c r="K151" i="4"/>
  <c r="M328" i="4"/>
  <c r="M357" i="4" s="1"/>
  <c r="O132" i="4"/>
  <c r="O133" i="4" s="1"/>
  <c r="O137" i="4" s="1"/>
  <c r="O311" i="4" s="1"/>
  <c r="N311" i="4"/>
  <c r="O135" i="4"/>
  <c r="O136" i="4"/>
  <c r="M143" i="4"/>
  <c r="M144" i="4" s="1"/>
  <c r="L148" i="4" s="1"/>
  <c r="N138" i="4"/>
  <c r="N140" i="4" s="1"/>
  <c r="N141" i="4" s="1"/>
  <c r="N142" i="4" s="1"/>
  <c r="N143" i="4" s="1"/>
  <c r="C325" i="4"/>
  <c r="C354" i="4" s="1"/>
  <c r="F161" i="4"/>
  <c r="E165" i="4" s="1"/>
  <c r="I147" i="4"/>
  <c r="C174" i="4"/>
  <c r="G157" i="4"/>
  <c r="V257" i="8" l="1"/>
  <c r="AG195" i="8"/>
  <c r="AF199" i="8" s="1"/>
  <c r="Y246" i="8"/>
  <c r="W255" i="8"/>
  <c r="W254" i="8"/>
  <c r="W251" i="8"/>
  <c r="W252" i="8" s="1"/>
  <c r="AD212" i="8"/>
  <c r="AC216" i="8" s="1"/>
  <c r="AC217" i="8" s="1"/>
  <c r="AI186" i="8"/>
  <c r="AI187" i="8"/>
  <c r="AI182" i="8"/>
  <c r="T266" i="8"/>
  <c r="S273" i="8"/>
  <c r="S319" i="8" s="1"/>
  <c r="S322" i="8" s="1"/>
  <c r="S351" i="8" s="1"/>
  <c r="AC220" i="8"/>
  <c r="AC221" i="8"/>
  <c r="V259" i="8"/>
  <c r="AF203" i="8"/>
  <c r="AF204" i="8"/>
  <c r="AF200" i="8"/>
  <c r="AF201" i="8" s="1"/>
  <c r="AE315" i="8"/>
  <c r="AE326" i="8" s="1"/>
  <c r="AE355" i="8" s="1"/>
  <c r="AE206" i="8"/>
  <c r="AB223" i="8"/>
  <c r="W253" i="8"/>
  <c r="W294" i="8"/>
  <c r="W300" i="8" s="1"/>
  <c r="W339" i="8" s="1"/>
  <c r="Z236" i="8"/>
  <c r="Z293" i="8"/>
  <c r="Z306" i="8" s="1"/>
  <c r="Z346" i="8" s="1"/>
  <c r="Z234" i="8"/>
  <c r="Z235" i="8" s="1"/>
  <c r="U260" i="8"/>
  <c r="U261" i="8" s="1"/>
  <c r="U262" i="8" s="1"/>
  <c r="AH189" i="8"/>
  <c r="D289" i="4"/>
  <c r="D301" i="4" s="1"/>
  <c r="D340" i="4" s="1"/>
  <c r="D166" i="4"/>
  <c r="D167" i="4" s="1"/>
  <c r="D171" i="4" s="1"/>
  <c r="W287" i="4"/>
  <c r="W304" i="4" s="1"/>
  <c r="W344" i="4" s="1"/>
  <c r="X131" i="4"/>
  <c r="X287" i="4" s="1"/>
  <c r="X304" i="4" s="1"/>
  <c r="X344" i="4" s="1"/>
  <c r="Z127" i="4"/>
  <c r="E289" i="4"/>
  <c r="E301" i="4" s="1"/>
  <c r="E340" i="4" s="1"/>
  <c r="E168" i="4"/>
  <c r="L288" i="4"/>
  <c r="L303" i="4" s="1"/>
  <c r="L343" i="4" s="1"/>
  <c r="L151" i="4"/>
  <c r="O328" i="4"/>
  <c r="O357" i="4" s="1"/>
  <c r="N328" i="4"/>
  <c r="N357" i="4" s="1"/>
  <c r="P130" i="4"/>
  <c r="P132" i="4" s="1"/>
  <c r="P133" i="4" s="1"/>
  <c r="P137" i="4" s="1"/>
  <c r="I149" i="4"/>
  <c r="I150" i="4" s="1"/>
  <c r="I154" i="4" s="1"/>
  <c r="H155" i="4"/>
  <c r="H157" i="4" s="1"/>
  <c r="H158" i="4" s="1"/>
  <c r="H159" i="4" s="1"/>
  <c r="H312" i="4"/>
  <c r="H327" i="4" s="1"/>
  <c r="H356" i="4" s="1"/>
  <c r="N144" i="4"/>
  <c r="M148" i="4" s="1"/>
  <c r="O138" i="4"/>
  <c r="O140" i="4" s="1"/>
  <c r="O141" i="4" s="1"/>
  <c r="O142" i="4" s="1"/>
  <c r="O143" i="4" s="1"/>
  <c r="C175" i="4"/>
  <c r="I153" i="4"/>
  <c r="I152" i="4"/>
  <c r="G158" i="4"/>
  <c r="G159" i="4" s="1"/>
  <c r="AG198" i="8" l="1"/>
  <c r="AF205" i="8"/>
  <c r="AF315" i="8" s="1"/>
  <c r="AF326" i="8" s="1"/>
  <c r="AF355" i="8" s="1"/>
  <c r="X249" i="8"/>
  <c r="W256" i="8"/>
  <c r="W318" i="8" s="1"/>
  <c r="W324" i="8" s="1"/>
  <c r="W353" i="8" s="1"/>
  <c r="AH191" i="8"/>
  <c r="AB225" i="8"/>
  <c r="AE208" i="8"/>
  <c r="U263" i="8"/>
  <c r="T267" i="8" s="1"/>
  <c r="T268" i="8" s="1"/>
  <c r="AI185" i="8"/>
  <c r="AI290" i="8"/>
  <c r="AI307" i="8" s="1"/>
  <c r="AI347" i="8" s="1"/>
  <c r="S274" i="8"/>
  <c r="T272" i="8"/>
  <c r="T271" i="8"/>
  <c r="AA232" i="8"/>
  <c r="Z239" i="8"/>
  <c r="Z317" i="8" s="1"/>
  <c r="Z330" i="8" s="1"/>
  <c r="Z359" i="8" s="1"/>
  <c r="AI183" i="8"/>
  <c r="AI184" i="8" s="1"/>
  <c r="V260" i="8"/>
  <c r="V261" i="8" s="1"/>
  <c r="V262" i="8" s="1"/>
  <c r="AC219" i="8"/>
  <c r="AC292" i="8"/>
  <c r="AC299" i="8" s="1"/>
  <c r="AC338" i="8" s="1"/>
  <c r="AC218" i="8"/>
  <c r="AF202" i="8"/>
  <c r="AF206" i="8" s="1"/>
  <c r="AF291" i="8"/>
  <c r="AF302" i="8" s="1"/>
  <c r="AF341" i="8" s="1"/>
  <c r="Y131" i="4"/>
  <c r="Y287" i="4" s="1"/>
  <c r="Y304" i="4" s="1"/>
  <c r="Y344" i="4" s="1"/>
  <c r="AA127" i="4"/>
  <c r="X134" i="4"/>
  <c r="M288" i="4"/>
  <c r="M303" i="4" s="1"/>
  <c r="M343" i="4" s="1"/>
  <c r="M151" i="4"/>
  <c r="P135" i="4"/>
  <c r="P136" i="4"/>
  <c r="O144" i="4"/>
  <c r="N148" i="4" s="1"/>
  <c r="C176" i="4"/>
  <c r="E164" i="4"/>
  <c r="P311" i="4"/>
  <c r="Q130" i="4"/>
  <c r="H160" i="4"/>
  <c r="J147" i="4"/>
  <c r="G160" i="4"/>
  <c r="W257" i="8" l="1"/>
  <c r="AF208" i="8"/>
  <c r="V263" i="8"/>
  <c r="U267" i="8" s="1"/>
  <c r="S276" i="8"/>
  <c r="AA238" i="8"/>
  <c r="AA237" i="8"/>
  <c r="Z240" i="8"/>
  <c r="AJ181" i="8"/>
  <c r="AI188" i="8"/>
  <c r="AI314" i="8" s="1"/>
  <c r="AI331" i="8" s="1"/>
  <c r="AI360" i="8" s="1"/>
  <c r="AH192" i="8"/>
  <c r="AH193" i="8" s="1"/>
  <c r="AH194" i="8" s="1"/>
  <c r="W259" i="8"/>
  <c r="T270" i="8"/>
  <c r="T295" i="8"/>
  <c r="T298" i="8" s="1"/>
  <c r="T337" i="8" s="1"/>
  <c r="X254" i="8"/>
  <c r="X255" i="8"/>
  <c r="AD215" i="8"/>
  <c r="AC222" i="8"/>
  <c r="AC316" i="8" s="1"/>
  <c r="AC323" i="8" s="1"/>
  <c r="AC352" i="8" s="1"/>
  <c r="AE209" i="8"/>
  <c r="AE210" i="8" s="1"/>
  <c r="AE211" i="8" s="1"/>
  <c r="X250" i="8"/>
  <c r="AB226" i="8"/>
  <c r="AB227" i="8" s="1"/>
  <c r="AB228" i="8" s="1"/>
  <c r="T269" i="8"/>
  <c r="AG203" i="8"/>
  <c r="AG204" i="8"/>
  <c r="Z131" i="4"/>
  <c r="Z134" i="4" s="1"/>
  <c r="AB127" i="4"/>
  <c r="Y134" i="4"/>
  <c r="N288" i="4"/>
  <c r="N303" i="4" s="1"/>
  <c r="N343" i="4" s="1"/>
  <c r="N151" i="4"/>
  <c r="P328" i="4"/>
  <c r="P357" i="4" s="1"/>
  <c r="J149" i="4"/>
  <c r="J150" i="4" s="1"/>
  <c r="J154" i="4" s="1"/>
  <c r="E166" i="4"/>
  <c r="E167" i="4" s="1"/>
  <c r="F164" i="4" s="1"/>
  <c r="E170" i="4"/>
  <c r="I312" i="4"/>
  <c r="I327" i="4" s="1"/>
  <c r="I356" i="4" s="1"/>
  <c r="D313" i="4"/>
  <c r="C177" i="4"/>
  <c r="D172" i="4"/>
  <c r="D174" i="4" s="1"/>
  <c r="E169" i="4"/>
  <c r="Q132" i="4"/>
  <c r="Q133" i="4" s="1"/>
  <c r="Q137" i="4" s="1"/>
  <c r="Q136" i="4"/>
  <c r="Q135" i="4"/>
  <c r="P138" i="4"/>
  <c r="P140" i="4" s="1"/>
  <c r="P141" i="4" s="1"/>
  <c r="P142" i="4" s="1"/>
  <c r="P143" i="4" s="1"/>
  <c r="P144" i="4" s="1"/>
  <c r="O148" i="4" s="1"/>
  <c r="I155" i="4"/>
  <c r="I157" i="4" s="1"/>
  <c r="J153" i="4"/>
  <c r="J152" i="4"/>
  <c r="G161" i="4"/>
  <c r="F165" i="4" s="1"/>
  <c r="AI189" i="8" l="1"/>
  <c r="AI191" i="8" s="1"/>
  <c r="AH195" i="8"/>
  <c r="AG199" i="8" s="1"/>
  <c r="AE212" i="8"/>
  <c r="AD216" i="8" s="1"/>
  <c r="AB229" i="8"/>
  <c r="AA233" i="8" s="1"/>
  <c r="W260" i="8"/>
  <c r="W261" i="8" s="1"/>
  <c r="W262" i="8" s="1"/>
  <c r="X253" i="8"/>
  <c r="X294" i="8"/>
  <c r="X300" i="8" s="1"/>
  <c r="X339" i="8" s="1"/>
  <c r="AD221" i="8"/>
  <c r="AD220" i="8"/>
  <c r="AD217" i="8"/>
  <c r="AD218" i="8" s="1"/>
  <c r="AE215" i="8" s="1"/>
  <c r="S277" i="8"/>
  <c r="S278" i="8" s="1"/>
  <c r="S279" i="8" s="1"/>
  <c r="S281" i="8" s="1"/>
  <c r="S334" i="8" s="1"/>
  <c r="X251" i="8"/>
  <c r="X252" i="8" s="1"/>
  <c r="U270" i="8"/>
  <c r="U295" i="8"/>
  <c r="U298" i="8" s="1"/>
  <c r="U337" i="8" s="1"/>
  <c r="Z242" i="8"/>
  <c r="AF209" i="8"/>
  <c r="AF210" i="8" s="1"/>
  <c r="AF211" i="8" s="1"/>
  <c r="AJ187" i="8"/>
  <c r="AJ186" i="8"/>
  <c r="AJ182" i="8"/>
  <c r="U266" i="8"/>
  <c r="T273" i="8"/>
  <c r="T319" i="8" s="1"/>
  <c r="T322" i="8" s="1"/>
  <c r="T351" i="8" s="1"/>
  <c r="AC223" i="8"/>
  <c r="Z287" i="4"/>
  <c r="Z304" i="4" s="1"/>
  <c r="Z344" i="4" s="1"/>
  <c r="AA131" i="4"/>
  <c r="AC127" i="4"/>
  <c r="D325" i="4"/>
  <c r="D354" i="4" s="1"/>
  <c r="E171" i="4"/>
  <c r="E313" i="4" s="1"/>
  <c r="E325" i="4" s="1"/>
  <c r="C178" i="4"/>
  <c r="R130" i="4"/>
  <c r="Q311" i="4"/>
  <c r="K147" i="4"/>
  <c r="I158" i="4"/>
  <c r="I159" i="4" s="1"/>
  <c r="I160" i="4" s="1"/>
  <c r="D175" i="4"/>
  <c r="D176" i="4" s="1"/>
  <c r="D177" i="4" s="1"/>
  <c r="F169" i="4"/>
  <c r="F170" i="4"/>
  <c r="F168" i="4"/>
  <c r="H161" i="4"/>
  <c r="AF212" i="8" l="1"/>
  <c r="AE216" i="8" s="1"/>
  <c r="W263" i="8"/>
  <c r="V267" i="8" s="1"/>
  <c r="AI192" i="8"/>
  <c r="AI193" i="8" s="1"/>
  <c r="AI194" i="8" s="1"/>
  <c r="S362" i="8"/>
  <c r="S372" i="8" s="1"/>
  <c r="S380" i="8" s="1"/>
  <c r="S371" i="8"/>
  <c r="S379" i="8" s="1"/>
  <c r="AA236" i="8"/>
  <c r="AA293" i="8"/>
  <c r="AA306" i="8" s="1"/>
  <c r="AA346" i="8" s="1"/>
  <c r="AA234" i="8"/>
  <c r="AA235" i="8" s="1"/>
  <c r="Y249" i="8"/>
  <c r="X256" i="8"/>
  <c r="AC225" i="8"/>
  <c r="Z243" i="8"/>
  <c r="Z244" i="8" s="1"/>
  <c r="Z245" i="8" s="1"/>
  <c r="AD219" i="8"/>
  <c r="AD292" i="8"/>
  <c r="AD299" i="8" s="1"/>
  <c r="AD338" i="8" s="1"/>
  <c r="AJ185" i="8"/>
  <c r="AJ290" i="8"/>
  <c r="AJ307" i="8" s="1"/>
  <c r="AJ347" i="8" s="1"/>
  <c r="T274" i="8"/>
  <c r="AJ183" i="8"/>
  <c r="AJ184" i="8" s="1"/>
  <c r="U272" i="8"/>
  <c r="U271" i="8"/>
  <c r="U268" i="8"/>
  <c r="U269" i="8" s="1"/>
  <c r="AE221" i="8"/>
  <c r="AE220" i="8"/>
  <c r="AE217" i="8"/>
  <c r="AE218" i="8" s="1"/>
  <c r="AF215" i="8" s="1"/>
  <c r="AD222" i="8"/>
  <c r="AD316" i="8" s="1"/>
  <c r="AD323" i="8" s="1"/>
  <c r="AD352" i="8" s="1"/>
  <c r="AG202" i="8"/>
  <c r="AG291" i="8"/>
  <c r="AG302" i="8" s="1"/>
  <c r="AG341" i="8" s="1"/>
  <c r="AG200" i="8"/>
  <c r="AG201" i="8" s="1"/>
  <c r="G165" i="4"/>
  <c r="G168" i="4" s="1"/>
  <c r="AB131" i="4"/>
  <c r="AD127" i="4"/>
  <c r="AA287" i="4"/>
  <c r="AA304" i="4" s="1"/>
  <c r="AA344" i="4" s="1"/>
  <c r="AA134" i="4"/>
  <c r="O288" i="4"/>
  <c r="O303" i="4" s="1"/>
  <c r="O343" i="4" s="1"/>
  <c r="O151" i="4"/>
  <c r="Q328" i="4"/>
  <c r="Q357" i="4" s="1"/>
  <c r="E172" i="4"/>
  <c r="E174" i="4" s="1"/>
  <c r="K149" i="4"/>
  <c r="K150" i="4" s="1"/>
  <c r="K154" i="4" s="1"/>
  <c r="J312" i="4"/>
  <c r="J327" i="4" s="1"/>
  <c r="J356" i="4" s="1"/>
  <c r="F289" i="4"/>
  <c r="F166" i="4"/>
  <c r="F167" i="4" s="1"/>
  <c r="F171" i="4" s="1"/>
  <c r="Q138" i="4"/>
  <c r="Q140" i="4" s="1"/>
  <c r="Q141" i="4" s="1"/>
  <c r="Q142" i="4" s="1"/>
  <c r="Q143" i="4" s="1"/>
  <c r="Q144" i="4" s="1"/>
  <c r="P148" i="4" s="1"/>
  <c r="R132" i="4"/>
  <c r="R133" i="4" s="1"/>
  <c r="R137" i="4" s="1"/>
  <c r="R135" i="4"/>
  <c r="R136" i="4"/>
  <c r="E354" i="4"/>
  <c r="J155" i="4"/>
  <c r="J157" i="4" s="1"/>
  <c r="K153" i="4"/>
  <c r="K152" i="4"/>
  <c r="D178" i="4"/>
  <c r="C182" i="4" s="1"/>
  <c r="I161" i="4"/>
  <c r="H165" i="4" s="1"/>
  <c r="AD223" i="8" l="1"/>
  <c r="AD225" i="8" s="1"/>
  <c r="V266" i="8"/>
  <c r="U273" i="8"/>
  <c r="AD226" i="8"/>
  <c r="AD227" i="8" s="1"/>
  <c r="AK181" i="8"/>
  <c r="AJ188" i="8"/>
  <c r="AJ314" i="8" s="1"/>
  <c r="AJ331" i="8" s="1"/>
  <c r="AJ360" i="8" s="1"/>
  <c r="AH198" i="8"/>
  <c r="AG205" i="8"/>
  <c r="AG315" i="8" s="1"/>
  <c r="AG326" i="8" s="1"/>
  <c r="AG355" i="8" s="1"/>
  <c r="Z246" i="8"/>
  <c r="Y250" i="8" s="1"/>
  <c r="AF221" i="8"/>
  <c r="AF220" i="8"/>
  <c r="AI195" i="8"/>
  <c r="X318" i="8"/>
  <c r="X324" i="8" s="1"/>
  <c r="X353" i="8" s="1"/>
  <c r="X257" i="8"/>
  <c r="T276" i="8"/>
  <c r="Y255" i="8"/>
  <c r="Y254" i="8"/>
  <c r="V270" i="8"/>
  <c r="V295" i="8"/>
  <c r="V298" i="8" s="1"/>
  <c r="V337" i="8" s="1"/>
  <c r="AC226" i="8"/>
  <c r="AC227" i="8" s="1"/>
  <c r="AD228" i="8" s="1"/>
  <c r="AB232" i="8"/>
  <c r="AA239" i="8"/>
  <c r="AE219" i="8"/>
  <c r="AE223" i="8" s="1"/>
  <c r="AE292" i="8"/>
  <c r="AE299" i="8" s="1"/>
  <c r="AE338" i="8" s="1"/>
  <c r="AE222" i="8"/>
  <c r="AE316" i="8" s="1"/>
  <c r="AE323" i="8" s="1"/>
  <c r="AE352" i="8" s="1"/>
  <c r="G289" i="4"/>
  <c r="G301" i="4" s="1"/>
  <c r="G340" i="4" s="1"/>
  <c r="AC131" i="4"/>
  <c r="AE127" i="4"/>
  <c r="AB134" i="4"/>
  <c r="AB287" i="4"/>
  <c r="AB304" i="4" s="1"/>
  <c r="AB344" i="4" s="1"/>
  <c r="H289" i="4"/>
  <c r="H168" i="4"/>
  <c r="G164" i="4"/>
  <c r="S130" i="4"/>
  <c r="F301" i="4"/>
  <c r="F340" i="4" s="1"/>
  <c r="C185" i="4"/>
  <c r="L147" i="4"/>
  <c r="J158" i="4"/>
  <c r="J159" i="4" s="1"/>
  <c r="J160" i="4" s="1"/>
  <c r="E175" i="4"/>
  <c r="E176" i="4" s="1"/>
  <c r="E177" i="4" s="1"/>
  <c r="AJ189" i="8" l="1"/>
  <c r="AE225" i="8"/>
  <c r="T277" i="8"/>
  <c r="T278" i="8" s="1"/>
  <c r="T279" i="8" s="1"/>
  <c r="T281" i="8" s="1"/>
  <c r="T334" i="8" s="1"/>
  <c r="AB237" i="8"/>
  <c r="AB238" i="8"/>
  <c r="AC228" i="8"/>
  <c r="AJ191" i="8"/>
  <c r="X259" i="8"/>
  <c r="AH203" i="8"/>
  <c r="AH204" i="8"/>
  <c r="AH199" i="8"/>
  <c r="AK187" i="8"/>
  <c r="AK186" i="8"/>
  <c r="AK182" i="8"/>
  <c r="AG206" i="8"/>
  <c r="Y253" i="8"/>
  <c r="Y294" i="8"/>
  <c r="Y300" i="8" s="1"/>
  <c r="Y339" i="8" s="1"/>
  <c r="Y251" i="8"/>
  <c r="Y252" i="8" s="1"/>
  <c r="U319" i="8"/>
  <c r="U322" i="8" s="1"/>
  <c r="U351" i="8" s="1"/>
  <c r="U274" i="8"/>
  <c r="AA317" i="8"/>
  <c r="AA330" i="8" s="1"/>
  <c r="AA359" i="8" s="1"/>
  <c r="AA240" i="8"/>
  <c r="V272" i="8"/>
  <c r="V271" i="8"/>
  <c r="V268" i="8"/>
  <c r="V269" i="8" s="1"/>
  <c r="AD131" i="4"/>
  <c r="AF127" i="4"/>
  <c r="AC287" i="4"/>
  <c r="AC304" i="4" s="1"/>
  <c r="AC344" i="4" s="1"/>
  <c r="AC134" i="4"/>
  <c r="P288" i="4"/>
  <c r="P303" i="4" s="1"/>
  <c r="P343" i="4" s="1"/>
  <c r="P151" i="4"/>
  <c r="S132" i="4"/>
  <c r="S133" i="4" s="1"/>
  <c r="S137" i="4" s="1"/>
  <c r="G166" i="4"/>
  <c r="G167" i="4" s="1"/>
  <c r="G171" i="4" s="1"/>
  <c r="L149" i="4"/>
  <c r="L150" i="4" s="1"/>
  <c r="M147" i="4" s="1"/>
  <c r="F313" i="4"/>
  <c r="F325" i="4" s="1"/>
  <c r="R311" i="4"/>
  <c r="K312" i="4"/>
  <c r="K327" i="4" s="1"/>
  <c r="K356" i="4" s="1"/>
  <c r="G170" i="4"/>
  <c r="G169" i="4"/>
  <c r="C290" i="4"/>
  <c r="C307" i="4" s="1"/>
  <c r="C347" i="4" s="1"/>
  <c r="F172" i="4"/>
  <c r="F174" i="4" s="1"/>
  <c r="F175" i="4" s="1"/>
  <c r="F176" i="4" s="1"/>
  <c r="F177" i="4" s="1"/>
  <c r="S136" i="4"/>
  <c r="R138" i="4"/>
  <c r="R140" i="4" s="1"/>
  <c r="R141" i="4" s="1"/>
  <c r="R142" i="4" s="1"/>
  <c r="R143" i="4" s="1"/>
  <c r="R144" i="4" s="1"/>
  <c r="Q148" i="4" s="1"/>
  <c r="S135" i="4"/>
  <c r="H301" i="4"/>
  <c r="H340" i="4" s="1"/>
  <c r="C184" i="4"/>
  <c r="C188" i="4" s="1"/>
  <c r="K155" i="4"/>
  <c r="K157" i="4" s="1"/>
  <c r="J161" i="4"/>
  <c r="E178" i="4"/>
  <c r="D182" i="4" s="1"/>
  <c r="L153" i="4"/>
  <c r="L152" i="4"/>
  <c r="T362" i="8" l="1"/>
  <c r="T372" i="8" s="1"/>
  <c r="T380" i="8" s="1"/>
  <c r="T371" i="8"/>
  <c r="T379" i="8" s="1"/>
  <c r="W266" i="8"/>
  <c r="V273" i="8"/>
  <c r="V319" i="8" s="1"/>
  <c r="V322" i="8" s="1"/>
  <c r="V351" i="8" s="1"/>
  <c r="AC229" i="8"/>
  <c r="Z249" i="8"/>
  <c r="Y256" i="8"/>
  <c r="Y318" i="8" s="1"/>
  <c r="Y324" i="8" s="1"/>
  <c r="Y353" i="8" s="1"/>
  <c r="AH200" i="8"/>
  <c r="AH201" i="8" s="1"/>
  <c r="AG208" i="8"/>
  <c r="AK185" i="8"/>
  <c r="AK290" i="8"/>
  <c r="AK307" i="8" s="1"/>
  <c r="AK347" i="8" s="1"/>
  <c r="AK183" i="8"/>
  <c r="AK184" i="8" s="1"/>
  <c r="X260" i="8"/>
  <c r="X261" i="8" s="1"/>
  <c r="X262" i="8" s="1"/>
  <c r="AH202" i="8"/>
  <c r="AH291" i="8"/>
  <c r="AH302" i="8" s="1"/>
  <c r="AH341" i="8" s="1"/>
  <c r="AA242" i="8"/>
  <c r="AE226" i="8"/>
  <c r="AE227" i="8" s="1"/>
  <c r="AE228" i="8" s="1"/>
  <c r="U276" i="8"/>
  <c r="AJ192" i="8"/>
  <c r="AJ193" i="8" s="1"/>
  <c r="AJ194" i="8" s="1"/>
  <c r="I165" i="4"/>
  <c r="I168" i="4" s="1"/>
  <c r="AE131" i="4"/>
  <c r="AG127" i="4"/>
  <c r="AD134" i="4"/>
  <c r="AD287" i="4"/>
  <c r="AD304" i="4" s="1"/>
  <c r="AD344" i="4" s="1"/>
  <c r="Q288" i="4"/>
  <c r="Q303" i="4" s="1"/>
  <c r="Q343" i="4" s="1"/>
  <c r="Q151" i="4"/>
  <c r="R328" i="4"/>
  <c r="R357" i="4" s="1"/>
  <c r="T130" i="4"/>
  <c r="T132" i="4" s="1"/>
  <c r="T133" i="4" s="1"/>
  <c r="T137" i="4" s="1"/>
  <c r="L154" i="4"/>
  <c r="M149" i="4"/>
  <c r="M150" i="4" s="1"/>
  <c r="M154" i="4" s="1"/>
  <c r="S311" i="4"/>
  <c r="H164" i="4"/>
  <c r="S138" i="4"/>
  <c r="S140" i="4" s="1"/>
  <c r="S141" i="4" s="1"/>
  <c r="S142" i="4" s="1"/>
  <c r="S143" i="4" s="1"/>
  <c r="S144" i="4" s="1"/>
  <c r="R148" i="4" s="1"/>
  <c r="F354" i="4"/>
  <c r="D185" i="4"/>
  <c r="D181" i="4"/>
  <c r="F178" i="4"/>
  <c r="E182" i="4" s="1"/>
  <c r="M153" i="4"/>
  <c r="M152" i="4"/>
  <c r="K158" i="4"/>
  <c r="K159" i="4" s="1"/>
  <c r="K160" i="4" s="1"/>
  <c r="V274" i="8" l="1"/>
  <c r="AI198" i="8"/>
  <c r="AH205" i="8"/>
  <c r="X263" i="8"/>
  <c r="W267" i="8" s="1"/>
  <c r="W268" i="8" s="1"/>
  <c r="AL181" i="8"/>
  <c r="AK188" i="8"/>
  <c r="AK314" i="8" s="1"/>
  <c r="AK331" i="8" s="1"/>
  <c r="AK360" i="8" s="1"/>
  <c r="AJ195" i="8"/>
  <c r="AI199" i="8" s="1"/>
  <c r="U277" i="8"/>
  <c r="U278" i="8" s="1"/>
  <c r="U279" i="8" s="1"/>
  <c r="U281" i="8" s="1"/>
  <c r="U334" i="8" s="1"/>
  <c r="W272" i="8"/>
  <c r="W271" i="8"/>
  <c r="Y257" i="8"/>
  <c r="V276" i="8"/>
  <c r="Z255" i="8"/>
  <c r="Z254" i="8"/>
  <c r="AB233" i="8"/>
  <c r="AD229" i="8"/>
  <c r="AE229" i="8" s="1"/>
  <c r="AA243" i="8"/>
  <c r="AA244" i="8" s="1"/>
  <c r="AA245" i="8" s="1"/>
  <c r="AG209" i="8"/>
  <c r="AG210" i="8" s="1"/>
  <c r="AG211" i="8" s="1"/>
  <c r="I289" i="4"/>
  <c r="I301" i="4" s="1"/>
  <c r="I340" i="4" s="1"/>
  <c r="AF131" i="4"/>
  <c r="AH127" i="4"/>
  <c r="AE287" i="4"/>
  <c r="AE304" i="4" s="1"/>
  <c r="AE344" i="4" s="1"/>
  <c r="AE134" i="4"/>
  <c r="R288" i="4"/>
  <c r="R303" i="4" s="1"/>
  <c r="R343" i="4" s="1"/>
  <c r="R151" i="4"/>
  <c r="S328" i="4"/>
  <c r="S357" i="4" s="1"/>
  <c r="T136" i="4"/>
  <c r="T135" i="4"/>
  <c r="H166" i="4"/>
  <c r="H167" i="4" s="1"/>
  <c r="I164" i="4" s="1"/>
  <c r="G313" i="4"/>
  <c r="L312" i="4"/>
  <c r="L327" i="4" s="1"/>
  <c r="L356" i="4" s="1"/>
  <c r="C189" i="4"/>
  <c r="C191" i="4" s="1"/>
  <c r="C314" i="4"/>
  <c r="C331" i="4" s="1"/>
  <c r="C360" i="4" s="1"/>
  <c r="H169" i="4"/>
  <c r="H170" i="4"/>
  <c r="D290" i="4"/>
  <c r="D307" i="4" s="1"/>
  <c r="D347" i="4" s="1"/>
  <c r="G172" i="4"/>
  <c r="G174" i="4" s="1"/>
  <c r="G175" i="4" s="1"/>
  <c r="G176" i="4" s="1"/>
  <c r="G177" i="4" s="1"/>
  <c r="G178" i="4" s="1"/>
  <c r="F182" i="4" s="1"/>
  <c r="D183" i="4"/>
  <c r="D184" i="4" s="1"/>
  <c r="E181" i="4" s="1"/>
  <c r="U130" i="4"/>
  <c r="T311" i="4"/>
  <c r="D187" i="4"/>
  <c r="D186" i="4"/>
  <c r="L155" i="4"/>
  <c r="L157" i="4" s="1"/>
  <c r="K161" i="4"/>
  <c r="N147" i="4"/>
  <c r="U371" i="8" l="1"/>
  <c r="U379" i="8" s="1"/>
  <c r="U362" i="8"/>
  <c r="U372" i="8" s="1"/>
  <c r="U380" i="8" s="1"/>
  <c r="AG212" i="8"/>
  <c r="AF216" i="8" s="1"/>
  <c r="AA246" i="8"/>
  <c r="Z250" i="8" s="1"/>
  <c r="AI202" i="8"/>
  <c r="AI291" i="8"/>
  <c r="AI302" i="8" s="1"/>
  <c r="AI341" i="8" s="1"/>
  <c r="W270" i="8"/>
  <c r="W295" i="8"/>
  <c r="W298" i="8" s="1"/>
  <c r="W337" i="8" s="1"/>
  <c r="V277" i="8"/>
  <c r="V278" i="8" s="1"/>
  <c r="V279" i="8" s="1"/>
  <c r="V281" i="8" s="1"/>
  <c r="V334" i="8" s="1"/>
  <c r="AB236" i="8"/>
  <c r="AB293" i="8"/>
  <c r="AB306" i="8" s="1"/>
  <c r="AB346" i="8" s="1"/>
  <c r="AB234" i="8"/>
  <c r="AB235" i="8" s="1"/>
  <c r="AI204" i="8"/>
  <c r="AI200" i="8"/>
  <c r="AI201" i="8" s="1"/>
  <c r="AI203" i="8"/>
  <c r="AL187" i="8"/>
  <c r="AL186" i="8"/>
  <c r="AL182" i="8"/>
  <c r="AL183" i="8" s="1"/>
  <c r="W269" i="8"/>
  <c r="Y259" i="8"/>
  <c r="AH315" i="8"/>
  <c r="AH326" i="8" s="1"/>
  <c r="AH355" i="8" s="1"/>
  <c r="AH206" i="8"/>
  <c r="AK189" i="8"/>
  <c r="J165" i="4"/>
  <c r="J168" i="4" s="1"/>
  <c r="AG131" i="4"/>
  <c r="AG134" i="4" s="1"/>
  <c r="AI127" i="4"/>
  <c r="AF287" i="4"/>
  <c r="AF304" i="4" s="1"/>
  <c r="AF344" i="4" s="1"/>
  <c r="AF134" i="4"/>
  <c r="E290" i="4"/>
  <c r="E307" i="4" s="1"/>
  <c r="E347" i="4" s="1"/>
  <c r="E185" i="4"/>
  <c r="T328" i="4"/>
  <c r="T357" i="4" s="1"/>
  <c r="G325" i="4"/>
  <c r="G354" i="4" s="1"/>
  <c r="I166" i="4"/>
  <c r="I167" i="4" s="1"/>
  <c r="J164" i="4" s="1"/>
  <c r="H171" i="4"/>
  <c r="H172" i="4" s="1"/>
  <c r="N149" i="4"/>
  <c r="N150" i="4" s="1"/>
  <c r="O147" i="4" s="1"/>
  <c r="D188" i="4"/>
  <c r="I169" i="4"/>
  <c r="I170" i="4"/>
  <c r="M312" i="4"/>
  <c r="M327" i="4" s="1"/>
  <c r="M356" i="4" s="1"/>
  <c r="E183" i="4"/>
  <c r="E184" i="4" s="1"/>
  <c r="F181" i="4" s="1"/>
  <c r="T138" i="4"/>
  <c r="T140" i="4" s="1"/>
  <c r="T141" i="4" s="1"/>
  <c r="T142" i="4" s="1"/>
  <c r="T143" i="4" s="1"/>
  <c r="T144" i="4" s="1"/>
  <c r="S148" i="4" s="1"/>
  <c r="U132" i="4"/>
  <c r="U133" i="4" s="1"/>
  <c r="V130" i="4" s="1"/>
  <c r="U136" i="4"/>
  <c r="U135" i="4"/>
  <c r="E187" i="4"/>
  <c r="E186" i="4"/>
  <c r="F185" i="4"/>
  <c r="C192" i="4"/>
  <c r="C193" i="4" s="1"/>
  <c r="C194" i="4" s="1"/>
  <c r="M155" i="4"/>
  <c r="M157" i="4" s="1"/>
  <c r="M158" i="4" s="1"/>
  <c r="M159" i="4" s="1"/>
  <c r="L158" i="4"/>
  <c r="L159" i="4" s="1"/>
  <c r="N152" i="4"/>
  <c r="N153" i="4"/>
  <c r="AC232" i="8" l="1"/>
  <c r="AB239" i="8"/>
  <c r="AB317" i="8" s="1"/>
  <c r="AB330" i="8" s="1"/>
  <c r="AB359" i="8" s="1"/>
  <c r="AJ198" i="8"/>
  <c r="AI205" i="8"/>
  <c r="AI315" i="8" s="1"/>
  <c r="AI326" i="8" s="1"/>
  <c r="AI355" i="8" s="1"/>
  <c r="V371" i="8"/>
  <c r="V379" i="8" s="1"/>
  <c r="V362" i="8"/>
  <c r="V372" i="8" s="1"/>
  <c r="V380" i="8" s="1"/>
  <c r="AL185" i="8"/>
  <c r="AM290" i="8"/>
  <c r="AM307" i="8" s="1"/>
  <c r="AM347" i="8" s="1"/>
  <c r="AL290" i="8"/>
  <c r="AL307" i="8" s="1"/>
  <c r="AL347" i="8" s="1"/>
  <c r="Z253" i="8"/>
  <c r="Z294" i="8"/>
  <c r="Z300" i="8" s="1"/>
  <c r="Z339" i="8" s="1"/>
  <c r="Z251" i="8"/>
  <c r="Z252" i="8" s="1"/>
  <c r="AL184" i="8"/>
  <c r="Y260" i="8"/>
  <c r="Y261" i="8" s="1"/>
  <c r="Y262" i="8" s="1"/>
  <c r="AF219" i="8"/>
  <c r="AF292" i="8"/>
  <c r="AF299" i="8" s="1"/>
  <c r="AF338" i="8" s="1"/>
  <c r="AF217" i="8"/>
  <c r="AF218" i="8" s="1"/>
  <c r="AK191" i="8"/>
  <c r="X266" i="8"/>
  <c r="W273" i="8"/>
  <c r="W319" i="8" s="1"/>
  <c r="W322" i="8" s="1"/>
  <c r="W351" i="8" s="1"/>
  <c r="AH208" i="8"/>
  <c r="J166" i="4"/>
  <c r="J167" i="4" s="1"/>
  <c r="J171" i="4" s="1"/>
  <c r="J289" i="4"/>
  <c r="J301" i="4" s="1"/>
  <c r="J340" i="4" s="1"/>
  <c r="AG287" i="4"/>
  <c r="AG304" i="4" s="1"/>
  <c r="AG344" i="4" s="1"/>
  <c r="AH131" i="4"/>
  <c r="AJ127" i="4"/>
  <c r="S288" i="4"/>
  <c r="S303" i="4" s="1"/>
  <c r="S343" i="4" s="1"/>
  <c r="S151" i="4"/>
  <c r="J169" i="4"/>
  <c r="J170" i="4"/>
  <c r="O149" i="4"/>
  <c r="O150" i="4" s="1"/>
  <c r="O154" i="4" s="1"/>
  <c r="N154" i="4"/>
  <c r="E188" i="4"/>
  <c r="E189" i="4" s="1"/>
  <c r="U137" i="4"/>
  <c r="H313" i="4"/>
  <c r="I171" i="4"/>
  <c r="I172" i="4" s="1"/>
  <c r="I174" i="4" s="1"/>
  <c r="I175" i="4" s="1"/>
  <c r="I176" i="4" s="1"/>
  <c r="D189" i="4"/>
  <c r="D191" i="4" s="1"/>
  <c r="D314" i="4"/>
  <c r="F290" i="4"/>
  <c r="F307" i="4" s="1"/>
  <c r="F347" i="4" s="1"/>
  <c r="H174" i="4"/>
  <c r="H175" i="4" s="1"/>
  <c r="H176" i="4" s="1"/>
  <c r="H177" i="4" s="1"/>
  <c r="F183" i="4"/>
  <c r="F184" i="4" s="1"/>
  <c r="G181" i="4" s="1"/>
  <c r="V132" i="4"/>
  <c r="V133" i="4" s="1"/>
  <c r="V137" i="4" s="1"/>
  <c r="V136" i="4"/>
  <c r="V135" i="4"/>
  <c r="C195" i="4"/>
  <c r="F186" i="4"/>
  <c r="F187" i="4"/>
  <c r="M160" i="4"/>
  <c r="L160" i="4"/>
  <c r="O153" i="4"/>
  <c r="O152" i="4"/>
  <c r="AI206" i="8" l="1"/>
  <c r="AI208" i="8" s="1"/>
  <c r="AB240" i="8"/>
  <c r="AB242" i="8" s="1"/>
  <c r="AG215" i="8"/>
  <c r="AF222" i="8"/>
  <c r="AF316" i="8" s="1"/>
  <c r="AF323" i="8" s="1"/>
  <c r="AF352" i="8" s="1"/>
  <c r="AI209" i="8"/>
  <c r="AI210" i="8" s="1"/>
  <c r="AA249" i="8"/>
  <c r="Z256" i="8"/>
  <c r="Z318" i="8" s="1"/>
  <c r="Z324" i="8" s="1"/>
  <c r="Z353" i="8" s="1"/>
  <c r="Y263" i="8"/>
  <c r="X267" i="8" s="1"/>
  <c r="AH209" i="8"/>
  <c r="AH210" i="8" s="1"/>
  <c r="AH211" i="8" s="1"/>
  <c r="AJ203" i="8"/>
  <c r="AJ204" i="8"/>
  <c r="AM181" i="8"/>
  <c r="AL188" i="8"/>
  <c r="AL314" i="8" s="1"/>
  <c r="AL331" i="8" s="1"/>
  <c r="AL360" i="8" s="1"/>
  <c r="W274" i="8"/>
  <c r="AK192" i="8"/>
  <c r="AK193" i="8" s="1"/>
  <c r="AK194" i="8" s="1"/>
  <c r="X271" i="8"/>
  <c r="X272" i="8"/>
  <c r="AC238" i="8"/>
  <c r="AC237" i="8"/>
  <c r="AC233" i="8"/>
  <c r="K164" i="4"/>
  <c r="K170" i="4" s="1"/>
  <c r="AI131" i="4"/>
  <c r="AK127" i="4"/>
  <c r="AH287" i="4"/>
  <c r="AH304" i="4" s="1"/>
  <c r="AH344" i="4" s="1"/>
  <c r="AH134" i="4"/>
  <c r="D331" i="4"/>
  <c r="D360" i="4" s="1"/>
  <c r="H325" i="4"/>
  <c r="H354" i="4" s="1"/>
  <c r="J313" i="4"/>
  <c r="J325" i="4" s="1"/>
  <c r="F188" i="4"/>
  <c r="F314" i="4" s="1"/>
  <c r="I313" i="4"/>
  <c r="U311" i="4"/>
  <c r="N312" i="4"/>
  <c r="N327" i="4" s="1"/>
  <c r="N356" i="4" s="1"/>
  <c r="E314" i="4"/>
  <c r="U138" i="4"/>
  <c r="U140" i="4" s="1"/>
  <c r="U141" i="4" s="1"/>
  <c r="U142" i="4" s="1"/>
  <c r="U143" i="4" s="1"/>
  <c r="U144" i="4" s="1"/>
  <c r="T148" i="4" s="1"/>
  <c r="W130" i="4"/>
  <c r="V311" i="4"/>
  <c r="E191" i="4"/>
  <c r="D192" i="4"/>
  <c r="D193" i="4" s="1"/>
  <c r="D194" i="4" s="1"/>
  <c r="G187" i="4"/>
  <c r="G186" i="4"/>
  <c r="N155" i="4"/>
  <c r="N157" i="4" s="1"/>
  <c r="I177" i="4"/>
  <c r="P147" i="4"/>
  <c r="J172" i="4"/>
  <c r="L161" i="4"/>
  <c r="K165" i="4" s="1"/>
  <c r="H178" i="4"/>
  <c r="AF223" i="8" l="1"/>
  <c r="AF225" i="8" s="1"/>
  <c r="AI211" i="8"/>
  <c r="AK195" i="8"/>
  <c r="AJ199" i="8" s="1"/>
  <c r="X270" i="8"/>
  <c r="X295" i="8"/>
  <c r="X298" i="8" s="1"/>
  <c r="X337" i="8" s="1"/>
  <c r="X268" i="8"/>
  <c r="X269" i="8" s="1"/>
  <c r="W276" i="8"/>
  <c r="AH212" i="8"/>
  <c r="AG216" i="8" s="1"/>
  <c r="AA255" i="8"/>
  <c r="AA254" i="8"/>
  <c r="AM186" i="8"/>
  <c r="AM187" i="8"/>
  <c r="AM183" i="8"/>
  <c r="AM184" i="8" s="1"/>
  <c r="AM188" i="8" s="1"/>
  <c r="AM314" i="8" s="1"/>
  <c r="AM331" i="8" s="1"/>
  <c r="AM360" i="8" s="1"/>
  <c r="Z257" i="8"/>
  <c r="AB243" i="8"/>
  <c r="AB244" i="8" s="1"/>
  <c r="AB245" i="8" s="1"/>
  <c r="AC236" i="8"/>
  <c r="AC293" i="8"/>
  <c r="AC306" i="8" s="1"/>
  <c r="AC346" i="8" s="1"/>
  <c r="AL189" i="8"/>
  <c r="AL191" i="8" s="1"/>
  <c r="AC234" i="8"/>
  <c r="AC235" i="8" s="1"/>
  <c r="AG220" i="8"/>
  <c r="AG221" i="8"/>
  <c r="K169" i="4"/>
  <c r="G182" i="4"/>
  <c r="G185" i="4" s="1"/>
  <c r="AJ131" i="4"/>
  <c r="AL127" i="4"/>
  <c r="AI287" i="4"/>
  <c r="AI304" i="4" s="1"/>
  <c r="AI344" i="4" s="1"/>
  <c r="AI134" i="4"/>
  <c r="T288" i="4"/>
  <c r="T303" i="4" s="1"/>
  <c r="T343" i="4" s="1"/>
  <c r="T151" i="4"/>
  <c r="V328" i="4"/>
  <c r="V357" i="4" s="1"/>
  <c r="F331" i="4"/>
  <c r="F360" i="4" s="1"/>
  <c r="E331" i="4"/>
  <c r="E360" i="4" s="1"/>
  <c r="U328" i="4"/>
  <c r="U357" i="4" s="1"/>
  <c r="I325" i="4"/>
  <c r="I354" i="4" s="1"/>
  <c r="F189" i="4"/>
  <c r="F191" i="4" s="1"/>
  <c r="O312" i="4"/>
  <c r="O327" i="4" s="1"/>
  <c r="O356" i="4" s="1"/>
  <c r="P153" i="4"/>
  <c r="P149" i="4"/>
  <c r="P150" i="4" s="1"/>
  <c r="Q147" i="4" s="1"/>
  <c r="V138" i="4"/>
  <c r="V140" i="4" s="1"/>
  <c r="V141" i="4" s="1"/>
  <c r="V142" i="4" s="1"/>
  <c r="V143" i="4" s="1"/>
  <c r="V144" i="4" s="1"/>
  <c r="U148" i="4" s="1"/>
  <c r="W132" i="4"/>
  <c r="W133" i="4" s="1"/>
  <c r="W137" i="4" s="1"/>
  <c r="W136" i="4"/>
  <c r="W135" i="4"/>
  <c r="J354" i="4"/>
  <c r="D195" i="4"/>
  <c r="E192" i="4"/>
  <c r="E193" i="4" s="1"/>
  <c r="E194" i="4" s="1"/>
  <c r="O155" i="4"/>
  <c r="O157" i="4" s="1"/>
  <c r="O158" i="4" s="1"/>
  <c r="O159" i="4" s="1"/>
  <c r="P152" i="4"/>
  <c r="I178" i="4"/>
  <c r="H182" i="4" s="1"/>
  <c r="J174" i="4"/>
  <c r="M161" i="4"/>
  <c r="N158" i="4"/>
  <c r="N159" i="4" s="1"/>
  <c r="AI212" i="8" l="1"/>
  <c r="AM189" i="8"/>
  <c r="AM191" i="8" s="1"/>
  <c r="AM192" i="8" s="1"/>
  <c r="AM193" i="8" s="1"/>
  <c r="Y266" i="8"/>
  <c r="X273" i="8"/>
  <c r="AB246" i="8"/>
  <c r="AA250" i="8" s="1"/>
  <c r="AL192" i="8"/>
  <c r="AL193" i="8" s="1"/>
  <c r="AL194" i="8" s="1"/>
  <c r="AD232" i="8"/>
  <c r="AC239" i="8"/>
  <c r="AJ202" i="8"/>
  <c r="AJ291" i="8"/>
  <c r="AJ302" i="8" s="1"/>
  <c r="AJ341" i="8" s="1"/>
  <c r="AJ200" i="8"/>
  <c r="AJ201" i="8" s="1"/>
  <c r="AF226" i="8"/>
  <c r="AF227" i="8" s="1"/>
  <c r="AF228" i="8" s="1"/>
  <c r="AG219" i="8"/>
  <c r="AG292" i="8"/>
  <c r="AG299" i="8" s="1"/>
  <c r="AG338" i="8" s="1"/>
  <c r="Z259" i="8"/>
  <c r="AG217" i="8"/>
  <c r="AG218" i="8" s="1"/>
  <c r="W277" i="8"/>
  <c r="W278" i="8" s="1"/>
  <c r="W279" i="8" s="1"/>
  <c r="W281" i="8" s="1"/>
  <c r="W334" i="8" s="1"/>
  <c r="G290" i="4"/>
  <c r="G307" i="4" s="1"/>
  <c r="G347" i="4" s="1"/>
  <c r="G183" i="4"/>
  <c r="G184" i="4" s="1"/>
  <c r="G188" i="4" s="1"/>
  <c r="C199" i="4"/>
  <c r="C202" i="4" s="1"/>
  <c r="L165" i="4"/>
  <c r="L168" i="4" s="1"/>
  <c r="AK131" i="4"/>
  <c r="AM127" i="4"/>
  <c r="AJ134" i="4"/>
  <c r="AJ287" i="4"/>
  <c r="AJ304" i="4" s="1"/>
  <c r="AJ344" i="4" s="1"/>
  <c r="K289" i="4"/>
  <c r="K168" i="4"/>
  <c r="U288" i="4"/>
  <c r="U303" i="4" s="1"/>
  <c r="U343" i="4" s="1"/>
  <c r="U151" i="4"/>
  <c r="Q149" i="4"/>
  <c r="Q150" i="4" s="1"/>
  <c r="R147" i="4" s="1"/>
  <c r="P154" i="4"/>
  <c r="K166" i="4"/>
  <c r="X130" i="4"/>
  <c r="E195" i="4"/>
  <c r="H185" i="4"/>
  <c r="F192" i="4"/>
  <c r="F193" i="4" s="1"/>
  <c r="F194" i="4" s="1"/>
  <c r="O160" i="4"/>
  <c r="N160" i="4"/>
  <c r="N161" i="4" s="1"/>
  <c r="M165" i="4" s="1"/>
  <c r="J175" i="4"/>
  <c r="J176" i="4" s="1"/>
  <c r="J177" i="4" s="1"/>
  <c r="Q153" i="4"/>
  <c r="Q152" i="4"/>
  <c r="AM194" i="8" l="1"/>
  <c r="AK198" i="8"/>
  <c r="AJ205" i="8"/>
  <c r="AJ315" i="8" s="1"/>
  <c r="AJ326" i="8" s="1"/>
  <c r="AJ355" i="8" s="1"/>
  <c r="AL195" i="8"/>
  <c r="AH215" i="8"/>
  <c r="AG222" i="8"/>
  <c r="AG316" i="8" s="1"/>
  <c r="AG323" i="8" s="1"/>
  <c r="AG352" i="8" s="1"/>
  <c r="Z260" i="8"/>
  <c r="Z261" i="8" s="1"/>
  <c r="Z262" i="8" s="1"/>
  <c r="AC317" i="8"/>
  <c r="AC330" i="8" s="1"/>
  <c r="AC359" i="8" s="1"/>
  <c r="AC240" i="8"/>
  <c r="AA253" i="8"/>
  <c r="AA294" i="8"/>
  <c r="AA300" i="8" s="1"/>
  <c r="AA339" i="8" s="1"/>
  <c r="AA251" i="8"/>
  <c r="AA252" i="8" s="1"/>
  <c r="AF229" i="8"/>
  <c r="X319" i="8"/>
  <c r="X322" i="8" s="1"/>
  <c r="X351" i="8" s="1"/>
  <c r="X274" i="8"/>
  <c r="AD237" i="8"/>
  <c r="AD238" i="8"/>
  <c r="AD233" i="8"/>
  <c r="W371" i="8"/>
  <c r="W379" i="8" s="1"/>
  <c r="W362" i="8"/>
  <c r="W372" i="8" s="1"/>
  <c r="W380" i="8" s="1"/>
  <c r="Y271" i="8"/>
  <c r="Y272" i="8"/>
  <c r="L289" i="4"/>
  <c r="L301" i="4" s="1"/>
  <c r="L340" i="4" s="1"/>
  <c r="C291" i="4"/>
  <c r="C302" i="4" s="1"/>
  <c r="C341" i="4" s="1"/>
  <c r="H181" i="4"/>
  <c r="H183" i="4" s="1"/>
  <c r="H184" i="4" s="1"/>
  <c r="H188" i="4" s="1"/>
  <c r="C201" i="4"/>
  <c r="C205" i="4" s="1"/>
  <c r="D199" i="4"/>
  <c r="D202" i="4" s="1"/>
  <c r="AL131" i="4"/>
  <c r="AL134" i="4" s="1"/>
  <c r="AK287" i="4"/>
  <c r="AK304" i="4" s="1"/>
  <c r="AK344" i="4" s="1"/>
  <c r="AK134" i="4"/>
  <c r="M289" i="4"/>
  <c r="M168" i="4"/>
  <c r="R149" i="4"/>
  <c r="R150" i="4" s="1"/>
  <c r="R154" i="4" s="1"/>
  <c r="Q154" i="4"/>
  <c r="W311" i="4"/>
  <c r="P312" i="4"/>
  <c r="P327" i="4" s="1"/>
  <c r="P356" i="4" s="1"/>
  <c r="G189" i="4"/>
  <c r="G191" i="4" s="1"/>
  <c r="G314" i="4"/>
  <c r="H290" i="4"/>
  <c r="H307" i="4" s="1"/>
  <c r="H347" i="4" s="1"/>
  <c r="K167" i="4"/>
  <c r="X132" i="4"/>
  <c r="X133" i="4" s="1"/>
  <c r="X137" i="4" s="1"/>
  <c r="X136" i="4"/>
  <c r="X135" i="4"/>
  <c r="W138" i="4"/>
  <c r="W140" i="4" s="1"/>
  <c r="W141" i="4" s="1"/>
  <c r="W142" i="4" s="1"/>
  <c r="W143" i="4" s="1"/>
  <c r="W144" i="4" s="1"/>
  <c r="V148" i="4" s="1"/>
  <c r="K301" i="4"/>
  <c r="K340" i="4" s="1"/>
  <c r="F195" i="4"/>
  <c r="E199" i="4" s="1"/>
  <c r="P155" i="4"/>
  <c r="P157" i="4" s="1"/>
  <c r="P158" i="4" s="1"/>
  <c r="P159" i="4" s="1"/>
  <c r="P160" i="4" s="1"/>
  <c r="O161" i="4"/>
  <c r="N165" i="4" s="1"/>
  <c r="R152" i="4"/>
  <c r="R153" i="4"/>
  <c r="J178" i="4"/>
  <c r="I182" i="4" s="1"/>
  <c r="AK199" i="8" l="1"/>
  <c r="AM195" i="8"/>
  <c r="AJ206" i="8"/>
  <c r="AJ208" i="8" s="1"/>
  <c r="AB249" i="8"/>
  <c r="AA256" i="8"/>
  <c r="X276" i="8"/>
  <c r="AH221" i="8"/>
  <c r="AH220" i="8"/>
  <c r="AH216" i="8"/>
  <c r="AK202" i="8"/>
  <c r="AK291" i="8"/>
  <c r="AK302" i="8" s="1"/>
  <c r="AK341" i="8" s="1"/>
  <c r="Z263" i="8"/>
  <c r="Y267" i="8" s="1"/>
  <c r="AG223" i="8"/>
  <c r="AD236" i="8"/>
  <c r="AD293" i="8"/>
  <c r="AD306" i="8" s="1"/>
  <c r="AD346" i="8" s="1"/>
  <c r="AD234" i="8"/>
  <c r="AD235" i="8" s="1"/>
  <c r="AC242" i="8"/>
  <c r="AK204" i="8"/>
  <c r="AK200" i="8"/>
  <c r="AK201" i="8" s="1"/>
  <c r="AL198" i="8" s="1"/>
  <c r="AK203" i="8"/>
  <c r="D291" i="4"/>
  <c r="D302" i="4" s="1"/>
  <c r="D341" i="4" s="1"/>
  <c r="H186" i="4"/>
  <c r="H187" i="4"/>
  <c r="D198" i="4"/>
  <c r="D200" i="4" s="1"/>
  <c r="D201" i="4" s="1"/>
  <c r="E198" i="4" s="1"/>
  <c r="AM287" i="4"/>
  <c r="AM304" i="4" s="1"/>
  <c r="AM344" i="4" s="1"/>
  <c r="AL287" i="4"/>
  <c r="AL304" i="4" s="1"/>
  <c r="AL344" i="4" s="1"/>
  <c r="E291" i="4"/>
  <c r="E302" i="4" s="1"/>
  <c r="E341" i="4" s="1"/>
  <c r="E202" i="4"/>
  <c r="N289" i="4"/>
  <c r="N168" i="4"/>
  <c r="V288" i="4"/>
  <c r="V303" i="4" s="1"/>
  <c r="V343" i="4" s="1"/>
  <c r="V151" i="4"/>
  <c r="W328" i="4"/>
  <c r="W357" i="4" s="1"/>
  <c r="G331" i="4"/>
  <c r="G360" i="4" s="1"/>
  <c r="L164" i="4"/>
  <c r="L169" i="4" s="1"/>
  <c r="K171" i="4"/>
  <c r="K172" i="4" s="1"/>
  <c r="K174" i="4" s="1"/>
  <c r="Q312" i="4"/>
  <c r="Q327" i="4" s="1"/>
  <c r="Q356" i="4" s="1"/>
  <c r="C206" i="4"/>
  <c r="C208" i="4" s="1"/>
  <c r="C315" i="4"/>
  <c r="C326" i="4" s="1"/>
  <c r="C355" i="4" s="1"/>
  <c r="Y130" i="4"/>
  <c r="X311" i="4"/>
  <c r="M301" i="4"/>
  <c r="M340" i="4" s="1"/>
  <c r="I181" i="4"/>
  <c r="G192" i="4"/>
  <c r="G193" i="4" s="1"/>
  <c r="G194" i="4" s="1"/>
  <c r="S147" i="4"/>
  <c r="P161" i="4"/>
  <c r="O165" i="4" s="1"/>
  <c r="Q155" i="4"/>
  <c r="AL199" i="8" l="1"/>
  <c r="AL200" i="8" s="1"/>
  <c r="AL201" i="8" s="1"/>
  <c r="AE232" i="8"/>
  <c r="AD239" i="8"/>
  <c r="AD317" i="8" s="1"/>
  <c r="AD330" i="8" s="1"/>
  <c r="AD359" i="8" s="1"/>
  <c r="AL204" i="8"/>
  <c r="AL203" i="8"/>
  <c r="AH219" i="8"/>
  <c r="AH292" i="8"/>
  <c r="AH299" i="8" s="1"/>
  <c r="AH338" i="8" s="1"/>
  <c r="AJ209" i="8"/>
  <c r="AJ210" i="8" s="1"/>
  <c r="AJ211" i="8" s="1"/>
  <c r="X277" i="8"/>
  <c r="X278" i="8" s="1"/>
  <c r="X279" i="8" s="1"/>
  <c r="X281" i="8" s="1"/>
  <c r="X334" i="8" s="1"/>
  <c r="AG225" i="8"/>
  <c r="AK205" i="8"/>
  <c r="AK315" i="8" s="1"/>
  <c r="AK326" i="8" s="1"/>
  <c r="AK355" i="8" s="1"/>
  <c r="AC243" i="8"/>
  <c r="AC244" i="8" s="1"/>
  <c r="AC245" i="8" s="1"/>
  <c r="AA318" i="8"/>
  <c r="AA324" i="8" s="1"/>
  <c r="AA353" i="8" s="1"/>
  <c r="AA257" i="8"/>
  <c r="AH217" i="8"/>
  <c r="AH218" i="8" s="1"/>
  <c r="Y270" i="8"/>
  <c r="Y295" i="8"/>
  <c r="Y298" i="8" s="1"/>
  <c r="Y337" i="8" s="1"/>
  <c r="Y268" i="8"/>
  <c r="Y269" i="8" s="1"/>
  <c r="AB255" i="8"/>
  <c r="AB254" i="8"/>
  <c r="D203" i="4"/>
  <c r="D204" i="4"/>
  <c r="I290" i="4"/>
  <c r="I307" i="4" s="1"/>
  <c r="I347" i="4" s="1"/>
  <c r="I185" i="4"/>
  <c r="O289" i="4"/>
  <c r="O168" i="4"/>
  <c r="X328" i="4"/>
  <c r="X357" i="4" s="1"/>
  <c r="K313" i="4"/>
  <c r="E200" i="4"/>
  <c r="E201" i="4" s="1"/>
  <c r="F198" i="4" s="1"/>
  <c r="L166" i="4"/>
  <c r="L167" i="4" s="1"/>
  <c r="L171" i="4" s="1"/>
  <c r="L313" i="4" s="1"/>
  <c r="L325" i="4" s="1"/>
  <c r="D205" i="4"/>
  <c r="L170" i="4"/>
  <c r="H189" i="4"/>
  <c r="H191" i="4" s="1"/>
  <c r="H314" i="4"/>
  <c r="R312" i="4"/>
  <c r="R327" i="4" s="1"/>
  <c r="R356" i="4" s="1"/>
  <c r="I183" i="4"/>
  <c r="I184" i="4" s="1"/>
  <c r="I188" i="4" s="1"/>
  <c r="S149" i="4"/>
  <c r="S150" i="4" s="1"/>
  <c r="S154" i="4" s="1"/>
  <c r="X138" i="4"/>
  <c r="X140" i="4" s="1"/>
  <c r="X141" i="4" s="1"/>
  <c r="X142" i="4" s="1"/>
  <c r="X143" i="4" s="1"/>
  <c r="X144" i="4" s="1"/>
  <c r="W148" i="4" s="1"/>
  <c r="Y132" i="4"/>
  <c r="Y133" i="4" s="1"/>
  <c r="Y137" i="4" s="1"/>
  <c r="Y136" i="4"/>
  <c r="Y135" i="4"/>
  <c r="N301" i="4"/>
  <c r="N340" i="4" s="1"/>
  <c r="E203" i="4"/>
  <c r="E204" i="4"/>
  <c r="G195" i="4"/>
  <c r="C209" i="4"/>
  <c r="C210" i="4" s="1"/>
  <c r="C211" i="4" s="1"/>
  <c r="I186" i="4"/>
  <c r="I187" i="4"/>
  <c r="R155" i="4"/>
  <c r="R157" i="4" s="1"/>
  <c r="S152" i="4"/>
  <c r="S153" i="4"/>
  <c r="Q157" i="4"/>
  <c r="K175" i="4"/>
  <c r="K176" i="4" s="1"/>
  <c r="K177" i="4" s="1"/>
  <c r="AL291" i="8" l="1"/>
  <c r="AL302" i="8" s="1"/>
  <c r="AL341" i="8" s="1"/>
  <c r="AM291" i="8"/>
  <c r="AM302" i="8" s="1"/>
  <c r="AM341" i="8" s="1"/>
  <c r="AL202" i="8"/>
  <c r="AD240" i="8"/>
  <c r="AI215" i="8"/>
  <c r="AH222" i="8"/>
  <c r="AM198" i="8"/>
  <c r="AL205" i="8"/>
  <c r="AL315" i="8" s="1"/>
  <c r="AL326" i="8" s="1"/>
  <c r="AL355" i="8" s="1"/>
  <c r="AC246" i="8"/>
  <c r="AB250" i="8" s="1"/>
  <c r="Z266" i="8"/>
  <c r="Y273" i="8"/>
  <c r="AG226" i="8"/>
  <c r="AG227" i="8" s="1"/>
  <c r="AG228" i="8" s="1"/>
  <c r="AJ212" i="8"/>
  <c r="X362" i="8"/>
  <c r="X372" i="8" s="1"/>
  <c r="X380" i="8" s="1"/>
  <c r="X371" i="8"/>
  <c r="X379" i="8" s="1"/>
  <c r="AA259" i="8"/>
  <c r="AE237" i="8"/>
  <c r="AE238" i="8"/>
  <c r="AE233" i="8"/>
  <c r="AE234" i="8" s="1"/>
  <c r="AD242" i="8"/>
  <c r="AK206" i="8"/>
  <c r="F199" i="4"/>
  <c r="F202" i="4" s="1"/>
  <c r="W288" i="4"/>
  <c r="W303" i="4" s="1"/>
  <c r="W343" i="4" s="1"/>
  <c r="W151" i="4"/>
  <c r="H331" i="4"/>
  <c r="H360" i="4" s="1"/>
  <c r="K325" i="4"/>
  <c r="K354" i="4" s="1"/>
  <c r="M164" i="4"/>
  <c r="M170" i="4" s="1"/>
  <c r="E205" i="4"/>
  <c r="E206" i="4" s="1"/>
  <c r="D206" i="4"/>
  <c r="D208" i="4" s="1"/>
  <c r="D315" i="4"/>
  <c r="D326" i="4" s="1"/>
  <c r="L354" i="4"/>
  <c r="Z130" i="4"/>
  <c r="Y138" i="4"/>
  <c r="Y140" i="4" s="1"/>
  <c r="Y141" i="4" s="1"/>
  <c r="Y142" i="4" s="1"/>
  <c r="Y143" i="4" s="1"/>
  <c r="Y144" i="4" s="1"/>
  <c r="X148" i="4" s="1"/>
  <c r="T147" i="4"/>
  <c r="O301" i="4"/>
  <c r="O340" i="4" s="1"/>
  <c r="C212" i="4"/>
  <c r="J181" i="4"/>
  <c r="F204" i="4"/>
  <c r="F203" i="4"/>
  <c r="H192" i="4"/>
  <c r="H193" i="4" s="1"/>
  <c r="H194" i="4" s="1"/>
  <c r="L172" i="4"/>
  <c r="L174" i="4" s="1"/>
  <c r="K178" i="4"/>
  <c r="J182" i="4" s="1"/>
  <c r="R158" i="4"/>
  <c r="R159" i="4" s="1"/>
  <c r="Q158" i="4"/>
  <c r="Q159" i="4" s="1"/>
  <c r="AI216" i="8" l="1"/>
  <c r="AI219" i="8" s="1"/>
  <c r="AL206" i="8"/>
  <c r="AL208" i="8" s="1"/>
  <c r="AE236" i="8"/>
  <c r="AE293" i="8"/>
  <c r="AE306" i="8" s="1"/>
  <c r="AE346" i="8" s="1"/>
  <c r="AG229" i="8"/>
  <c r="AM203" i="8"/>
  <c r="AM204" i="8"/>
  <c r="AM200" i="8"/>
  <c r="AM201" i="8" s="1"/>
  <c r="AM205" i="8" s="1"/>
  <c r="AM315" i="8" s="1"/>
  <c r="AM326" i="8" s="1"/>
  <c r="AM355" i="8" s="1"/>
  <c r="Y319" i="8"/>
  <c r="Y322" i="8" s="1"/>
  <c r="Y351" i="8" s="1"/>
  <c r="Y274" i="8"/>
  <c r="Z272" i="8"/>
  <c r="Z271" i="8"/>
  <c r="AE235" i="8"/>
  <c r="AB253" i="8"/>
  <c r="AB294" i="8"/>
  <c r="AB300" i="8" s="1"/>
  <c r="AB339" i="8" s="1"/>
  <c r="AB251" i="8"/>
  <c r="AB252" i="8" s="1"/>
  <c r="AK208" i="8"/>
  <c r="AH316" i="8"/>
  <c r="AH323" i="8" s="1"/>
  <c r="AH352" i="8" s="1"/>
  <c r="AH223" i="8"/>
  <c r="AA260" i="8"/>
  <c r="AA261" i="8" s="1"/>
  <c r="AA262" i="8" s="1"/>
  <c r="AD243" i="8"/>
  <c r="AD244" i="8" s="1"/>
  <c r="AD245" i="8" s="1"/>
  <c r="AI221" i="8"/>
  <c r="AI220" i="8"/>
  <c r="F200" i="4"/>
  <c r="F201" i="4" s="1"/>
  <c r="F205" i="4" s="1"/>
  <c r="F291" i="4"/>
  <c r="F302" i="4" s="1"/>
  <c r="F341" i="4" s="1"/>
  <c r="M169" i="4"/>
  <c r="T149" i="4"/>
  <c r="T150" i="4" s="1"/>
  <c r="T154" i="4" s="1"/>
  <c r="Z135" i="4"/>
  <c r="M166" i="4"/>
  <c r="M167" i="4" s="1"/>
  <c r="N164" i="4" s="1"/>
  <c r="D355" i="4"/>
  <c r="E315" i="4"/>
  <c r="E326" i="4" s="1"/>
  <c r="S312" i="4"/>
  <c r="S327" i="4" s="1"/>
  <c r="S356" i="4" s="1"/>
  <c r="I189" i="4"/>
  <c r="I191" i="4" s="1"/>
  <c r="I192" i="4" s="1"/>
  <c r="I193" i="4" s="1"/>
  <c r="I194" i="4" s="1"/>
  <c r="I314" i="4"/>
  <c r="Y311" i="4"/>
  <c r="Z132" i="4"/>
  <c r="Z133" i="4" s="1"/>
  <c r="AA130" i="4" s="1"/>
  <c r="Z136" i="4"/>
  <c r="T153" i="4"/>
  <c r="T152" i="4"/>
  <c r="S155" i="4"/>
  <c r="S157" i="4" s="1"/>
  <c r="J187" i="4"/>
  <c r="J186" i="4"/>
  <c r="E208" i="4"/>
  <c r="H195" i="4"/>
  <c r="D209" i="4"/>
  <c r="D210" i="4" s="1"/>
  <c r="D211" i="4" s="1"/>
  <c r="R160" i="4"/>
  <c r="L175" i="4"/>
  <c r="L176" i="4" s="1"/>
  <c r="Q160" i="4"/>
  <c r="AI292" i="8" l="1"/>
  <c r="AI299" i="8" s="1"/>
  <c r="AI338" i="8" s="1"/>
  <c r="AI217" i="8"/>
  <c r="AI218" i="8" s="1"/>
  <c r="AJ215" i="8" s="1"/>
  <c r="AD246" i="8"/>
  <c r="AA263" i="8"/>
  <c r="Z267" i="8" s="1"/>
  <c r="AC249" i="8"/>
  <c r="AB256" i="8"/>
  <c r="AB318" i="8" s="1"/>
  <c r="AB324" i="8" s="1"/>
  <c r="AB353" i="8" s="1"/>
  <c r="AK209" i="8"/>
  <c r="AK210" i="8" s="1"/>
  <c r="AM206" i="8"/>
  <c r="AM208" i="8" s="1"/>
  <c r="AL209" i="8"/>
  <c r="AL210" i="8" s="1"/>
  <c r="Y276" i="8"/>
  <c r="AJ220" i="8"/>
  <c r="AJ221" i="8"/>
  <c r="AF232" i="8"/>
  <c r="AE239" i="8"/>
  <c r="AH225" i="8"/>
  <c r="AI222" i="8"/>
  <c r="AI316" i="8" s="1"/>
  <c r="AI323" i="8" s="1"/>
  <c r="AI352" i="8" s="1"/>
  <c r="G198" i="4"/>
  <c r="G204" i="4" s="1"/>
  <c r="G199" i="4"/>
  <c r="G202" i="4" s="1"/>
  <c r="J290" i="4"/>
  <c r="J307" i="4" s="1"/>
  <c r="J347" i="4" s="1"/>
  <c r="J185" i="4"/>
  <c r="X288" i="4"/>
  <c r="X303" i="4" s="1"/>
  <c r="X343" i="4" s="1"/>
  <c r="X151" i="4"/>
  <c r="Y328" i="4"/>
  <c r="Y357" i="4" s="1"/>
  <c r="I331" i="4"/>
  <c r="I360" i="4" s="1"/>
  <c r="U147" i="4"/>
  <c r="U149" i="4" s="1"/>
  <c r="U150" i="4" s="1"/>
  <c r="M171" i="4"/>
  <c r="M313" i="4" s="1"/>
  <c r="N166" i="4"/>
  <c r="N167" i="4" s="1"/>
  <c r="N171" i="4" s="1"/>
  <c r="Z137" i="4"/>
  <c r="Z311" i="4" s="1"/>
  <c r="N170" i="4"/>
  <c r="N169" i="4"/>
  <c r="E355" i="4"/>
  <c r="F206" i="4"/>
  <c r="F208" i="4" s="1"/>
  <c r="F209" i="4" s="1"/>
  <c r="F210" i="4" s="1"/>
  <c r="F315" i="4"/>
  <c r="F326" i="4" s="1"/>
  <c r="T312" i="4"/>
  <c r="T327" i="4" s="1"/>
  <c r="T356" i="4" s="1"/>
  <c r="AA135" i="4"/>
  <c r="AA132" i="4"/>
  <c r="AA133" i="4" s="1"/>
  <c r="AB130" i="4" s="1"/>
  <c r="AA136" i="4"/>
  <c r="J183" i="4"/>
  <c r="J184" i="4" s="1"/>
  <c r="J188" i="4" s="1"/>
  <c r="D212" i="4"/>
  <c r="E209" i="4"/>
  <c r="E210" i="4" s="1"/>
  <c r="E211" i="4" s="1"/>
  <c r="I195" i="4"/>
  <c r="H199" i="4" s="1"/>
  <c r="L177" i="4"/>
  <c r="T155" i="4"/>
  <c r="Q161" i="4"/>
  <c r="P165" i="4" s="1"/>
  <c r="S158" i="4"/>
  <c r="S159" i="4" s="1"/>
  <c r="S160" i="4" s="1"/>
  <c r="AI223" i="8" l="1"/>
  <c r="AI225" i="8" s="1"/>
  <c r="AB257" i="8"/>
  <c r="AL211" i="8"/>
  <c r="AK211" i="8"/>
  <c r="AK212" i="8" s="1"/>
  <c r="AJ216" i="8" s="1"/>
  <c r="AI226" i="8"/>
  <c r="AI227" i="8" s="1"/>
  <c r="AM209" i="8"/>
  <c r="AM210" i="8" s="1"/>
  <c r="AM211" i="8" s="1"/>
  <c r="AE317" i="8"/>
  <c r="AE330" i="8" s="1"/>
  <c r="AE359" i="8" s="1"/>
  <c r="AE240" i="8"/>
  <c r="AF238" i="8"/>
  <c r="AF237" i="8"/>
  <c r="AB259" i="8"/>
  <c r="AF233" i="8"/>
  <c r="AH226" i="8"/>
  <c r="AH227" i="8" s="1"/>
  <c r="AH228" i="8" s="1"/>
  <c r="AC254" i="8"/>
  <c r="AC255" i="8"/>
  <c r="Y277" i="8"/>
  <c r="Y278" i="8" s="1"/>
  <c r="Y279" i="8" s="1"/>
  <c r="Y281" i="8" s="1"/>
  <c r="Y334" i="8" s="1"/>
  <c r="Z270" i="8"/>
  <c r="Z295" i="8"/>
  <c r="Z298" i="8" s="1"/>
  <c r="Z337" i="8" s="1"/>
  <c r="Z268" i="8"/>
  <c r="Z269" i="8" s="1"/>
  <c r="AC250" i="8"/>
  <c r="G200" i="4"/>
  <c r="G201" i="4" s="1"/>
  <c r="G205" i="4" s="1"/>
  <c r="G291" i="4"/>
  <c r="G302" i="4" s="1"/>
  <c r="G341" i="4" s="1"/>
  <c r="G203" i="4"/>
  <c r="C216" i="4"/>
  <c r="C219" i="4" s="1"/>
  <c r="H291" i="4"/>
  <c r="H302" i="4" s="1"/>
  <c r="H341" i="4" s="1"/>
  <c r="H202" i="4"/>
  <c r="Z328" i="4"/>
  <c r="Z357" i="4" s="1"/>
  <c r="M325" i="4"/>
  <c r="M354" i="4" s="1"/>
  <c r="U153" i="4"/>
  <c r="U152" i="4"/>
  <c r="O164" i="4"/>
  <c r="O169" i="4" s="1"/>
  <c r="M172" i="4"/>
  <c r="M174" i="4" s="1"/>
  <c r="M175" i="4" s="1"/>
  <c r="M176" i="4" s="1"/>
  <c r="N313" i="4"/>
  <c r="V147" i="4"/>
  <c r="V153" i="4" s="1"/>
  <c r="U154" i="4"/>
  <c r="AB132" i="4"/>
  <c r="AB133" i="4" s="1"/>
  <c r="AB137" i="4" s="1"/>
  <c r="AA137" i="4"/>
  <c r="AA311" i="4" s="1"/>
  <c r="F355" i="4"/>
  <c r="AB136" i="4"/>
  <c r="AB135" i="4"/>
  <c r="Z138" i="4"/>
  <c r="Z140" i="4" s="1"/>
  <c r="Z141" i="4" s="1"/>
  <c r="Z142" i="4" s="1"/>
  <c r="Z143" i="4" s="1"/>
  <c r="Z144" i="4" s="1"/>
  <c r="Y148" i="4" s="1"/>
  <c r="F211" i="4"/>
  <c r="E212" i="4"/>
  <c r="K181" i="4"/>
  <c r="L178" i="4"/>
  <c r="K182" i="4" s="1"/>
  <c r="N172" i="4"/>
  <c r="R161" i="4"/>
  <c r="T157" i="4"/>
  <c r="AI228" i="8" l="1"/>
  <c r="AA266" i="8"/>
  <c r="Z273" i="8"/>
  <c r="Y362" i="8"/>
  <c r="Y372" i="8" s="1"/>
  <c r="Y380" i="8" s="1"/>
  <c r="Y371" i="8"/>
  <c r="Y379" i="8" s="1"/>
  <c r="AJ219" i="8"/>
  <c r="AJ292" i="8"/>
  <c r="AJ299" i="8" s="1"/>
  <c r="AJ338" i="8" s="1"/>
  <c r="AJ217" i="8"/>
  <c r="AJ218" i="8" s="1"/>
  <c r="AF236" i="8"/>
  <c r="AF293" i="8"/>
  <c r="AF306" i="8" s="1"/>
  <c r="AF346" i="8" s="1"/>
  <c r="AC253" i="8"/>
  <c r="AC294" i="8"/>
  <c r="AC300" i="8" s="1"/>
  <c r="AC339" i="8" s="1"/>
  <c r="AE242" i="8"/>
  <c r="AH229" i="8"/>
  <c r="AB260" i="8"/>
  <c r="AB261" i="8" s="1"/>
  <c r="AB262" i="8" s="1"/>
  <c r="AC251" i="8"/>
  <c r="AC252" i="8" s="1"/>
  <c r="AF234" i="8"/>
  <c r="AF235" i="8" s="1"/>
  <c r="AL212" i="8"/>
  <c r="H198" i="4"/>
  <c r="H204" i="4" s="1"/>
  <c r="C218" i="4"/>
  <c r="C222" i="4" s="1"/>
  <c r="C292" i="4"/>
  <c r="C299" i="4" s="1"/>
  <c r="C338" i="4" s="1"/>
  <c r="D216" i="4"/>
  <c r="D219" i="4" s="1"/>
  <c r="Q165" i="4"/>
  <c r="Q168" i="4" s="1"/>
  <c r="P289" i="4"/>
  <c r="P168" i="4"/>
  <c r="Y288" i="4"/>
  <c r="Y303" i="4" s="1"/>
  <c r="Y343" i="4" s="1"/>
  <c r="Y151" i="4"/>
  <c r="N325" i="4"/>
  <c r="N354" i="4" s="1"/>
  <c r="AA328" i="4"/>
  <c r="AA357" i="4" s="1"/>
  <c r="O166" i="4"/>
  <c r="O167" i="4" s="1"/>
  <c r="P164" i="4" s="1"/>
  <c r="P169" i="4" s="1"/>
  <c r="O170" i="4"/>
  <c r="V152" i="4"/>
  <c r="M177" i="4"/>
  <c r="M178" i="4" s="1"/>
  <c r="L182" i="4" s="1"/>
  <c r="N174" i="4"/>
  <c r="N175" i="4" s="1"/>
  <c r="N176" i="4" s="1"/>
  <c r="N177" i="4" s="1"/>
  <c r="AC130" i="4"/>
  <c r="AC136" i="4" s="1"/>
  <c r="V149" i="4"/>
  <c r="V150" i="4" s="1"/>
  <c r="W147" i="4" s="1"/>
  <c r="AB311" i="4"/>
  <c r="AA138" i="4"/>
  <c r="AA140" i="4" s="1"/>
  <c r="AA141" i="4" s="1"/>
  <c r="AA142" i="4" s="1"/>
  <c r="G206" i="4"/>
  <c r="G208" i="4" s="1"/>
  <c r="G315" i="4"/>
  <c r="G326" i="4" s="1"/>
  <c r="U312" i="4"/>
  <c r="U327" i="4" s="1"/>
  <c r="U356" i="4" s="1"/>
  <c r="J189" i="4"/>
  <c r="J191" i="4" s="1"/>
  <c r="J314" i="4"/>
  <c r="AB138" i="4"/>
  <c r="F212" i="4"/>
  <c r="E216" i="4" s="1"/>
  <c r="K186" i="4"/>
  <c r="K187" i="4"/>
  <c r="U155" i="4"/>
  <c r="U157" i="4" s="1"/>
  <c r="U158" i="4" s="1"/>
  <c r="U159" i="4" s="1"/>
  <c r="T158" i="4"/>
  <c r="T159" i="4" s="1"/>
  <c r="T160" i="4" s="1"/>
  <c r="S161" i="4"/>
  <c r="R165" i="4" s="1"/>
  <c r="AB263" i="8" l="1"/>
  <c r="AA267" i="8" s="1"/>
  <c r="AE243" i="8"/>
  <c r="AE244" i="8" s="1"/>
  <c r="AE245" i="8" s="1"/>
  <c r="AK215" i="8"/>
  <c r="AK216" i="8" s="1"/>
  <c r="AJ222" i="8"/>
  <c r="AG232" i="8"/>
  <c r="AF239" i="8"/>
  <c r="AF317" i="8" s="1"/>
  <c r="AF330" i="8" s="1"/>
  <c r="AF359" i="8" s="1"/>
  <c r="AM212" i="8"/>
  <c r="Z319" i="8"/>
  <c r="Z322" i="8" s="1"/>
  <c r="Z351" i="8" s="1"/>
  <c r="Z274" i="8"/>
  <c r="AA272" i="8"/>
  <c r="AA271" i="8"/>
  <c r="AA268" i="8"/>
  <c r="AA269" i="8" s="1"/>
  <c r="AD249" i="8"/>
  <c r="AC256" i="8"/>
  <c r="AC318" i="8" s="1"/>
  <c r="AC324" i="8" s="1"/>
  <c r="AC353" i="8" s="1"/>
  <c r="AI229" i="8"/>
  <c r="H200" i="4"/>
  <c r="H201" i="4" s="1"/>
  <c r="I198" i="4" s="1"/>
  <c r="I203" i="4" s="1"/>
  <c r="H203" i="4"/>
  <c r="D215" i="4"/>
  <c r="D221" i="4" s="1"/>
  <c r="D292" i="4"/>
  <c r="D299" i="4" s="1"/>
  <c r="D338" i="4" s="1"/>
  <c r="Q289" i="4"/>
  <c r="Q301" i="4" s="1"/>
  <c r="Q340" i="4" s="1"/>
  <c r="E292" i="4"/>
  <c r="E299" i="4" s="1"/>
  <c r="E338" i="4" s="1"/>
  <c r="E219" i="4"/>
  <c r="K290" i="4"/>
  <c r="K307" i="4" s="1"/>
  <c r="K347" i="4" s="1"/>
  <c r="K185" i="4"/>
  <c r="R289" i="4"/>
  <c r="R168" i="4"/>
  <c r="O171" i="4"/>
  <c r="O313" i="4" s="1"/>
  <c r="O325" i="4" s="1"/>
  <c r="O354" i="4" s="1"/>
  <c r="AB328" i="4"/>
  <c r="AB357" i="4" s="1"/>
  <c r="J331" i="4"/>
  <c r="J360" i="4" s="1"/>
  <c r="AB140" i="4"/>
  <c r="AB141" i="4" s="1"/>
  <c r="AB142" i="4" s="1"/>
  <c r="AC132" i="4"/>
  <c r="AC133" i="4" s="1"/>
  <c r="AD130" i="4" s="1"/>
  <c r="AD135" i="4" s="1"/>
  <c r="AC135" i="4"/>
  <c r="P166" i="4"/>
  <c r="P167" i="4" s="1"/>
  <c r="V154" i="4"/>
  <c r="V312" i="4" s="1"/>
  <c r="V327" i="4" s="1"/>
  <c r="V356" i="4" s="1"/>
  <c r="W149" i="4"/>
  <c r="W150" i="4" s="1"/>
  <c r="W154" i="4" s="1"/>
  <c r="P170" i="4"/>
  <c r="G355" i="4"/>
  <c r="C223" i="4"/>
  <c r="C225" i="4" s="1"/>
  <c r="C316" i="4"/>
  <c r="C323" i="4" s="1"/>
  <c r="C352" i="4" s="1"/>
  <c r="AA143" i="4"/>
  <c r="AA144" i="4" s="1"/>
  <c r="Z148" i="4" s="1"/>
  <c r="K183" i="4"/>
  <c r="K184" i="4" s="1"/>
  <c r="K188" i="4" s="1"/>
  <c r="P301" i="4"/>
  <c r="P340" i="4" s="1"/>
  <c r="G209" i="4"/>
  <c r="G210" i="4" s="1"/>
  <c r="G211" i="4" s="1"/>
  <c r="J192" i="4"/>
  <c r="J193" i="4" s="1"/>
  <c r="J194" i="4" s="1"/>
  <c r="U160" i="4"/>
  <c r="N178" i="4"/>
  <c r="M182" i="4" s="1"/>
  <c r="T161" i="4"/>
  <c r="S165" i="4" s="1"/>
  <c r="W153" i="4"/>
  <c r="W152" i="4"/>
  <c r="AB266" i="8" l="1"/>
  <c r="AA273" i="8"/>
  <c r="AA319" i="8" s="1"/>
  <c r="AA322" i="8" s="1"/>
  <c r="AA351" i="8" s="1"/>
  <c r="AG238" i="8"/>
  <c r="AG237" i="8"/>
  <c r="AE246" i="8"/>
  <c r="AD250" i="8" s="1"/>
  <c r="AG233" i="8"/>
  <c r="AK219" i="8"/>
  <c r="AK292" i="8"/>
  <c r="AK299" i="8" s="1"/>
  <c r="AK338" i="8" s="1"/>
  <c r="AJ316" i="8"/>
  <c r="AJ323" i="8" s="1"/>
  <c r="AJ352" i="8" s="1"/>
  <c r="AJ223" i="8"/>
  <c r="AK220" i="8"/>
  <c r="AK221" i="8"/>
  <c r="AK217" i="8"/>
  <c r="AK218" i="8" s="1"/>
  <c r="Z276" i="8"/>
  <c r="AA270" i="8"/>
  <c r="AA295" i="8"/>
  <c r="AA298" i="8" s="1"/>
  <c r="AA337" i="8" s="1"/>
  <c r="AD254" i="8"/>
  <c r="AD255" i="8"/>
  <c r="AF240" i="8"/>
  <c r="AC257" i="8"/>
  <c r="H205" i="4"/>
  <c r="H315" i="4" s="1"/>
  <c r="D220" i="4"/>
  <c r="D217" i="4"/>
  <c r="D218" i="4" s="1"/>
  <c r="D222" i="4" s="1"/>
  <c r="L290" i="4"/>
  <c r="L307" i="4" s="1"/>
  <c r="L347" i="4" s="1"/>
  <c r="L185" i="4"/>
  <c r="S289" i="4"/>
  <c r="S168" i="4"/>
  <c r="Z288" i="4"/>
  <c r="Z303" i="4" s="1"/>
  <c r="Z343" i="4" s="1"/>
  <c r="Z151" i="4"/>
  <c r="O172" i="4"/>
  <c r="O174" i="4" s="1"/>
  <c r="O175" i="4" s="1"/>
  <c r="O176" i="4" s="1"/>
  <c r="O177" i="4" s="1"/>
  <c r="AB143" i="4"/>
  <c r="AB144" i="4" s="1"/>
  <c r="AA148" i="4" s="1"/>
  <c r="AC137" i="4"/>
  <c r="AC138" i="4" s="1"/>
  <c r="AC140" i="4" s="1"/>
  <c r="AC141" i="4" s="1"/>
  <c r="AC142" i="4" s="1"/>
  <c r="AC143" i="4" s="1"/>
  <c r="Q164" i="4"/>
  <c r="Q166" i="4" s="1"/>
  <c r="Q167" i="4" s="1"/>
  <c r="Q171" i="4" s="1"/>
  <c r="P171" i="4"/>
  <c r="P313" i="4" s="1"/>
  <c r="P325" i="4" s="1"/>
  <c r="V155" i="4"/>
  <c r="V157" i="4" s="1"/>
  <c r="AD136" i="4"/>
  <c r="I204" i="4"/>
  <c r="AD132" i="4"/>
  <c r="AD133" i="4" s="1"/>
  <c r="AE130" i="4" s="1"/>
  <c r="L181" i="4"/>
  <c r="K314" i="4"/>
  <c r="R301" i="4"/>
  <c r="R340" i="4" s="1"/>
  <c r="C226" i="4"/>
  <c r="C227" i="4" s="1"/>
  <c r="C228" i="4" s="1"/>
  <c r="G212" i="4"/>
  <c r="J195" i="4"/>
  <c r="X147" i="4"/>
  <c r="U161" i="4"/>
  <c r="T165" i="4" s="1"/>
  <c r="AA274" i="8" l="1"/>
  <c r="AA276" i="8" s="1"/>
  <c r="AA277" i="8" s="1"/>
  <c r="AA278" i="8" s="1"/>
  <c r="AL215" i="8"/>
  <c r="AK222" i="8"/>
  <c r="AK316" i="8" s="1"/>
  <c r="AK323" i="8" s="1"/>
  <c r="AK352" i="8" s="1"/>
  <c r="AG236" i="8"/>
  <c r="AG293" i="8"/>
  <c r="AG306" i="8" s="1"/>
  <c r="AG346" i="8" s="1"/>
  <c r="Z277" i="8"/>
  <c r="Z278" i="8" s="1"/>
  <c r="AG234" i="8"/>
  <c r="AG235" i="8" s="1"/>
  <c r="AC259" i="8"/>
  <c r="AD253" i="8"/>
  <c r="AD294" i="8"/>
  <c r="AD300" i="8" s="1"/>
  <c r="AD339" i="8" s="1"/>
  <c r="AF242" i="8"/>
  <c r="AJ225" i="8"/>
  <c r="AD251" i="8"/>
  <c r="AD252" i="8" s="1"/>
  <c r="AB272" i="8"/>
  <c r="AB271" i="8"/>
  <c r="H206" i="4"/>
  <c r="H208" i="4" s="1"/>
  <c r="H209" i="4" s="1"/>
  <c r="H210" i="4" s="1"/>
  <c r="H211" i="4" s="1"/>
  <c r="E215" i="4"/>
  <c r="E220" i="4" s="1"/>
  <c r="F216" i="4"/>
  <c r="F219" i="4" s="1"/>
  <c r="I199" i="4"/>
  <c r="I202" i="4" s="1"/>
  <c r="M290" i="4"/>
  <c r="M307" i="4" s="1"/>
  <c r="M347" i="4" s="1"/>
  <c r="M185" i="4"/>
  <c r="T289" i="4"/>
  <c r="T168" i="4"/>
  <c r="AA288" i="4"/>
  <c r="AA303" i="4" s="1"/>
  <c r="AA343" i="4" s="1"/>
  <c r="AA151" i="4"/>
  <c r="K331" i="4"/>
  <c r="K360" i="4" s="1"/>
  <c r="H326" i="4"/>
  <c r="H355" i="4" s="1"/>
  <c r="Q170" i="4"/>
  <c r="AC311" i="4"/>
  <c r="Q169" i="4"/>
  <c r="AC144" i="4"/>
  <c r="AB148" i="4" s="1"/>
  <c r="AD137" i="4"/>
  <c r="X149" i="4"/>
  <c r="X150" i="4" s="1"/>
  <c r="X154" i="4" s="1"/>
  <c r="L183" i="4"/>
  <c r="L184" i="4" s="1"/>
  <c r="AE132" i="4"/>
  <c r="AE133" i="4" s="1"/>
  <c r="AF130" i="4" s="1"/>
  <c r="AF135" i="4" s="1"/>
  <c r="AE135" i="4"/>
  <c r="AE136" i="4"/>
  <c r="K189" i="4"/>
  <c r="K191" i="4" s="1"/>
  <c r="K192" i="4" s="1"/>
  <c r="K193" i="4" s="1"/>
  <c r="K194" i="4" s="1"/>
  <c r="W312" i="4"/>
  <c r="W327" i="4" s="1"/>
  <c r="W356" i="4" s="1"/>
  <c r="D223" i="4"/>
  <c r="D225" i="4" s="1"/>
  <c r="D316" i="4"/>
  <c r="P354" i="4"/>
  <c r="P172" i="4"/>
  <c r="P174" i="4" s="1"/>
  <c r="R164" i="4"/>
  <c r="L187" i="4"/>
  <c r="L186" i="4"/>
  <c r="S301" i="4"/>
  <c r="S340" i="4" s="1"/>
  <c r="C229" i="4"/>
  <c r="W155" i="4"/>
  <c r="W157" i="4" s="1"/>
  <c r="W158" i="4" s="1"/>
  <c r="W159" i="4" s="1"/>
  <c r="V158" i="4"/>
  <c r="V159" i="4" s="1"/>
  <c r="V160" i="4" s="1"/>
  <c r="Q313" i="4"/>
  <c r="Q325" i="4" s="1"/>
  <c r="X152" i="4"/>
  <c r="X153" i="4"/>
  <c r="O178" i="4"/>
  <c r="N182" i="4" s="1"/>
  <c r="AA279" i="8" l="1"/>
  <c r="AA281" i="8" s="1"/>
  <c r="AA334" i="8" s="1"/>
  <c r="AH232" i="8"/>
  <c r="AG239" i="8"/>
  <c r="AA362" i="8"/>
  <c r="AA372" i="8" s="1"/>
  <c r="AA380" i="8" s="1"/>
  <c r="AA371" i="8"/>
  <c r="AA379" i="8" s="1"/>
  <c r="AJ226" i="8"/>
  <c r="AJ227" i="8" s="1"/>
  <c r="AJ228" i="8" s="1"/>
  <c r="AF243" i="8"/>
  <c r="AF244" i="8" s="1"/>
  <c r="AF245" i="8" s="1"/>
  <c r="AE249" i="8"/>
  <c r="AD256" i="8"/>
  <c r="AD318" i="8" s="1"/>
  <c r="AD324" i="8" s="1"/>
  <c r="AD353" i="8" s="1"/>
  <c r="AK223" i="8"/>
  <c r="AC260" i="8"/>
  <c r="AC261" i="8" s="1"/>
  <c r="AC262" i="8" s="1"/>
  <c r="Z279" i="8"/>
  <c r="Z281" i="8" s="1"/>
  <c r="Z334" i="8" s="1"/>
  <c r="AL220" i="8"/>
  <c r="AL221" i="8"/>
  <c r="AL216" i="8"/>
  <c r="E217" i="4"/>
  <c r="E218" i="4" s="1"/>
  <c r="E222" i="4" s="1"/>
  <c r="E316" i="4" s="1"/>
  <c r="E221" i="4"/>
  <c r="F292" i="4"/>
  <c r="F299" i="4" s="1"/>
  <c r="F338" i="4" s="1"/>
  <c r="I291" i="4"/>
  <c r="I302" i="4" s="1"/>
  <c r="I341" i="4" s="1"/>
  <c r="I200" i="4"/>
  <c r="I201" i="4" s="1"/>
  <c r="I205" i="4" s="1"/>
  <c r="AB288" i="4"/>
  <c r="AB303" i="4" s="1"/>
  <c r="AB343" i="4" s="1"/>
  <c r="AB151" i="4"/>
  <c r="AC328" i="4"/>
  <c r="AC357" i="4" s="1"/>
  <c r="D323" i="4"/>
  <c r="D352" i="4" s="1"/>
  <c r="AF136" i="4"/>
  <c r="AD138" i="4"/>
  <c r="AD140" i="4" s="1"/>
  <c r="AD141" i="4" s="1"/>
  <c r="AD142" i="4" s="1"/>
  <c r="AD143" i="4" s="1"/>
  <c r="AD144" i="4" s="1"/>
  <c r="AC148" i="4" s="1"/>
  <c r="AD311" i="4"/>
  <c r="L188" i="4"/>
  <c r="L314" i="4" s="1"/>
  <c r="R166" i="4"/>
  <c r="R167" i="4" s="1"/>
  <c r="AF132" i="4"/>
  <c r="AF133" i="4" s="1"/>
  <c r="AG130" i="4" s="1"/>
  <c r="AE137" i="4"/>
  <c r="M181" i="4"/>
  <c r="M186" i="4" s="1"/>
  <c r="R170" i="4"/>
  <c r="R169" i="4"/>
  <c r="Q354" i="4"/>
  <c r="T301" i="4"/>
  <c r="T340" i="4" s="1"/>
  <c r="H212" i="4"/>
  <c r="D226" i="4"/>
  <c r="D227" i="4" s="1"/>
  <c r="K195" i="4"/>
  <c r="W160" i="4"/>
  <c r="V161" i="4"/>
  <c r="U165" i="4" s="1"/>
  <c r="Y147" i="4"/>
  <c r="P175" i="4"/>
  <c r="P176" i="4" s="1"/>
  <c r="P177" i="4" s="1"/>
  <c r="Q172" i="4"/>
  <c r="AJ229" i="8" l="1"/>
  <c r="AE254" i="8"/>
  <c r="AE255" i="8"/>
  <c r="AF246" i="8"/>
  <c r="AE250" i="8" s="1"/>
  <c r="Z362" i="8"/>
  <c r="Z372" i="8" s="1"/>
  <c r="Z380" i="8" s="1"/>
  <c r="Z371" i="8"/>
  <c r="Z379" i="8" s="1"/>
  <c r="AG317" i="8"/>
  <c r="AG330" i="8" s="1"/>
  <c r="AG359" i="8" s="1"/>
  <c r="AG240" i="8"/>
  <c r="AK225" i="8"/>
  <c r="AL219" i="8"/>
  <c r="AM292" i="8"/>
  <c r="AM299" i="8" s="1"/>
  <c r="AM338" i="8" s="1"/>
  <c r="AL292" i="8"/>
  <c r="AL299" i="8" s="1"/>
  <c r="AL338" i="8" s="1"/>
  <c r="AL217" i="8"/>
  <c r="AL218" i="8" s="1"/>
  <c r="AC263" i="8"/>
  <c r="AB267" i="8" s="1"/>
  <c r="AH238" i="8"/>
  <c r="AH237" i="8"/>
  <c r="AH233" i="8"/>
  <c r="AD257" i="8"/>
  <c r="F215" i="4"/>
  <c r="F217" i="4" s="1"/>
  <c r="F218" i="4" s="1"/>
  <c r="G215" i="4" s="1"/>
  <c r="E223" i="4"/>
  <c r="E225" i="4" s="1"/>
  <c r="E226" i="4" s="1"/>
  <c r="E227" i="4" s="1"/>
  <c r="J198" i="4"/>
  <c r="J204" i="4" s="1"/>
  <c r="G216" i="4"/>
  <c r="G219" i="4" s="1"/>
  <c r="J199" i="4"/>
  <c r="J202" i="4" s="1"/>
  <c r="N290" i="4"/>
  <c r="N307" i="4" s="1"/>
  <c r="N347" i="4" s="1"/>
  <c r="N185" i="4"/>
  <c r="U289" i="4"/>
  <c r="U168" i="4"/>
  <c r="AC288" i="4"/>
  <c r="AC303" i="4" s="1"/>
  <c r="AC343" i="4" s="1"/>
  <c r="AC151" i="4"/>
  <c r="L331" i="4"/>
  <c r="L360" i="4" s="1"/>
  <c r="AD328" i="4"/>
  <c r="AD357" i="4" s="1"/>
  <c r="E323" i="4"/>
  <c r="E352" i="4" s="1"/>
  <c r="M187" i="4"/>
  <c r="L189" i="4"/>
  <c r="L191" i="4" s="1"/>
  <c r="L192" i="4" s="1"/>
  <c r="L193" i="4" s="1"/>
  <c r="L194" i="4" s="1"/>
  <c r="AG132" i="4"/>
  <c r="AG133" i="4" s="1"/>
  <c r="AG137" i="4" s="1"/>
  <c r="R171" i="4"/>
  <c r="R313" i="4" s="1"/>
  <c r="S164" i="4"/>
  <c r="AF137" i="4"/>
  <c r="AF138" i="4" s="1"/>
  <c r="AE311" i="4"/>
  <c r="AE138" i="4"/>
  <c r="AE140" i="4" s="1"/>
  <c r="AE141" i="4" s="1"/>
  <c r="AE142" i="4" s="1"/>
  <c r="AE143" i="4" s="1"/>
  <c r="AE144" i="4" s="1"/>
  <c r="AD148" i="4" s="1"/>
  <c r="M183" i="4"/>
  <c r="M184" i="4" s="1"/>
  <c r="Y149" i="4"/>
  <c r="Y150" i="4" s="1"/>
  <c r="Y154" i="4" s="1"/>
  <c r="I206" i="4"/>
  <c r="I208" i="4" s="1"/>
  <c r="I315" i="4"/>
  <c r="X312" i="4"/>
  <c r="X327" i="4" s="1"/>
  <c r="X356" i="4" s="1"/>
  <c r="D228" i="4"/>
  <c r="W161" i="4"/>
  <c r="V165" i="4" s="1"/>
  <c r="P178" i="4"/>
  <c r="O182" i="4" s="1"/>
  <c r="AG135" i="4"/>
  <c r="AG136" i="4"/>
  <c r="Q174" i="4"/>
  <c r="Y153" i="4"/>
  <c r="Y152" i="4"/>
  <c r="X155" i="4"/>
  <c r="F220" i="4" l="1"/>
  <c r="F221" i="4"/>
  <c r="AM215" i="8"/>
  <c r="AL222" i="8"/>
  <c r="AE253" i="8"/>
  <c r="AE294" i="8"/>
  <c r="AE300" i="8" s="1"/>
  <c r="AE339" i="8" s="1"/>
  <c r="AE251" i="8"/>
  <c r="AE252" i="8" s="1"/>
  <c r="AB270" i="8"/>
  <c r="AB295" i="8"/>
  <c r="AB298" i="8" s="1"/>
  <c r="AB337" i="8" s="1"/>
  <c r="AB268" i="8"/>
  <c r="AB269" i="8" s="1"/>
  <c r="F222" i="4"/>
  <c r="AD259" i="8"/>
  <c r="AK226" i="8"/>
  <c r="AK227" i="8" s="1"/>
  <c r="AK228" i="8" s="1"/>
  <c r="AH236" i="8"/>
  <c r="AH293" i="8"/>
  <c r="AH306" i="8" s="1"/>
  <c r="AH346" i="8" s="1"/>
  <c r="AH234" i="8"/>
  <c r="AH235" i="8" s="1"/>
  <c r="AG242" i="8"/>
  <c r="E228" i="4"/>
  <c r="J203" i="4"/>
  <c r="G292" i="4"/>
  <c r="G299" i="4" s="1"/>
  <c r="G338" i="4" s="1"/>
  <c r="G217" i="4"/>
  <c r="G218" i="4" s="1"/>
  <c r="H215" i="4" s="1"/>
  <c r="J200" i="4"/>
  <c r="J201" i="4" s="1"/>
  <c r="J205" i="4" s="1"/>
  <c r="J291" i="4"/>
  <c r="J302" i="4" s="1"/>
  <c r="J341" i="4" s="1"/>
  <c r="V289" i="4"/>
  <c r="V168" i="4"/>
  <c r="AD288" i="4"/>
  <c r="AD303" i="4" s="1"/>
  <c r="AD343" i="4" s="1"/>
  <c r="AD151" i="4"/>
  <c r="R325" i="4"/>
  <c r="R354" i="4" s="1"/>
  <c r="I326" i="4"/>
  <c r="I355" i="4" s="1"/>
  <c r="AE328" i="4"/>
  <c r="AE357" i="4" s="1"/>
  <c r="R172" i="4"/>
  <c r="R174" i="4" s="1"/>
  <c r="R175" i="4" s="1"/>
  <c r="R176" i="4" s="1"/>
  <c r="M188" i="4"/>
  <c r="M189" i="4" s="1"/>
  <c r="M191" i="4" s="1"/>
  <c r="N181" i="4"/>
  <c r="N183" i="4" s="1"/>
  <c r="N184" i="4" s="1"/>
  <c r="G221" i="4"/>
  <c r="AF140" i="4"/>
  <c r="AF141" i="4" s="1"/>
  <c r="AF142" i="4" s="1"/>
  <c r="AF143" i="4" s="1"/>
  <c r="AF144" i="4" s="1"/>
  <c r="AE148" i="4" s="1"/>
  <c r="G220" i="4"/>
  <c r="AF311" i="4"/>
  <c r="S166" i="4"/>
  <c r="S167" i="4" s="1"/>
  <c r="T164" i="4" s="1"/>
  <c r="S169" i="4"/>
  <c r="S170" i="4"/>
  <c r="U301" i="4"/>
  <c r="U340" i="4" s="1"/>
  <c r="D229" i="4"/>
  <c r="C233" i="4" s="1"/>
  <c r="I209" i="4"/>
  <c r="I210" i="4" s="1"/>
  <c r="I211" i="4" s="1"/>
  <c r="L195" i="4"/>
  <c r="Z147" i="4"/>
  <c r="AH130" i="4"/>
  <c r="Q175" i="4"/>
  <c r="Q176" i="4" s="1"/>
  <c r="Q177" i="4" s="1"/>
  <c r="X157" i="4"/>
  <c r="F223" i="4" l="1"/>
  <c r="F225" i="4" s="1"/>
  <c r="F316" i="4"/>
  <c r="AF249" i="8"/>
  <c r="AE256" i="8"/>
  <c r="AE318" i="8" s="1"/>
  <c r="AE324" i="8" s="1"/>
  <c r="AE353" i="8" s="1"/>
  <c r="AC266" i="8"/>
  <c r="AB273" i="8"/>
  <c r="AI232" i="8"/>
  <c r="AH239" i="8"/>
  <c r="AG243" i="8"/>
  <c r="AG244" i="8" s="1"/>
  <c r="AG245" i="8" s="1"/>
  <c r="AD260" i="8"/>
  <c r="AD261" i="8" s="1"/>
  <c r="AD262" i="8" s="1"/>
  <c r="AL316" i="8"/>
  <c r="AL323" i="8" s="1"/>
  <c r="AL352" i="8" s="1"/>
  <c r="AL223" i="8"/>
  <c r="AM221" i="8"/>
  <c r="AM220" i="8"/>
  <c r="AM217" i="8"/>
  <c r="AM218" i="8" s="1"/>
  <c r="AM222" i="8" s="1"/>
  <c r="AM316" i="8" s="1"/>
  <c r="AM323" i="8" s="1"/>
  <c r="AM352" i="8" s="1"/>
  <c r="AK229" i="8"/>
  <c r="G222" i="4"/>
  <c r="G316" i="4" s="1"/>
  <c r="K198" i="4"/>
  <c r="K203" i="4" s="1"/>
  <c r="K199" i="4"/>
  <c r="K202" i="4" s="1"/>
  <c r="O290" i="4"/>
  <c r="O307" i="4" s="1"/>
  <c r="O347" i="4" s="1"/>
  <c r="O185" i="4"/>
  <c r="F323" i="4"/>
  <c r="F352" i="4" s="1"/>
  <c r="AF328" i="4"/>
  <c r="AF357" i="4" s="1"/>
  <c r="M314" i="4"/>
  <c r="N187" i="4"/>
  <c r="N186" i="4"/>
  <c r="S171" i="4"/>
  <c r="S313" i="4" s="1"/>
  <c r="T166" i="4"/>
  <c r="T167" i="4" s="1"/>
  <c r="U164" i="4" s="1"/>
  <c r="O181" i="4"/>
  <c r="O186" i="4" s="1"/>
  <c r="N188" i="4"/>
  <c r="AH132" i="4"/>
  <c r="AH133" i="4" s="1"/>
  <c r="AH137" i="4" s="1"/>
  <c r="AG311" i="4"/>
  <c r="Y312" i="4"/>
  <c r="Y327" i="4" s="1"/>
  <c r="Y356" i="4" s="1"/>
  <c r="J206" i="4"/>
  <c r="J208" i="4" s="1"/>
  <c r="J315" i="4"/>
  <c r="T170" i="4"/>
  <c r="T169" i="4"/>
  <c r="Z149" i="4"/>
  <c r="Z150" i="4" s="1"/>
  <c r="Z154" i="4" s="1"/>
  <c r="V301" i="4"/>
  <c r="V340" i="4" s="1"/>
  <c r="E229" i="4"/>
  <c r="C236" i="4"/>
  <c r="I212" i="4"/>
  <c r="H221" i="4"/>
  <c r="H220" i="4"/>
  <c r="F226" i="4"/>
  <c r="F227" i="4" s="1"/>
  <c r="F228" i="4" s="1"/>
  <c r="M192" i="4"/>
  <c r="M193" i="4" s="1"/>
  <c r="M194" i="4" s="1"/>
  <c r="Z152" i="4"/>
  <c r="Z153" i="4"/>
  <c r="R177" i="4"/>
  <c r="Y155" i="4"/>
  <c r="Y157" i="4" s="1"/>
  <c r="Y158" i="4" s="1"/>
  <c r="Y159" i="4" s="1"/>
  <c r="AG138" i="4"/>
  <c r="AG140" i="4" s="1"/>
  <c r="AG141" i="4" s="1"/>
  <c r="AG142" i="4" s="1"/>
  <c r="Q178" i="4"/>
  <c r="P182" i="4" s="1"/>
  <c r="X158" i="4"/>
  <c r="X159" i="4" s="1"/>
  <c r="AH135" i="4"/>
  <c r="AH136" i="4"/>
  <c r="AE257" i="8" l="1"/>
  <c r="AH317" i="8"/>
  <c r="AH330" i="8" s="1"/>
  <c r="AH359" i="8" s="1"/>
  <c r="AH240" i="8"/>
  <c r="AD263" i="8"/>
  <c r="AC267" i="8" s="1"/>
  <c r="AC268" i="8" s="1"/>
  <c r="AC269" i="8" s="1"/>
  <c r="AI237" i="8"/>
  <c r="AI238" i="8"/>
  <c r="AI233" i="8"/>
  <c r="AB319" i="8"/>
  <c r="AB322" i="8" s="1"/>
  <c r="AB351" i="8" s="1"/>
  <c r="AB274" i="8"/>
  <c r="AC272" i="8"/>
  <c r="AC271" i="8"/>
  <c r="AG246" i="8"/>
  <c r="AF250" i="8" s="1"/>
  <c r="AF251" i="8" s="1"/>
  <c r="AM223" i="8"/>
  <c r="AM225" i="8" s="1"/>
  <c r="AE259" i="8"/>
  <c r="AL225" i="8"/>
  <c r="AF255" i="8"/>
  <c r="AF254" i="8"/>
  <c r="G223" i="4"/>
  <c r="G225" i="4" s="1"/>
  <c r="G226" i="4" s="1"/>
  <c r="G227" i="4" s="1"/>
  <c r="G228" i="4" s="1"/>
  <c r="K204" i="4"/>
  <c r="K200" i="4"/>
  <c r="K201" i="4" s="1"/>
  <c r="K205" i="4" s="1"/>
  <c r="K291" i="4"/>
  <c r="K302" i="4" s="1"/>
  <c r="K341" i="4" s="1"/>
  <c r="D233" i="4"/>
  <c r="D236" i="4" s="1"/>
  <c r="H216" i="4"/>
  <c r="H219" i="4" s="1"/>
  <c r="P290" i="4"/>
  <c r="P307" i="4" s="1"/>
  <c r="P347" i="4" s="1"/>
  <c r="P185" i="4"/>
  <c r="AE288" i="4"/>
  <c r="AE303" i="4" s="1"/>
  <c r="AE343" i="4" s="1"/>
  <c r="AE151" i="4"/>
  <c r="S325" i="4"/>
  <c r="S354" i="4" s="1"/>
  <c r="M331" i="4"/>
  <c r="M360" i="4" s="1"/>
  <c r="J326" i="4"/>
  <c r="J355" i="4" s="1"/>
  <c r="AG328" i="4"/>
  <c r="AG357" i="4" s="1"/>
  <c r="G323" i="4"/>
  <c r="G352" i="4" s="1"/>
  <c r="O183" i="4"/>
  <c r="O184" i="4" s="1"/>
  <c r="P181" i="4" s="1"/>
  <c r="O187" i="4"/>
  <c r="S172" i="4"/>
  <c r="S174" i="4" s="1"/>
  <c r="T171" i="4"/>
  <c r="T172" i="4" s="1"/>
  <c r="N189" i="4"/>
  <c r="N191" i="4" s="1"/>
  <c r="N314" i="4"/>
  <c r="U166" i="4"/>
  <c r="U167" i="4" s="1"/>
  <c r="U169" i="4"/>
  <c r="U170" i="4"/>
  <c r="C293" i="4"/>
  <c r="C306" i="4" s="1"/>
  <c r="C346" i="4" s="1"/>
  <c r="AA147" i="4"/>
  <c r="C235" i="4"/>
  <c r="C239" i="4" s="1"/>
  <c r="F229" i="4"/>
  <c r="E233" i="4" s="1"/>
  <c r="J209" i="4"/>
  <c r="J210" i="4" s="1"/>
  <c r="J211" i="4" s="1"/>
  <c r="M195" i="4"/>
  <c r="AI130" i="4"/>
  <c r="R178" i="4"/>
  <c r="Q182" i="4" s="1"/>
  <c r="AG143" i="4"/>
  <c r="AG144" i="4" s="1"/>
  <c r="AF148" i="4" s="1"/>
  <c r="Y160" i="4"/>
  <c r="X160" i="4"/>
  <c r="AD266" i="8" l="1"/>
  <c r="AC273" i="8"/>
  <c r="AC319" i="8" s="1"/>
  <c r="AC322" i="8" s="1"/>
  <c r="AC351" i="8" s="1"/>
  <c r="AB276" i="8"/>
  <c r="AI234" i="8"/>
  <c r="AI235" i="8" s="1"/>
  <c r="AF253" i="8"/>
  <c r="AF294" i="8"/>
  <c r="AF300" i="8" s="1"/>
  <c r="AF339" i="8" s="1"/>
  <c r="AM226" i="8"/>
  <c r="AM227" i="8" s="1"/>
  <c r="AE260" i="8"/>
  <c r="AE261" i="8" s="1"/>
  <c r="AE262" i="8" s="1"/>
  <c r="AI236" i="8"/>
  <c r="AI293" i="8"/>
  <c r="AI306" i="8" s="1"/>
  <c r="AI346" i="8" s="1"/>
  <c r="AC270" i="8"/>
  <c r="AC295" i="8"/>
  <c r="AC298" i="8" s="1"/>
  <c r="AC337" i="8" s="1"/>
  <c r="AF252" i="8"/>
  <c r="AH242" i="8"/>
  <c r="AL226" i="8"/>
  <c r="AL227" i="8" s="1"/>
  <c r="AL228" i="8" s="1"/>
  <c r="H217" i="4"/>
  <c r="H218" i="4" s="1"/>
  <c r="H222" i="4" s="1"/>
  <c r="L198" i="4"/>
  <c r="L203" i="4" s="1"/>
  <c r="H292" i="4"/>
  <c r="H299" i="4" s="1"/>
  <c r="H338" i="4" s="1"/>
  <c r="D293" i="4"/>
  <c r="D306" i="4" s="1"/>
  <c r="D346" i="4" s="1"/>
  <c r="L199" i="4"/>
  <c r="L202" i="4" s="1"/>
  <c r="E293" i="4"/>
  <c r="E306" i="4" s="1"/>
  <c r="E346" i="4" s="1"/>
  <c r="E236" i="4"/>
  <c r="N331" i="4"/>
  <c r="N360" i="4" s="1"/>
  <c r="O188" i="4"/>
  <c r="O189" i="4" s="1"/>
  <c r="O191" i="4" s="1"/>
  <c r="T313" i="4"/>
  <c r="T174" i="4"/>
  <c r="T175" i="4" s="1"/>
  <c r="T176" i="4" s="1"/>
  <c r="V164" i="4"/>
  <c r="V170" i="4" s="1"/>
  <c r="U171" i="4"/>
  <c r="U313" i="4" s="1"/>
  <c r="AA149" i="4"/>
  <c r="AA150" i="4" s="1"/>
  <c r="AB147" i="4" s="1"/>
  <c r="P183" i="4"/>
  <c r="P184" i="4" s="1"/>
  <c r="P188" i="4" s="1"/>
  <c r="AH311" i="4"/>
  <c r="Z312" i="4"/>
  <c r="Z327" i="4" s="1"/>
  <c r="Z356" i="4" s="1"/>
  <c r="K206" i="4"/>
  <c r="K208" i="4" s="1"/>
  <c r="K315" i="4"/>
  <c r="Z155" i="4"/>
  <c r="Z157" i="4" s="1"/>
  <c r="AA153" i="4"/>
  <c r="AA152" i="4"/>
  <c r="AI132" i="4"/>
  <c r="AI133" i="4" s="1"/>
  <c r="AI137" i="4" s="1"/>
  <c r="G229" i="4"/>
  <c r="D232" i="4"/>
  <c r="J212" i="4"/>
  <c r="P187" i="4"/>
  <c r="P186" i="4"/>
  <c r="N192" i="4"/>
  <c r="N193" i="4" s="1"/>
  <c r="N194" i="4" s="1"/>
  <c r="AI135" i="4"/>
  <c r="AI136" i="4"/>
  <c r="AH138" i="4"/>
  <c r="AH140" i="4" s="1"/>
  <c r="AH141" i="4" s="1"/>
  <c r="AH142" i="4" s="1"/>
  <c r="AH143" i="4" s="1"/>
  <c r="X161" i="4"/>
  <c r="W165" i="4" s="1"/>
  <c r="S175" i="4"/>
  <c r="S176" i="4" s="1"/>
  <c r="S177" i="4" s="1"/>
  <c r="AM228" i="8" l="1"/>
  <c r="AC274" i="8"/>
  <c r="AJ232" i="8"/>
  <c r="AI239" i="8"/>
  <c r="AI317" i="8" s="1"/>
  <c r="AI330" i="8" s="1"/>
  <c r="AI359" i="8" s="1"/>
  <c r="AL229" i="8"/>
  <c r="AC276" i="8"/>
  <c r="AH243" i="8"/>
  <c r="AH244" i="8" s="1"/>
  <c r="AH245" i="8" s="1"/>
  <c r="AE263" i="8"/>
  <c r="AD267" i="8" s="1"/>
  <c r="AB277" i="8"/>
  <c r="AB278" i="8" s="1"/>
  <c r="AB279" i="8" s="1"/>
  <c r="AB281" i="8" s="1"/>
  <c r="AB334" i="8" s="1"/>
  <c r="AG249" i="8"/>
  <c r="AF256" i="8"/>
  <c r="AF318" i="8" s="1"/>
  <c r="AF324" i="8" s="1"/>
  <c r="AF353" i="8" s="1"/>
  <c r="AD272" i="8"/>
  <c r="AD271" i="8"/>
  <c r="I215" i="4"/>
  <c r="I221" i="4" s="1"/>
  <c r="L291" i="4"/>
  <c r="L302" i="4" s="1"/>
  <c r="L341" i="4" s="1"/>
  <c r="L200" i="4"/>
  <c r="L201" i="4" s="1"/>
  <c r="L205" i="4" s="1"/>
  <c r="L204" i="4"/>
  <c r="F233" i="4"/>
  <c r="F236" i="4" s="1"/>
  <c r="I216" i="4"/>
  <c r="I219" i="4" s="1"/>
  <c r="Q290" i="4"/>
  <c r="Q307" i="4" s="1"/>
  <c r="Q347" i="4" s="1"/>
  <c r="Q185" i="4"/>
  <c r="AF288" i="4"/>
  <c r="AF303" i="4" s="1"/>
  <c r="AF343" i="4" s="1"/>
  <c r="AF151" i="4"/>
  <c r="O314" i="4"/>
  <c r="O331" i="4" s="1"/>
  <c r="O360" i="4" s="1"/>
  <c r="K326" i="4"/>
  <c r="K355" i="4" s="1"/>
  <c r="T325" i="4"/>
  <c r="T354" i="4" s="1"/>
  <c r="AH328" i="4"/>
  <c r="AH357" i="4" s="1"/>
  <c r="U325" i="4"/>
  <c r="U354" i="4" s="1"/>
  <c r="V169" i="4"/>
  <c r="AA154" i="4"/>
  <c r="AA155" i="4" s="1"/>
  <c r="AA157" i="4" s="1"/>
  <c r="AA158" i="4" s="1"/>
  <c r="AA159" i="4" s="1"/>
  <c r="AB149" i="4"/>
  <c r="AB150" i="4" s="1"/>
  <c r="AC147" i="4" s="1"/>
  <c r="D234" i="4"/>
  <c r="D235" i="4" s="1"/>
  <c r="E232" i="4" s="1"/>
  <c r="V166" i="4"/>
  <c r="V167" i="4" s="1"/>
  <c r="V171" i="4" s="1"/>
  <c r="V313" i="4" s="1"/>
  <c r="V325" i="4" s="1"/>
  <c r="U172" i="4"/>
  <c r="U174" i="4" s="1"/>
  <c r="U175" i="4" s="1"/>
  <c r="U176" i="4" s="1"/>
  <c r="H223" i="4"/>
  <c r="H225" i="4" s="1"/>
  <c r="H226" i="4" s="1"/>
  <c r="H227" i="4" s="1"/>
  <c r="H228" i="4" s="1"/>
  <c r="H316" i="4"/>
  <c r="C240" i="4"/>
  <c r="C242" i="4" s="1"/>
  <c r="C317" i="4"/>
  <c r="AJ130" i="4"/>
  <c r="D238" i="4"/>
  <c r="D237" i="4"/>
  <c r="N195" i="4"/>
  <c r="K209" i="4"/>
  <c r="K210" i="4" s="1"/>
  <c r="K211" i="4" s="1"/>
  <c r="Q181" i="4"/>
  <c r="O192" i="4"/>
  <c r="O193" i="4" s="1"/>
  <c r="O194" i="4" s="1"/>
  <c r="T177" i="4"/>
  <c r="S178" i="4"/>
  <c r="R182" i="4" s="1"/>
  <c r="AH144" i="4"/>
  <c r="AG148" i="4" s="1"/>
  <c r="Y161" i="4"/>
  <c r="AB153" i="4"/>
  <c r="AB152" i="4"/>
  <c r="Z158" i="4"/>
  <c r="Z159" i="4" s="1"/>
  <c r="Z160" i="4" s="1"/>
  <c r="AI240" i="8" l="1"/>
  <c r="AB371" i="8"/>
  <c r="AB379" i="8" s="1"/>
  <c r="AB362" i="8"/>
  <c r="AB372" i="8" s="1"/>
  <c r="AB380" i="8" s="1"/>
  <c r="AD270" i="8"/>
  <c r="AD295" i="8"/>
  <c r="AD298" i="8" s="1"/>
  <c r="AD337" i="8" s="1"/>
  <c r="AC277" i="8"/>
  <c r="AC278" i="8" s="1"/>
  <c r="AC279" i="8" s="1"/>
  <c r="AC281" i="8" s="1"/>
  <c r="AC334" i="8" s="1"/>
  <c r="AF257" i="8"/>
  <c r="AI242" i="8"/>
  <c r="AD268" i="8"/>
  <c r="AD269" i="8" s="1"/>
  <c r="AG255" i="8"/>
  <c r="AG254" i="8"/>
  <c r="AH246" i="8"/>
  <c r="AG250" i="8" s="1"/>
  <c r="AM229" i="8"/>
  <c r="AJ237" i="8"/>
  <c r="AJ238" i="8"/>
  <c r="AJ233" i="8"/>
  <c r="AJ234" i="8" s="1"/>
  <c r="I220" i="4"/>
  <c r="M198" i="4"/>
  <c r="M204" i="4" s="1"/>
  <c r="F293" i="4"/>
  <c r="F306" i="4" s="1"/>
  <c r="F346" i="4" s="1"/>
  <c r="I292" i="4"/>
  <c r="I299" i="4" s="1"/>
  <c r="I338" i="4" s="1"/>
  <c r="I217" i="4"/>
  <c r="I218" i="4" s="1"/>
  <c r="I222" i="4" s="1"/>
  <c r="M199" i="4"/>
  <c r="M202" i="4" s="1"/>
  <c r="X165" i="4"/>
  <c r="X168" i="4" s="1"/>
  <c r="W289" i="4"/>
  <c r="W168" i="4"/>
  <c r="H323" i="4"/>
  <c r="H352" i="4" s="1"/>
  <c r="C358" i="4"/>
  <c r="C330" i="4"/>
  <c r="C359" i="4" s="1"/>
  <c r="W164" i="4"/>
  <c r="W169" i="4" s="1"/>
  <c r="AA312" i="4"/>
  <c r="AA327" i="4" s="1"/>
  <c r="AA356" i="4" s="1"/>
  <c r="E234" i="4"/>
  <c r="E235" i="4" s="1"/>
  <c r="F232" i="4" s="1"/>
  <c r="AC149" i="4"/>
  <c r="AC150" i="4" s="1"/>
  <c r="AD147" i="4" s="1"/>
  <c r="U177" i="4"/>
  <c r="AB154" i="4"/>
  <c r="Q183" i="4"/>
  <c r="Q184" i="4" s="1"/>
  <c r="R181" i="4" s="1"/>
  <c r="AJ132" i="4"/>
  <c r="AJ133" i="4" s="1"/>
  <c r="AJ137" i="4" s="1"/>
  <c r="D239" i="4"/>
  <c r="AI311" i="4"/>
  <c r="P189" i="4"/>
  <c r="P191" i="4" s="1"/>
  <c r="P314" i="4"/>
  <c r="L206" i="4"/>
  <c r="L208" i="4" s="1"/>
  <c r="L315" i="4"/>
  <c r="AI138" i="4"/>
  <c r="AI140" i="4" s="1"/>
  <c r="AI141" i="4" s="1"/>
  <c r="AI142" i="4" s="1"/>
  <c r="AI143" i="4" s="1"/>
  <c r="AI144" i="4" s="1"/>
  <c r="AH148" i="4" s="1"/>
  <c r="AJ136" i="4"/>
  <c r="AJ135" i="4"/>
  <c r="V354" i="4"/>
  <c r="H229" i="4"/>
  <c r="C243" i="4"/>
  <c r="C244" i="4" s="1"/>
  <c r="C245" i="4" s="1"/>
  <c r="E238" i="4"/>
  <c r="E237" i="4"/>
  <c r="K212" i="4"/>
  <c r="V172" i="4"/>
  <c r="V174" i="4" s="1"/>
  <c r="V175" i="4" s="1"/>
  <c r="V176" i="4" s="1"/>
  <c r="V177" i="4" s="1"/>
  <c r="O195" i="4"/>
  <c r="Q187" i="4"/>
  <c r="Q186" i="4"/>
  <c r="AA160" i="4"/>
  <c r="Z161" i="4"/>
  <c r="Y165" i="4" s="1"/>
  <c r="AC152" i="4"/>
  <c r="AC153" i="4"/>
  <c r="T178" i="4"/>
  <c r="AC371" i="8" l="1"/>
  <c r="AC379" i="8" s="1"/>
  <c r="AC362" i="8"/>
  <c r="AC372" i="8" s="1"/>
  <c r="AC380" i="8" s="1"/>
  <c r="AF259" i="8"/>
  <c r="AG253" i="8"/>
  <c r="AG294" i="8"/>
  <c r="AG300" i="8" s="1"/>
  <c r="AG339" i="8" s="1"/>
  <c r="AJ236" i="8"/>
  <c r="AJ293" i="8"/>
  <c r="AJ306" i="8" s="1"/>
  <c r="AJ346" i="8" s="1"/>
  <c r="AE266" i="8"/>
  <c r="AD273" i="8"/>
  <c r="AD319" i="8" s="1"/>
  <c r="AD322" i="8" s="1"/>
  <c r="AD351" i="8" s="1"/>
  <c r="AG251" i="8"/>
  <c r="AG252" i="8" s="1"/>
  <c r="AJ235" i="8"/>
  <c r="AI243" i="8"/>
  <c r="AI244" i="8" s="1"/>
  <c r="AI245" i="8" s="1"/>
  <c r="M203" i="4"/>
  <c r="J215" i="4"/>
  <c r="X289" i="4"/>
  <c r="X301" i="4" s="1"/>
  <c r="X340" i="4" s="1"/>
  <c r="M291" i="4"/>
  <c r="M302" i="4" s="1"/>
  <c r="M341" i="4" s="1"/>
  <c r="M200" i="4"/>
  <c r="M201" i="4" s="1"/>
  <c r="M205" i="4" s="1"/>
  <c r="G233" i="4"/>
  <c r="G236" i="4" s="1"/>
  <c r="J216" i="4"/>
  <c r="J219" i="4" s="1"/>
  <c r="N199" i="4"/>
  <c r="N202" i="4" s="1"/>
  <c r="S182" i="4"/>
  <c r="S185" i="4" s="1"/>
  <c r="R290" i="4"/>
  <c r="R307" i="4" s="1"/>
  <c r="R347" i="4" s="1"/>
  <c r="R185" i="4"/>
  <c r="Y289" i="4"/>
  <c r="Y168" i="4"/>
  <c r="AG288" i="4"/>
  <c r="AG303" i="4" s="1"/>
  <c r="AG343" i="4" s="1"/>
  <c r="AG151" i="4"/>
  <c r="W166" i="4"/>
  <c r="W167" i="4" s="1"/>
  <c r="W171" i="4" s="1"/>
  <c r="W313" i="4" s="1"/>
  <c r="W325" i="4" s="1"/>
  <c r="W170" i="4"/>
  <c r="AI328" i="4"/>
  <c r="AI357" i="4" s="1"/>
  <c r="P331" i="4"/>
  <c r="P360" i="4" s="1"/>
  <c r="L326" i="4"/>
  <c r="L355" i="4" s="1"/>
  <c r="AD149" i="4"/>
  <c r="AD150" i="4" s="1"/>
  <c r="AE147" i="4" s="1"/>
  <c r="F234" i="4"/>
  <c r="F235" i="4" s="1"/>
  <c r="F239" i="4" s="1"/>
  <c r="AC154" i="4"/>
  <c r="E239" i="4"/>
  <c r="E240" i="4" s="1"/>
  <c r="Q188" i="4"/>
  <c r="AK130" i="4"/>
  <c r="AJ311" i="4"/>
  <c r="I223" i="4"/>
  <c r="I225" i="4" s="1"/>
  <c r="I316" i="4"/>
  <c r="D240" i="4"/>
  <c r="D242" i="4" s="1"/>
  <c r="D317" i="4"/>
  <c r="AB312" i="4"/>
  <c r="AB327" i="4" s="1"/>
  <c r="AB356" i="4" s="1"/>
  <c r="R183" i="4"/>
  <c r="R184" i="4" s="1"/>
  <c r="R188" i="4" s="1"/>
  <c r="W301" i="4"/>
  <c r="W340" i="4" s="1"/>
  <c r="C246" i="4"/>
  <c r="F237" i="4"/>
  <c r="F238" i="4"/>
  <c r="L209" i="4"/>
  <c r="L210" i="4" s="1"/>
  <c r="L211" i="4" s="1"/>
  <c r="R186" i="4"/>
  <c r="R187" i="4"/>
  <c r="P192" i="4"/>
  <c r="P193" i="4" s="1"/>
  <c r="P194" i="4" s="1"/>
  <c r="U178" i="4"/>
  <c r="T182" i="4" s="1"/>
  <c r="AA161" i="4"/>
  <c r="Z165" i="4" s="1"/>
  <c r="AD153" i="4"/>
  <c r="AD152" i="4"/>
  <c r="AJ138" i="4"/>
  <c r="AJ140" i="4" s="1"/>
  <c r="AB155" i="4"/>
  <c r="AH249" i="8" l="1"/>
  <c r="AG256" i="8"/>
  <c r="AG318" i="8" s="1"/>
  <c r="AG324" i="8" s="1"/>
  <c r="AG353" i="8" s="1"/>
  <c r="AI246" i="8"/>
  <c r="AF260" i="8"/>
  <c r="AF261" i="8" s="1"/>
  <c r="AF262" i="8" s="1"/>
  <c r="AK232" i="8"/>
  <c r="AJ239" i="8"/>
  <c r="AJ317" i="8" s="1"/>
  <c r="AJ330" i="8" s="1"/>
  <c r="AJ359" i="8" s="1"/>
  <c r="AD274" i="8"/>
  <c r="AE272" i="8"/>
  <c r="AE271" i="8"/>
  <c r="J217" i="4"/>
  <c r="J218" i="4" s="1"/>
  <c r="J222" i="4" s="1"/>
  <c r="J220" i="4"/>
  <c r="J221" i="4"/>
  <c r="S290" i="4"/>
  <c r="S307" i="4" s="1"/>
  <c r="S347" i="4" s="1"/>
  <c r="N198" i="4"/>
  <c r="N203" i="4" s="1"/>
  <c r="G293" i="4"/>
  <c r="G306" i="4" s="1"/>
  <c r="G346" i="4" s="1"/>
  <c r="J292" i="4"/>
  <c r="J299" i="4" s="1"/>
  <c r="J338" i="4" s="1"/>
  <c r="N291" i="4"/>
  <c r="N302" i="4" s="1"/>
  <c r="N341" i="4" s="1"/>
  <c r="T290" i="4"/>
  <c r="T307" i="4" s="1"/>
  <c r="T347" i="4" s="1"/>
  <c r="T185" i="4"/>
  <c r="Z289" i="4"/>
  <c r="Z168" i="4"/>
  <c r="AH288" i="4"/>
  <c r="AH303" i="4" s="1"/>
  <c r="AH343" i="4" s="1"/>
  <c r="AH151" i="4"/>
  <c r="X164" i="4"/>
  <c r="X166" i="4" s="1"/>
  <c r="X167" i="4" s="1"/>
  <c r="Y164" i="4" s="1"/>
  <c r="I323" i="4"/>
  <c r="I352" i="4" s="1"/>
  <c r="AJ328" i="4"/>
  <c r="AJ357" i="4" s="1"/>
  <c r="D358" i="4"/>
  <c r="D330" i="4"/>
  <c r="D359" i="4" s="1"/>
  <c r="AD154" i="4"/>
  <c r="AK132" i="4"/>
  <c r="AK133" i="4" s="1"/>
  <c r="AK136" i="4"/>
  <c r="AK135" i="4"/>
  <c r="AE149" i="4"/>
  <c r="AE150" i="4" s="1"/>
  <c r="E317" i="4"/>
  <c r="Q189" i="4"/>
  <c r="Q191" i="4" s="1"/>
  <c r="Q314" i="4"/>
  <c r="AC312" i="4"/>
  <c r="AC327" i="4" s="1"/>
  <c r="AC356" i="4" s="1"/>
  <c r="M206" i="4"/>
  <c r="M208" i="4" s="1"/>
  <c r="M315" i="4"/>
  <c r="W354" i="4"/>
  <c r="Y301" i="4"/>
  <c r="Y340" i="4" s="1"/>
  <c r="E242" i="4"/>
  <c r="G232" i="4"/>
  <c r="D243" i="4"/>
  <c r="D244" i="4" s="1"/>
  <c r="D245" i="4" s="1"/>
  <c r="L212" i="4"/>
  <c r="I226" i="4"/>
  <c r="I227" i="4" s="1"/>
  <c r="P195" i="4"/>
  <c r="S181" i="4"/>
  <c r="W172" i="4"/>
  <c r="W174" i="4" s="1"/>
  <c r="W175" i="4" s="1"/>
  <c r="W176" i="4" s="1"/>
  <c r="W177" i="4" s="1"/>
  <c r="V178" i="4"/>
  <c r="U182" i="4" s="1"/>
  <c r="AC155" i="4"/>
  <c r="AC157" i="4" s="1"/>
  <c r="AC158" i="4" s="1"/>
  <c r="AC159" i="4" s="1"/>
  <c r="AB157" i="4"/>
  <c r="AE152" i="4"/>
  <c r="AE153" i="4"/>
  <c r="AJ141" i="4"/>
  <c r="AJ142" i="4" s="1"/>
  <c r="AJ143" i="4" s="1"/>
  <c r="AH250" i="8" l="1"/>
  <c r="AH251" i="8" s="1"/>
  <c r="AH252" i="8" s="1"/>
  <c r="AG257" i="8"/>
  <c r="AG259" i="8" s="1"/>
  <c r="AK237" i="8"/>
  <c r="AK238" i="8"/>
  <c r="AK233" i="8"/>
  <c r="AK234" i="8" s="1"/>
  <c r="AJ240" i="8"/>
  <c r="AD276" i="8"/>
  <c r="AF263" i="8"/>
  <c r="AE267" i="8" s="1"/>
  <c r="K215" i="4"/>
  <c r="K220" i="4" s="1"/>
  <c r="AH255" i="8"/>
  <c r="AH254" i="8"/>
  <c r="N200" i="4"/>
  <c r="N201" i="4" s="1"/>
  <c r="N205" i="4" s="1"/>
  <c r="N204" i="4"/>
  <c r="K216" i="4"/>
  <c r="K219" i="4" s="1"/>
  <c r="O199" i="4"/>
  <c r="O202" i="4" s="1"/>
  <c r="X170" i="4"/>
  <c r="X169" i="4"/>
  <c r="M326" i="4"/>
  <c r="M355" i="4" s="1"/>
  <c r="Q331" i="4"/>
  <c r="Q360" i="4" s="1"/>
  <c r="E358" i="4"/>
  <c r="E330" i="4"/>
  <c r="E359" i="4" s="1"/>
  <c r="AK137" i="4"/>
  <c r="AK311" i="4" s="1"/>
  <c r="AL130" i="4"/>
  <c r="AL135" i="4" s="1"/>
  <c r="AF147" i="4"/>
  <c r="AF152" i="4" s="1"/>
  <c r="AE154" i="4"/>
  <c r="S183" i="4"/>
  <c r="S184" i="4" s="1"/>
  <c r="S188" i="4" s="1"/>
  <c r="X171" i="4"/>
  <c r="X313" i="4" s="1"/>
  <c r="G234" i="4"/>
  <c r="G235" i="4" s="1"/>
  <c r="G239" i="4" s="1"/>
  <c r="R189" i="4"/>
  <c r="R191" i="4" s="1"/>
  <c r="R192" i="4" s="1"/>
  <c r="R193" i="4" s="1"/>
  <c r="R314" i="4"/>
  <c r="F240" i="4"/>
  <c r="F242" i="4" s="1"/>
  <c r="AD312" i="4"/>
  <c r="AD327" i="4" s="1"/>
  <c r="AD356" i="4" s="1"/>
  <c r="F317" i="4"/>
  <c r="J223" i="4"/>
  <c r="J225" i="4" s="1"/>
  <c r="J226" i="4" s="1"/>
  <c r="J227" i="4" s="1"/>
  <c r="J316" i="4"/>
  <c r="Y169" i="4"/>
  <c r="Y166" i="4"/>
  <c r="Y167" i="4" s="1"/>
  <c r="Y171" i="4" s="1"/>
  <c r="Z301" i="4"/>
  <c r="Z340" i="4" s="1"/>
  <c r="D246" i="4"/>
  <c r="E243" i="4"/>
  <c r="E244" i="4" s="1"/>
  <c r="E245" i="4" s="1"/>
  <c r="G238" i="4"/>
  <c r="G237" i="4"/>
  <c r="I228" i="4"/>
  <c r="M209" i="4"/>
  <c r="M210" i="4" s="1"/>
  <c r="M211" i="4" s="1"/>
  <c r="S186" i="4"/>
  <c r="S187" i="4"/>
  <c r="Q192" i="4"/>
  <c r="Q193" i="4" s="1"/>
  <c r="Q194" i="4" s="1"/>
  <c r="Y170" i="4"/>
  <c r="W178" i="4"/>
  <c r="V182" i="4" s="1"/>
  <c r="AJ144" i="4"/>
  <c r="AI148" i="4" s="1"/>
  <c r="AB158" i="4"/>
  <c r="AB159" i="4" s="1"/>
  <c r="AC160" i="4" s="1"/>
  <c r="AD155" i="4"/>
  <c r="AH294" i="8" l="1"/>
  <c r="AH300" i="8" s="1"/>
  <c r="AH339" i="8" s="1"/>
  <c r="AH253" i="8"/>
  <c r="K221" i="4"/>
  <c r="AI249" i="8"/>
  <c r="AH256" i="8"/>
  <c r="AH318" i="8" s="1"/>
  <c r="AH324" i="8" s="1"/>
  <c r="AH353" i="8" s="1"/>
  <c r="AK236" i="8"/>
  <c r="AK293" i="8"/>
  <c r="AK306" i="8" s="1"/>
  <c r="AK346" i="8" s="1"/>
  <c r="AJ242" i="8"/>
  <c r="AK235" i="8"/>
  <c r="AG260" i="8"/>
  <c r="AG261" i="8" s="1"/>
  <c r="AG262" i="8" s="1"/>
  <c r="AE270" i="8"/>
  <c r="AE295" i="8"/>
  <c r="AE298" i="8" s="1"/>
  <c r="AE337" i="8" s="1"/>
  <c r="AE268" i="8"/>
  <c r="AE269" i="8" s="1"/>
  <c r="AD277" i="8"/>
  <c r="AD278" i="8" s="1"/>
  <c r="AD279" i="8" s="1"/>
  <c r="AD281" i="8" s="1"/>
  <c r="AD334" i="8" s="1"/>
  <c r="O198" i="4"/>
  <c r="O203" i="4" s="1"/>
  <c r="K217" i="4"/>
  <c r="K218" i="4" s="1"/>
  <c r="K222" i="4" s="1"/>
  <c r="O291" i="4"/>
  <c r="O302" i="4" s="1"/>
  <c r="O341" i="4" s="1"/>
  <c r="K292" i="4"/>
  <c r="K299" i="4" s="1"/>
  <c r="K338" i="4" s="1"/>
  <c r="C250" i="4"/>
  <c r="C253" i="4" s="1"/>
  <c r="U290" i="4"/>
  <c r="U307" i="4" s="1"/>
  <c r="U347" i="4" s="1"/>
  <c r="U185" i="4"/>
  <c r="J323" i="4"/>
  <c r="J352" i="4" s="1"/>
  <c r="X325" i="4"/>
  <c r="X354" i="4" s="1"/>
  <c r="AK328" i="4"/>
  <c r="AK357" i="4" s="1"/>
  <c r="F358" i="4"/>
  <c r="F330" i="4"/>
  <c r="F359" i="4" s="1"/>
  <c r="R331" i="4"/>
  <c r="R360" i="4" s="1"/>
  <c r="AF153" i="4"/>
  <c r="AK138" i="4"/>
  <c r="AK140" i="4" s="1"/>
  <c r="AK141" i="4" s="1"/>
  <c r="AK142" i="4" s="1"/>
  <c r="AK143" i="4" s="1"/>
  <c r="AK144" i="4" s="1"/>
  <c r="AJ148" i="4" s="1"/>
  <c r="AL132" i="4"/>
  <c r="AL133" i="4" s="1"/>
  <c r="AL136" i="4"/>
  <c r="AF149" i="4"/>
  <c r="AF150" i="4" s="1"/>
  <c r="AG147" i="4" s="1"/>
  <c r="J228" i="4"/>
  <c r="N206" i="4"/>
  <c r="N208" i="4" s="1"/>
  <c r="N315" i="4"/>
  <c r="AE312" i="4"/>
  <c r="AE327" i="4" s="1"/>
  <c r="AE356" i="4" s="1"/>
  <c r="X172" i="4"/>
  <c r="X174" i="4" s="1"/>
  <c r="X175" i="4" s="1"/>
  <c r="X176" i="4" s="1"/>
  <c r="X177" i="4" s="1"/>
  <c r="X178" i="4" s="1"/>
  <c r="W182" i="4" s="1"/>
  <c r="Z164" i="4"/>
  <c r="E246" i="4"/>
  <c r="D250" i="4" s="1"/>
  <c r="H232" i="4"/>
  <c r="I229" i="4"/>
  <c r="H233" i="4" s="1"/>
  <c r="F243" i="4"/>
  <c r="F244" i="4" s="1"/>
  <c r="F245" i="4" s="1"/>
  <c r="M212" i="4"/>
  <c r="L216" i="4" s="1"/>
  <c r="Q195" i="4"/>
  <c r="R194" i="4"/>
  <c r="T181" i="4"/>
  <c r="Y313" i="4"/>
  <c r="Y325" i="4" s="1"/>
  <c r="AE155" i="4"/>
  <c r="AE157" i="4" s="1"/>
  <c r="AE158" i="4" s="1"/>
  <c r="AE159" i="4" s="1"/>
  <c r="AD157" i="4"/>
  <c r="AB160" i="4"/>
  <c r="AH257" i="8" l="1"/>
  <c r="AD362" i="8"/>
  <c r="AD372" i="8" s="1"/>
  <c r="AD380" i="8" s="1"/>
  <c r="AD371" i="8"/>
  <c r="AD379" i="8" s="1"/>
  <c r="AF266" i="8"/>
  <c r="AE273" i="8"/>
  <c r="AE319" i="8" s="1"/>
  <c r="AE322" i="8" s="1"/>
  <c r="AE351" i="8" s="1"/>
  <c r="AG263" i="8"/>
  <c r="AL232" i="8"/>
  <c r="AK239" i="8"/>
  <c r="AK317" i="8" s="1"/>
  <c r="AK330" i="8" s="1"/>
  <c r="AK359" i="8" s="1"/>
  <c r="AJ243" i="8"/>
  <c r="AJ244" i="8" s="1"/>
  <c r="AJ245" i="8" s="1"/>
  <c r="AH259" i="8"/>
  <c r="O200" i="4"/>
  <c r="O201" i="4" s="1"/>
  <c r="O205" i="4" s="1"/>
  <c r="O204" i="4"/>
  <c r="AI255" i="8"/>
  <c r="AI254" i="8"/>
  <c r="L215" i="4"/>
  <c r="L217" i="4" s="1"/>
  <c r="L218" i="4" s="1"/>
  <c r="L222" i="4" s="1"/>
  <c r="C252" i="4"/>
  <c r="C256" i="4" s="1"/>
  <c r="C294" i="4"/>
  <c r="C300" i="4" s="1"/>
  <c r="C339" i="4" s="1"/>
  <c r="P199" i="4"/>
  <c r="P202" i="4" s="1"/>
  <c r="D294" i="4"/>
  <c r="D300" i="4" s="1"/>
  <c r="D339" i="4" s="1"/>
  <c r="D253" i="4"/>
  <c r="L292" i="4"/>
  <c r="L299" i="4" s="1"/>
  <c r="L338" i="4" s="1"/>
  <c r="L219" i="4"/>
  <c r="V290" i="4"/>
  <c r="V307" i="4" s="1"/>
  <c r="V347" i="4" s="1"/>
  <c r="V185" i="4"/>
  <c r="AI288" i="4"/>
  <c r="AI303" i="4" s="1"/>
  <c r="AI343" i="4" s="1"/>
  <c r="AI151" i="4"/>
  <c r="N326" i="4"/>
  <c r="N355" i="4" s="1"/>
  <c r="AL137" i="4"/>
  <c r="AL311" i="4" s="1"/>
  <c r="AM130" i="4"/>
  <c r="AM135" i="4" s="1"/>
  <c r="AF154" i="4"/>
  <c r="AF312" i="4" s="1"/>
  <c r="AF327" i="4" s="1"/>
  <c r="AF356" i="4" s="1"/>
  <c r="T183" i="4"/>
  <c r="T184" i="4" s="1"/>
  <c r="T188" i="4" s="1"/>
  <c r="AG149" i="4"/>
  <c r="AG150" i="4" s="1"/>
  <c r="AG154" i="4" s="1"/>
  <c r="Z166" i="4"/>
  <c r="Z167" i="4" s="1"/>
  <c r="Z171" i="4" s="1"/>
  <c r="S189" i="4"/>
  <c r="S191" i="4" s="1"/>
  <c r="S314" i="4"/>
  <c r="G240" i="4"/>
  <c r="G242" i="4" s="1"/>
  <c r="G243" i="4" s="1"/>
  <c r="G244" i="4" s="1"/>
  <c r="G245" i="4" s="1"/>
  <c r="G317" i="4"/>
  <c r="K223" i="4"/>
  <c r="K225" i="4" s="1"/>
  <c r="K226" i="4" s="1"/>
  <c r="K227" i="4" s="1"/>
  <c r="K228" i="4" s="1"/>
  <c r="K316" i="4"/>
  <c r="Z169" i="4"/>
  <c r="Z170" i="4"/>
  <c r="Y354" i="4"/>
  <c r="F246" i="4"/>
  <c r="E250" i="4" s="1"/>
  <c r="J229" i="4"/>
  <c r="H236" i="4"/>
  <c r="H238" i="4"/>
  <c r="H237" i="4"/>
  <c r="R195" i="4"/>
  <c r="N209" i="4"/>
  <c r="N210" i="4" s="1"/>
  <c r="N211" i="4" s="1"/>
  <c r="T187" i="4"/>
  <c r="T186" i="4"/>
  <c r="Y172" i="4"/>
  <c r="Y174" i="4" s="1"/>
  <c r="AD158" i="4"/>
  <c r="AD159" i="4" s="1"/>
  <c r="AE160" i="4" s="1"/>
  <c r="AG152" i="4"/>
  <c r="AG153" i="4"/>
  <c r="AB161" i="4"/>
  <c r="AA165" i="4" s="1"/>
  <c r="AF267" i="8" l="1"/>
  <c r="AF268" i="8" s="1"/>
  <c r="AF269" i="8" s="1"/>
  <c r="AJ246" i="8"/>
  <c r="AI250" i="8" s="1"/>
  <c r="AL238" i="8"/>
  <c r="AL237" i="8"/>
  <c r="AL233" i="8"/>
  <c r="P198" i="4"/>
  <c r="P200" i="4" s="1"/>
  <c r="P201" i="4" s="1"/>
  <c r="P205" i="4" s="1"/>
  <c r="AK240" i="8"/>
  <c r="AF271" i="8"/>
  <c r="AF272" i="8"/>
  <c r="AE274" i="8"/>
  <c r="AH260" i="8"/>
  <c r="AH261" i="8" s="1"/>
  <c r="AH262" i="8" s="1"/>
  <c r="L220" i="4"/>
  <c r="L221" i="4"/>
  <c r="D249" i="4"/>
  <c r="D255" i="4" s="1"/>
  <c r="P291" i="4"/>
  <c r="P302" i="4" s="1"/>
  <c r="P341" i="4" s="1"/>
  <c r="I233" i="4"/>
  <c r="I236" i="4" s="1"/>
  <c r="Q199" i="4"/>
  <c r="Q202" i="4" s="1"/>
  <c r="E294" i="4"/>
  <c r="E300" i="4" s="1"/>
  <c r="E339" i="4" s="1"/>
  <c r="E253" i="4"/>
  <c r="W290" i="4"/>
  <c r="W307" i="4" s="1"/>
  <c r="W347" i="4" s="1"/>
  <c r="W185" i="4"/>
  <c r="AJ288" i="4"/>
  <c r="AJ303" i="4" s="1"/>
  <c r="AJ343" i="4" s="1"/>
  <c r="AJ151" i="4"/>
  <c r="AM136" i="4"/>
  <c r="AL138" i="4"/>
  <c r="AL140" i="4" s="1"/>
  <c r="AL141" i="4" s="1"/>
  <c r="AL142" i="4" s="1"/>
  <c r="AL143" i="4" s="1"/>
  <c r="AL144" i="4" s="1"/>
  <c r="AK148" i="4" s="1"/>
  <c r="K323" i="4"/>
  <c r="K352" i="4" s="1"/>
  <c r="AL328" i="4"/>
  <c r="AL357" i="4" s="1"/>
  <c r="G358" i="4"/>
  <c r="G330" i="4"/>
  <c r="G359" i="4" s="1"/>
  <c r="AM132" i="4"/>
  <c r="AM133" i="4" s="1"/>
  <c r="AM137" i="4" s="1"/>
  <c r="AM311" i="4" s="1"/>
  <c r="S331" i="4"/>
  <c r="S360" i="4" s="1"/>
  <c r="AF155" i="4"/>
  <c r="AF157" i="4" s="1"/>
  <c r="AF158" i="4" s="1"/>
  <c r="AF159" i="4" s="1"/>
  <c r="O206" i="4"/>
  <c r="O208" i="4" s="1"/>
  <c r="O209" i="4" s="1"/>
  <c r="O210" i="4" s="1"/>
  <c r="O211" i="4" s="1"/>
  <c r="O315" i="4"/>
  <c r="C257" i="4"/>
  <c r="C259" i="4" s="1"/>
  <c r="C318" i="4"/>
  <c r="C324" i="4" s="1"/>
  <c r="C353" i="4" s="1"/>
  <c r="H293" i="4"/>
  <c r="H306" i="4" s="1"/>
  <c r="H346" i="4" s="1"/>
  <c r="AA164" i="4"/>
  <c r="H234" i="4"/>
  <c r="H235" i="4" s="1"/>
  <c r="H239" i="4" s="1"/>
  <c r="G246" i="4"/>
  <c r="K229" i="4"/>
  <c r="N212" i="4"/>
  <c r="M215" i="4"/>
  <c r="U181" i="4"/>
  <c r="S192" i="4"/>
  <c r="S193" i="4" s="1"/>
  <c r="S194" i="4" s="1"/>
  <c r="AD160" i="4"/>
  <c r="AH147" i="4"/>
  <c r="AC161" i="4"/>
  <c r="Y175" i="4"/>
  <c r="Y176" i="4" s="1"/>
  <c r="Y177" i="4" s="1"/>
  <c r="AF295" i="8" l="1"/>
  <c r="AF298" i="8" s="1"/>
  <c r="AF337" i="8" s="1"/>
  <c r="AF270" i="8"/>
  <c r="AL234" i="8"/>
  <c r="AL235" i="8" s="1"/>
  <c r="AG266" i="8"/>
  <c r="AF273" i="8"/>
  <c r="AF319" i="8" s="1"/>
  <c r="AF322" i="8" s="1"/>
  <c r="AF351" i="8" s="1"/>
  <c r="AL236" i="8"/>
  <c r="AL293" i="8"/>
  <c r="AL306" i="8" s="1"/>
  <c r="AL346" i="8" s="1"/>
  <c r="AM293" i="8"/>
  <c r="AM306" i="8" s="1"/>
  <c r="AM346" i="8" s="1"/>
  <c r="AH263" i="8"/>
  <c r="AE276" i="8"/>
  <c r="P203" i="4"/>
  <c r="P204" i="4"/>
  <c r="AI253" i="8"/>
  <c r="AI294" i="8"/>
  <c r="AI300" i="8" s="1"/>
  <c r="AI339" i="8" s="1"/>
  <c r="AI251" i="8"/>
  <c r="AI252" i="8" s="1"/>
  <c r="AK242" i="8"/>
  <c r="D251" i="4"/>
  <c r="D252" i="4" s="1"/>
  <c r="D256" i="4" s="1"/>
  <c r="D254" i="4"/>
  <c r="Q291" i="4"/>
  <c r="Q302" i="4" s="1"/>
  <c r="Q341" i="4" s="1"/>
  <c r="I293" i="4"/>
  <c r="I306" i="4" s="1"/>
  <c r="I346" i="4" s="1"/>
  <c r="F250" i="4"/>
  <c r="F253" i="4" s="1"/>
  <c r="J233" i="4"/>
  <c r="J236" i="4" s="1"/>
  <c r="M216" i="4"/>
  <c r="M219" i="4" s="1"/>
  <c r="AB165" i="4"/>
  <c r="AB168" i="4" s="1"/>
  <c r="AA289" i="4"/>
  <c r="AA168" i="4"/>
  <c r="AM138" i="4"/>
  <c r="AM140" i="4" s="1"/>
  <c r="AM141" i="4" s="1"/>
  <c r="AM142" i="4" s="1"/>
  <c r="AM143" i="4" s="1"/>
  <c r="AM144" i="4" s="1"/>
  <c r="AL148" i="4" s="1"/>
  <c r="O326" i="4"/>
  <c r="O355" i="4" s="1"/>
  <c r="AM328" i="4"/>
  <c r="AM357" i="4" s="1"/>
  <c r="AF160" i="4"/>
  <c r="AH149" i="4"/>
  <c r="AH150" i="4" s="1"/>
  <c r="AI147" i="4" s="1"/>
  <c r="AA169" i="4"/>
  <c r="U183" i="4"/>
  <c r="U184" i="4" s="1"/>
  <c r="V181" i="4" s="1"/>
  <c r="L223" i="4"/>
  <c r="L225" i="4" s="1"/>
  <c r="L316" i="4"/>
  <c r="Z172" i="4"/>
  <c r="Z174" i="4" s="1"/>
  <c r="Z175" i="4" s="1"/>
  <c r="Z176" i="4" s="1"/>
  <c r="Z313" i="4"/>
  <c r="T189" i="4"/>
  <c r="T191" i="4" s="1"/>
  <c r="T314" i="4"/>
  <c r="AG312" i="4"/>
  <c r="AG327" i="4" s="1"/>
  <c r="AG356" i="4" s="1"/>
  <c r="AA170" i="4"/>
  <c r="AA166" i="4"/>
  <c r="I232" i="4"/>
  <c r="Q198" i="4"/>
  <c r="C260" i="4"/>
  <c r="C261" i="4" s="1"/>
  <c r="C262" i="4" s="1"/>
  <c r="O212" i="4"/>
  <c r="M220" i="4"/>
  <c r="M221" i="4"/>
  <c r="S195" i="4"/>
  <c r="U186" i="4"/>
  <c r="U187" i="4"/>
  <c r="AG155" i="4"/>
  <c r="AG157" i="4" s="1"/>
  <c r="AD161" i="4"/>
  <c r="AC165" i="4" s="1"/>
  <c r="Y178" i="4"/>
  <c r="X182" i="4" s="1"/>
  <c r="AH153" i="4"/>
  <c r="AH152" i="4"/>
  <c r="AG267" i="8" l="1"/>
  <c r="AM232" i="8"/>
  <c r="AL239" i="8"/>
  <c r="AL317" i="8" s="1"/>
  <c r="AL330" i="8" s="1"/>
  <c r="AL359" i="8" s="1"/>
  <c r="AJ249" i="8"/>
  <c r="AI256" i="8"/>
  <c r="AI318" i="8" s="1"/>
  <c r="AI324" i="8" s="1"/>
  <c r="AI353" i="8" s="1"/>
  <c r="E249" i="4"/>
  <c r="E251" i="4" s="1"/>
  <c r="E252" i="4" s="1"/>
  <c r="AK243" i="8"/>
  <c r="AK244" i="8" s="1"/>
  <c r="AG270" i="8"/>
  <c r="AG295" i="8"/>
  <c r="AG298" i="8" s="1"/>
  <c r="AG337" i="8" s="1"/>
  <c r="AG271" i="8"/>
  <c r="AG272" i="8"/>
  <c r="AG268" i="8"/>
  <c r="AG269" i="8" s="1"/>
  <c r="AE277" i="8"/>
  <c r="AE278" i="8" s="1"/>
  <c r="AE279" i="8" s="1"/>
  <c r="AE281" i="8" s="1"/>
  <c r="AE334" i="8" s="1"/>
  <c r="AF274" i="8"/>
  <c r="F294" i="4"/>
  <c r="F300" i="4" s="1"/>
  <c r="F339" i="4" s="1"/>
  <c r="J293" i="4"/>
  <c r="J306" i="4" s="1"/>
  <c r="J346" i="4" s="1"/>
  <c r="M292" i="4"/>
  <c r="M299" i="4" s="1"/>
  <c r="M338" i="4" s="1"/>
  <c r="M217" i="4"/>
  <c r="M218" i="4" s="1"/>
  <c r="M222" i="4" s="1"/>
  <c r="AB289" i="4"/>
  <c r="AB301" i="4" s="1"/>
  <c r="AB340" i="4" s="1"/>
  <c r="N216" i="4"/>
  <c r="N219" i="4" s="1"/>
  <c r="R199" i="4"/>
  <c r="R202" i="4" s="1"/>
  <c r="X290" i="4"/>
  <c r="X307" i="4" s="1"/>
  <c r="X347" i="4" s="1"/>
  <c r="X185" i="4"/>
  <c r="AK288" i="4"/>
  <c r="AK303" i="4" s="1"/>
  <c r="AK343" i="4" s="1"/>
  <c r="AK151" i="4"/>
  <c r="T331" i="4"/>
  <c r="T360" i="4" s="1"/>
  <c r="L323" i="4"/>
  <c r="L352" i="4" s="1"/>
  <c r="Z325" i="4"/>
  <c r="Z354" i="4" s="1"/>
  <c r="C263" i="4"/>
  <c r="Z177" i="4"/>
  <c r="Z178" i="4" s="1"/>
  <c r="Y182" i="4" s="1"/>
  <c r="AI149" i="4"/>
  <c r="AI150" i="4" s="1"/>
  <c r="AI154" i="4" s="1"/>
  <c r="U188" i="4"/>
  <c r="V183" i="4"/>
  <c r="V184" i="4" s="1"/>
  <c r="W181" i="4" s="1"/>
  <c r="Q200" i="4"/>
  <c r="Q201" i="4" s="1"/>
  <c r="R198" i="4" s="1"/>
  <c r="I234" i="4"/>
  <c r="I235" i="4" s="1"/>
  <c r="I239" i="4" s="1"/>
  <c r="I317" i="4" s="1"/>
  <c r="AH154" i="4"/>
  <c r="P206" i="4"/>
  <c r="P208" i="4" s="1"/>
  <c r="P209" i="4" s="1"/>
  <c r="P210" i="4" s="1"/>
  <c r="P211" i="4" s="1"/>
  <c r="P315" i="4"/>
  <c r="D257" i="4"/>
  <c r="D259" i="4" s="1"/>
  <c r="D318" i="4"/>
  <c r="H240" i="4"/>
  <c r="H242" i="4" s="1"/>
  <c r="H243" i="4" s="1"/>
  <c r="H244" i="4" s="1"/>
  <c r="H245" i="4" s="1"/>
  <c r="H317" i="4"/>
  <c r="AA167" i="4"/>
  <c r="I238" i="4"/>
  <c r="Q203" i="4"/>
  <c r="I237" i="4"/>
  <c r="Q204" i="4"/>
  <c r="AA301" i="4"/>
  <c r="AA340" i="4" s="1"/>
  <c r="L226" i="4"/>
  <c r="L227" i="4" s="1"/>
  <c r="L228" i="4" s="1"/>
  <c r="V187" i="4"/>
  <c r="V186" i="4"/>
  <c r="T192" i="4"/>
  <c r="T193" i="4" s="1"/>
  <c r="T194" i="4" s="1"/>
  <c r="AE161" i="4"/>
  <c r="AD165" i="4" s="1"/>
  <c r="AL151" i="4"/>
  <c r="AG158" i="4"/>
  <c r="AG159" i="4" s="1"/>
  <c r="AG160" i="4" s="1"/>
  <c r="AI153" i="4"/>
  <c r="AI152" i="4"/>
  <c r="E255" i="4" l="1"/>
  <c r="AM237" i="8"/>
  <c r="AM238" i="8"/>
  <c r="AM234" i="8"/>
  <c r="AM235" i="8" s="1"/>
  <c r="AM239" i="8" s="1"/>
  <c r="AM317" i="8" s="1"/>
  <c r="AM330" i="8" s="1"/>
  <c r="AM359" i="8" s="1"/>
  <c r="E254" i="4"/>
  <c r="AL240" i="8"/>
  <c r="AH266" i="8"/>
  <c r="AG273" i="8"/>
  <c r="AG319" i="8" s="1"/>
  <c r="AG322" i="8" s="1"/>
  <c r="AG351" i="8" s="1"/>
  <c r="AE371" i="8"/>
  <c r="AE379" i="8" s="1"/>
  <c r="AE362" i="8"/>
  <c r="AE372" i="8" s="1"/>
  <c r="AE380" i="8" s="1"/>
  <c r="AK245" i="8"/>
  <c r="AF276" i="8"/>
  <c r="AJ254" i="8"/>
  <c r="AJ255" i="8"/>
  <c r="AI257" i="8"/>
  <c r="N215" i="4"/>
  <c r="N217" i="4" s="1"/>
  <c r="N218" i="4" s="1"/>
  <c r="N222" i="4" s="1"/>
  <c r="R291" i="4"/>
  <c r="R302" i="4" s="1"/>
  <c r="R341" i="4" s="1"/>
  <c r="N292" i="4"/>
  <c r="N299" i="4" s="1"/>
  <c r="N338" i="4" s="1"/>
  <c r="AC289" i="4"/>
  <c r="AC168" i="4"/>
  <c r="P326" i="4"/>
  <c r="P355" i="4" s="1"/>
  <c r="I358" i="4"/>
  <c r="I330" i="4"/>
  <c r="I359" i="4" s="1"/>
  <c r="H358" i="4"/>
  <c r="H330" i="4"/>
  <c r="H359" i="4" s="1"/>
  <c r="D324" i="4"/>
  <c r="D353" i="4" s="1"/>
  <c r="F249" i="4"/>
  <c r="F255" i="4" s="1"/>
  <c r="E256" i="4"/>
  <c r="Q205" i="4"/>
  <c r="V188" i="4"/>
  <c r="AB164" i="4"/>
  <c r="AA171" i="4"/>
  <c r="AA313" i="4" s="1"/>
  <c r="J232" i="4"/>
  <c r="J238" i="4" s="1"/>
  <c r="W183" i="4"/>
  <c r="W184" i="4" s="1"/>
  <c r="W188" i="4" s="1"/>
  <c r="R200" i="4"/>
  <c r="R201" i="4" s="1"/>
  <c r="R205" i="4" s="1"/>
  <c r="AH312" i="4"/>
  <c r="AH327" i="4" s="1"/>
  <c r="AH356" i="4" s="1"/>
  <c r="M223" i="4"/>
  <c r="M225" i="4" s="1"/>
  <c r="M316" i="4"/>
  <c r="U189" i="4"/>
  <c r="U191" i="4" s="1"/>
  <c r="U314" i="4"/>
  <c r="AM288" i="4"/>
  <c r="AM303" i="4" s="1"/>
  <c r="AM343" i="4" s="1"/>
  <c r="AL288" i="4"/>
  <c r="AL303" i="4" s="1"/>
  <c r="AL343" i="4" s="1"/>
  <c r="I240" i="4"/>
  <c r="I242" i="4" s="1"/>
  <c r="R203" i="4"/>
  <c r="R204" i="4"/>
  <c r="D260" i="4"/>
  <c r="D261" i="4" s="1"/>
  <c r="D262" i="4" s="1"/>
  <c r="H246" i="4"/>
  <c r="L229" i="4"/>
  <c r="K233" i="4" s="1"/>
  <c r="P212" i="4"/>
  <c r="T195" i="4"/>
  <c r="W186" i="4"/>
  <c r="W187" i="4"/>
  <c r="AF161" i="4"/>
  <c r="AJ147" i="4"/>
  <c r="AH155" i="4"/>
  <c r="AG274" i="8" l="1"/>
  <c r="AG276" i="8" s="1"/>
  <c r="AL242" i="8"/>
  <c r="AM240" i="8"/>
  <c r="AM242" i="8" s="1"/>
  <c r="AM243" i="8" s="1"/>
  <c r="AM244" i="8" s="1"/>
  <c r="AF277" i="8"/>
  <c r="AF278" i="8" s="1"/>
  <c r="AF279" i="8" s="1"/>
  <c r="AF281" i="8" s="1"/>
  <c r="AF334" i="8" s="1"/>
  <c r="AG277" i="8"/>
  <c r="AG278" i="8" s="1"/>
  <c r="AK246" i="8"/>
  <c r="AI259" i="8"/>
  <c r="AH271" i="8"/>
  <c r="AH272" i="8"/>
  <c r="N220" i="4"/>
  <c r="N221" i="4"/>
  <c r="G250" i="4"/>
  <c r="G253" i="4" s="1"/>
  <c r="O216" i="4"/>
  <c r="O219" i="4" s="1"/>
  <c r="S199" i="4"/>
  <c r="S202" i="4" s="1"/>
  <c r="AE165" i="4"/>
  <c r="AE168" i="4" s="1"/>
  <c r="K293" i="4"/>
  <c r="K306" i="4" s="1"/>
  <c r="K346" i="4" s="1"/>
  <c r="K236" i="4"/>
  <c r="Y290" i="4"/>
  <c r="Y307" i="4" s="1"/>
  <c r="Y347" i="4" s="1"/>
  <c r="Y185" i="4"/>
  <c r="AD289" i="4"/>
  <c r="AD301" i="4" s="1"/>
  <c r="AD340" i="4" s="1"/>
  <c r="AD168" i="4"/>
  <c r="AA325" i="4"/>
  <c r="AA354" i="4" s="1"/>
  <c r="M323" i="4"/>
  <c r="M352" i="4" s="1"/>
  <c r="U331" i="4"/>
  <c r="U360" i="4" s="1"/>
  <c r="D263" i="4"/>
  <c r="C267" i="4" s="1"/>
  <c r="F254" i="4"/>
  <c r="J237" i="4"/>
  <c r="AJ149" i="4"/>
  <c r="AJ150" i="4" s="1"/>
  <c r="AJ154" i="4" s="1"/>
  <c r="J234" i="4"/>
  <c r="J235" i="4" s="1"/>
  <c r="AB166" i="4"/>
  <c r="AB167" i="4" s="1"/>
  <c r="AC164" i="4" s="1"/>
  <c r="S198" i="4"/>
  <c r="AB169" i="4"/>
  <c r="AA172" i="4"/>
  <c r="AA174" i="4" s="1"/>
  <c r="AB170" i="4"/>
  <c r="F251" i="4"/>
  <c r="F252" i="4" s="1"/>
  <c r="G249" i="4" s="1"/>
  <c r="G255" i="4" s="1"/>
  <c r="E257" i="4"/>
  <c r="E259" i="4" s="1"/>
  <c r="E318" i="4"/>
  <c r="Q206" i="4"/>
  <c r="Q208" i="4" s="1"/>
  <c r="Q209" i="4" s="1"/>
  <c r="Q210" i="4" s="1"/>
  <c r="Q211" i="4" s="1"/>
  <c r="Q315" i="4"/>
  <c r="AI312" i="4"/>
  <c r="AI327" i="4" s="1"/>
  <c r="AI356" i="4" s="1"/>
  <c r="R315" i="4"/>
  <c r="V189" i="4"/>
  <c r="V191" i="4" s="1"/>
  <c r="V192" i="4" s="1"/>
  <c r="V193" i="4" s="1"/>
  <c r="V314" i="4"/>
  <c r="R206" i="4"/>
  <c r="AC301" i="4"/>
  <c r="AC340" i="4" s="1"/>
  <c r="I243" i="4"/>
  <c r="I244" i="4" s="1"/>
  <c r="I245" i="4" s="1"/>
  <c r="O215" i="4"/>
  <c r="M226" i="4"/>
  <c r="M227" i="4" s="1"/>
  <c r="M228" i="4" s="1"/>
  <c r="X181" i="4"/>
  <c r="U192" i="4"/>
  <c r="U193" i="4" s="1"/>
  <c r="AG161" i="4"/>
  <c r="AF165" i="4" s="1"/>
  <c r="AI155" i="4"/>
  <c r="AI157" i="4" s="1"/>
  <c r="AI158" i="4" s="1"/>
  <c r="AI159" i="4" s="1"/>
  <c r="AJ152" i="4"/>
  <c r="AJ153" i="4"/>
  <c r="AH157" i="4"/>
  <c r="AL243" i="8" l="1"/>
  <c r="AL244" i="8" s="1"/>
  <c r="AM245" i="8" s="1"/>
  <c r="AF362" i="8"/>
  <c r="AF372" i="8" s="1"/>
  <c r="AF380" i="8" s="1"/>
  <c r="AF371" i="8"/>
  <c r="AF379" i="8" s="1"/>
  <c r="AJ250" i="8"/>
  <c r="AG279" i="8"/>
  <c r="AG281" i="8" s="1"/>
  <c r="AG334" i="8" s="1"/>
  <c r="AI260" i="8"/>
  <c r="AI261" i="8" s="1"/>
  <c r="AI262" i="8" s="1"/>
  <c r="G294" i="4"/>
  <c r="G300" i="4" s="1"/>
  <c r="G339" i="4" s="1"/>
  <c r="AE289" i="4"/>
  <c r="AE301" i="4" s="1"/>
  <c r="AE340" i="4" s="1"/>
  <c r="S200" i="4"/>
  <c r="S201" i="4" s="1"/>
  <c r="T198" i="4" s="1"/>
  <c r="O292" i="4"/>
  <c r="O299" i="4" s="1"/>
  <c r="O338" i="4" s="1"/>
  <c r="S291" i="4"/>
  <c r="S302" i="4" s="1"/>
  <c r="S341" i="4" s="1"/>
  <c r="C295" i="4"/>
  <c r="C298" i="4" s="1"/>
  <c r="C337" i="4" s="1"/>
  <c r="C270" i="4"/>
  <c r="AF289" i="4"/>
  <c r="AF168" i="4"/>
  <c r="C269" i="4"/>
  <c r="D266" i="4" s="1"/>
  <c r="V331" i="4"/>
  <c r="V360" i="4" s="1"/>
  <c r="R326" i="4"/>
  <c r="R355" i="4" s="1"/>
  <c r="E324" i="4"/>
  <c r="E353" i="4" s="1"/>
  <c r="Q326" i="4"/>
  <c r="Q355" i="4" s="1"/>
  <c r="G251" i="4"/>
  <c r="G252" i="4" s="1"/>
  <c r="G256" i="4" s="1"/>
  <c r="G254" i="4"/>
  <c r="K232" i="4"/>
  <c r="J239" i="4"/>
  <c r="J317" i="4" s="1"/>
  <c r="AC166" i="4"/>
  <c r="AC167" i="4" s="1"/>
  <c r="AC171" i="4" s="1"/>
  <c r="O217" i="4"/>
  <c r="O218" i="4" s="1"/>
  <c r="AB171" i="4"/>
  <c r="AB313" i="4" s="1"/>
  <c r="R208" i="4"/>
  <c r="R209" i="4" s="1"/>
  <c r="R210" i="4" s="1"/>
  <c r="R211" i="4" s="1"/>
  <c r="S204" i="4"/>
  <c r="X183" i="4"/>
  <c r="X184" i="4" s="1"/>
  <c r="Y181" i="4" s="1"/>
  <c r="S203" i="4"/>
  <c r="F256" i="4"/>
  <c r="F257" i="4" s="1"/>
  <c r="F259" i="4" s="1"/>
  <c r="AC170" i="4"/>
  <c r="N223" i="4"/>
  <c r="N225" i="4" s="1"/>
  <c r="N316" i="4"/>
  <c r="W189" i="4"/>
  <c r="W191" i="4" s="1"/>
  <c r="W192" i="4" s="1"/>
  <c r="W193" i="4" s="1"/>
  <c r="W194" i="4" s="1"/>
  <c r="W314" i="4"/>
  <c r="AC169" i="4"/>
  <c r="V194" i="4"/>
  <c r="I246" i="4"/>
  <c r="E260" i="4"/>
  <c r="E261" i="4" s="1"/>
  <c r="E262" i="4" s="1"/>
  <c r="M229" i="4"/>
  <c r="L233" i="4" s="1"/>
  <c r="Q212" i="4"/>
  <c r="O221" i="4"/>
  <c r="O220" i="4"/>
  <c r="U194" i="4"/>
  <c r="X187" i="4"/>
  <c r="X186" i="4"/>
  <c r="AK147" i="4"/>
  <c r="AA175" i="4"/>
  <c r="AA176" i="4" s="1"/>
  <c r="AA177" i="4" s="1"/>
  <c r="AH158" i="4"/>
  <c r="AH159" i="4" s="1"/>
  <c r="AI160" i="4" s="1"/>
  <c r="AL245" i="8" l="1"/>
  <c r="AL246" i="8" s="1"/>
  <c r="AM246" i="8" s="1"/>
  <c r="AG371" i="8"/>
  <c r="AG379" i="8" s="1"/>
  <c r="AG362" i="8"/>
  <c r="AG372" i="8" s="1"/>
  <c r="AG380" i="8" s="1"/>
  <c r="AI263" i="8"/>
  <c r="AH267" i="8" s="1"/>
  <c r="AJ253" i="8"/>
  <c r="AJ294" i="8"/>
  <c r="AJ300" i="8" s="1"/>
  <c r="AJ339" i="8" s="1"/>
  <c r="AJ251" i="8"/>
  <c r="AJ252" i="8" s="1"/>
  <c r="S205" i="4"/>
  <c r="S206" i="4" s="1"/>
  <c r="S208" i="4" s="1"/>
  <c r="H250" i="4"/>
  <c r="H253" i="4" s="1"/>
  <c r="P216" i="4"/>
  <c r="P219" i="4" s="1"/>
  <c r="L293" i="4"/>
  <c r="L306" i="4" s="1"/>
  <c r="L346" i="4" s="1"/>
  <c r="L236" i="4"/>
  <c r="C273" i="4"/>
  <c r="C319" i="4" s="1"/>
  <c r="C322" i="4" s="1"/>
  <c r="C351" i="4" s="1"/>
  <c r="AB325" i="4"/>
  <c r="AB354" i="4" s="1"/>
  <c r="W331" i="4"/>
  <c r="W360" i="4" s="1"/>
  <c r="N323" i="4"/>
  <c r="N352" i="4" s="1"/>
  <c r="J358" i="4"/>
  <c r="J330" i="4"/>
  <c r="J359" i="4" s="1"/>
  <c r="F318" i="4"/>
  <c r="E263" i="4"/>
  <c r="D267" i="4" s="1"/>
  <c r="H249" i="4"/>
  <c r="D271" i="4"/>
  <c r="D272" i="4"/>
  <c r="J240" i="4"/>
  <c r="J242" i="4" s="1"/>
  <c r="J243" i="4" s="1"/>
  <c r="J244" i="4" s="1"/>
  <c r="AB172" i="4"/>
  <c r="AB174" i="4" s="1"/>
  <c r="K238" i="4"/>
  <c r="K234" i="4"/>
  <c r="K235" i="4" s="1"/>
  <c r="K237" i="4"/>
  <c r="P215" i="4"/>
  <c r="O222" i="4"/>
  <c r="Y183" i="4"/>
  <c r="Y184" i="4" s="1"/>
  <c r="Y188" i="4" s="1"/>
  <c r="X188" i="4"/>
  <c r="G318" i="4"/>
  <c r="G257" i="4"/>
  <c r="G259" i="4" s="1"/>
  <c r="G260" i="4" s="1"/>
  <c r="G261" i="4" s="1"/>
  <c r="AJ312" i="4"/>
  <c r="AJ327" i="4" s="1"/>
  <c r="AJ356" i="4" s="1"/>
  <c r="AD164" i="4"/>
  <c r="AK153" i="4"/>
  <c r="AK149" i="4"/>
  <c r="AK150" i="4" s="1"/>
  <c r="AL147" i="4" s="1"/>
  <c r="AF301" i="4"/>
  <c r="AF340" i="4" s="1"/>
  <c r="F260" i="4"/>
  <c r="F261" i="4" s="1"/>
  <c r="F262" i="4" s="1"/>
  <c r="N226" i="4"/>
  <c r="N227" i="4" s="1"/>
  <c r="N228" i="4" s="1"/>
  <c r="R212" i="4"/>
  <c r="U195" i="4"/>
  <c r="T199" i="4" s="1"/>
  <c r="T204" i="4"/>
  <c r="T203" i="4"/>
  <c r="Y186" i="4"/>
  <c r="Y187" i="4"/>
  <c r="AJ155" i="4"/>
  <c r="AJ157" i="4" s="1"/>
  <c r="AK152" i="4"/>
  <c r="AH160" i="4"/>
  <c r="AH161" i="4" s="1"/>
  <c r="AG165" i="4" s="1"/>
  <c r="AA178" i="4"/>
  <c r="Z182" i="4" s="1"/>
  <c r="AK249" i="8" l="1"/>
  <c r="AJ256" i="8"/>
  <c r="AH270" i="8"/>
  <c r="AH295" i="8"/>
  <c r="AH298" i="8" s="1"/>
  <c r="AH337" i="8" s="1"/>
  <c r="AH268" i="8"/>
  <c r="AH269" i="8" s="1"/>
  <c r="S315" i="4"/>
  <c r="S326" i="4" s="1"/>
  <c r="S355" i="4" s="1"/>
  <c r="H251" i="4"/>
  <c r="H252" i="4" s="1"/>
  <c r="H256" i="4" s="1"/>
  <c r="P292" i="4"/>
  <c r="P299" i="4" s="1"/>
  <c r="P338" i="4" s="1"/>
  <c r="H294" i="4"/>
  <c r="H300" i="4" s="1"/>
  <c r="H339" i="4" s="1"/>
  <c r="P217" i="4"/>
  <c r="P218" i="4" s="1"/>
  <c r="Q215" i="4" s="1"/>
  <c r="Q216" i="4"/>
  <c r="Q219" i="4" s="1"/>
  <c r="D295" i="4"/>
  <c r="D298" i="4" s="1"/>
  <c r="D337" i="4" s="1"/>
  <c r="D270" i="4"/>
  <c r="AG289" i="4"/>
  <c r="AG168" i="4"/>
  <c r="C274" i="4"/>
  <c r="C276" i="4" s="1"/>
  <c r="F324" i="4"/>
  <c r="F353" i="4" s="1"/>
  <c r="H255" i="4"/>
  <c r="D268" i="4"/>
  <c r="D269" i="4" s="1"/>
  <c r="H254" i="4"/>
  <c r="G324" i="4"/>
  <c r="G353" i="4" s="1"/>
  <c r="F263" i="4"/>
  <c r="P221" i="4"/>
  <c r="P220" i="4"/>
  <c r="L232" i="4"/>
  <c r="K239" i="4"/>
  <c r="AD166" i="4"/>
  <c r="AD167" i="4" s="1"/>
  <c r="AK154" i="4"/>
  <c r="AK312" i="4" s="1"/>
  <c r="AK327" i="4" s="1"/>
  <c r="AK356" i="4" s="1"/>
  <c r="AL149" i="4"/>
  <c r="AL150" i="4" s="1"/>
  <c r="AL154" i="4" s="1"/>
  <c r="O223" i="4"/>
  <c r="O225" i="4" s="1"/>
  <c r="O226" i="4" s="1"/>
  <c r="O227" i="4" s="1"/>
  <c r="O228" i="4" s="1"/>
  <c r="O316" i="4"/>
  <c r="X189" i="4"/>
  <c r="X191" i="4" s="1"/>
  <c r="X192" i="4" s="1"/>
  <c r="X193" i="4" s="1"/>
  <c r="X194" i="4" s="1"/>
  <c r="X314" i="4"/>
  <c r="AC172" i="4"/>
  <c r="AC174" i="4" s="1"/>
  <c r="AC175" i="4" s="1"/>
  <c r="AC176" i="4" s="1"/>
  <c r="AC313" i="4"/>
  <c r="AD170" i="4"/>
  <c r="AD169" i="4"/>
  <c r="G262" i="4"/>
  <c r="N229" i="4"/>
  <c r="M233" i="4" s="1"/>
  <c r="J245" i="4"/>
  <c r="S209" i="4"/>
  <c r="S210" i="4" s="1"/>
  <c r="S211" i="4" s="1"/>
  <c r="V195" i="4"/>
  <c r="U199" i="4" s="1"/>
  <c r="Z181" i="4"/>
  <c r="AI161" i="4"/>
  <c r="AH165" i="4" s="1"/>
  <c r="AJ158" i="4"/>
  <c r="AJ159" i="4" s="1"/>
  <c r="AB175" i="4"/>
  <c r="AB176" i="4" s="1"/>
  <c r="AL153" i="4"/>
  <c r="AL152" i="4"/>
  <c r="AI266" i="8" l="1"/>
  <c r="AH273" i="8"/>
  <c r="AH319" i="8" s="1"/>
  <c r="AH322" i="8" s="1"/>
  <c r="AH351" i="8" s="1"/>
  <c r="AJ318" i="8"/>
  <c r="AJ324" i="8" s="1"/>
  <c r="AJ353" i="8" s="1"/>
  <c r="AJ257" i="8"/>
  <c r="AK255" i="8"/>
  <c r="AK254" i="8"/>
  <c r="AK250" i="8"/>
  <c r="I249" i="4"/>
  <c r="I254" i="4" s="1"/>
  <c r="Q217" i="4"/>
  <c r="Q218" i="4" s="1"/>
  <c r="Q222" i="4" s="1"/>
  <c r="Q221" i="4"/>
  <c r="Q220" i="4"/>
  <c r="P222" i="4"/>
  <c r="P223" i="4" s="1"/>
  <c r="P225" i="4" s="1"/>
  <c r="P226" i="4" s="1"/>
  <c r="P227" i="4" s="1"/>
  <c r="P228" i="4" s="1"/>
  <c r="Q292" i="4"/>
  <c r="Q299" i="4" s="1"/>
  <c r="Q338" i="4" s="1"/>
  <c r="E267" i="4"/>
  <c r="E270" i="4" s="1"/>
  <c r="M293" i="4"/>
  <c r="M306" i="4" s="1"/>
  <c r="M346" i="4" s="1"/>
  <c r="M236" i="4"/>
  <c r="T291" i="4"/>
  <c r="T302" i="4" s="1"/>
  <c r="T341" i="4" s="1"/>
  <c r="T202" i="4"/>
  <c r="Z290" i="4"/>
  <c r="Z307" i="4" s="1"/>
  <c r="Z347" i="4" s="1"/>
  <c r="Z185" i="4"/>
  <c r="AH289" i="4"/>
  <c r="AH168" i="4"/>
  <c r="C277" i="4"/>
  <c r="C278" i="4" s="1"/>
  <c r="C279" i="4" s="1"/>
  <c r="C281" i="4" s="1"/>
  <c r="C334" i="4" s="1"/>
  <c r="E266" i="4"/>
  <c r="D273" i="4"/>
  <c r="X331" i="4"/>
  <c r="X360" i="4" s="1"/>
  <c r="O323" i="4"/>
  <c r="O352" i="4" s="1"/>
  <c r="AC325" i="4"/>
  <c r="AC354" i="4" s="1"/>
  <c r="G263" i="4"/>
  <c r="K240" i="4"/>
  <c r="K242" i="4" s="1"/>
  <c r="K317" i="4"/>
  <c r="L234" i="4"/>
  <c r="L235" i="4" s="1"/>
  <c r="M232" i="4" s="1"/>
  <c r="M234" i="4" s="1"/>
  <c r="M235" i="4" s="1"/>
  <c r="M239" i="4" s="1"/>
  <c r="L238" i="4"/>
  <c r="L237" i="4"/>
  <c r="AD171" i="4"/>
  <c r="AD313" i="4" s="1"/>
  <c r="H257" i="4"/>
  <c r="H259" i="4" s="1"/>
  <c r="H318" i="4"/>
  <c r="Y189" i="4"/>
  <c r="Y191" i="4" s="1"/>
  <c r="Y314" i="4"/>
  <c r="AE164" i="4"/>
  <c r="T200" i="4"/>
  <c r="T201" i="4" s="1"/>
  <c r="T205" i="4" s="1"/>
  <c r="Z183" i="4"/>
  <c r="Z184" i="4" s="1"/>
  <c r="AA181" i="4" s="1"/>
  <c r="AG301" i="4"/>
  <c r="AG340" i="4" s="1"/>
  <c r="J246" i="4"/>
  <c r="I250" i="4" s="1"/>
  <c r="O229" i="4"/>
  <c r="N233" i="4" s="1"/>
  <c r="S212" i="4"/>
  <c r="U202" i="4"/>
  <c r="W195" i="4"/>
  <c r="Z187" i="4"/>
  <c r="Z186" i="4"/>
  <c r="AC177" i="4"/>
  <c r="AK155" i="4"/>
  <c r="AK157" i="4" s="1"/>
  <c r="AK158" i="4" s="1"/>
  <c r="AK159" i="4" s="1"/>
  <c r="AJ160" i="4"/>
  <c r="AJ161" i="4" s="1"/>
  <c r="AI165" i="4" s="1"/>
  <c r="AM147" i="4"/>
  <c r="AB177" i="4"/>
  <c r="AH274" i="8" l="1"/>
  <c r="AK251" i="8"/>
  <c r="AK252" i="8" s="1"/>
  <c r="AJ259" i="8"/>
  <c r="AH276" i="8"/>
  <c r="AK253" i="8"/>
  <c r="AK294" i="8"/>
  <c r="AK300" i="8" s="1"/>
  <c r="AK339" i="8" s="1"/>
  <c r="I255" i="4"/>
  <c r="AI272" i="8"/>
  <c r="AI271" i="8"/>
  <c r="R215" i="4"/>
  <c r="R221" i="4" s="1"/>
  <c r="P316" i="4"/>
  <c r="P323" i="4" s="1"/>
  <c r="P352" i="4" s="1"/>
  <c r="E295" i="4"/>
  <c r="E298" i="4" s="1"/>
  <c r="E337" i="4" s="1"/>
  <c r="F267" i="4"/>
  <c r="F270" i="4" s="1"/>
  <c r="R216" i="4"/>
  <c r="R219" i="4" s="1"/>
  <c r="V199" i="4"/>
  <c r="V202" i="4" s="1"/>
  <c r="N293" i="4"/>
  <c r="N306" i="4" s="1"/>
  <c r="N346" i="4" s="1"/>
  <c r="N236" i="4"/>
  <c r="AI289" i="4"/>
  <c r="AI168" i="4"/>
  <c r="C371" i="4"/>
  <c r="C379" i="4" s="1"/>
  <c r="C362" i="4"/>
  <c r="C372" i="4" s="1"/>
  <c r="C380" i="4" s="1"/>
  <c r="K358" i="4"/>
  <c r="K330" i="4"/>
  <c r="K359" i="4" s="1"/>
  <c r="H324" i="4"/>
  <c r="H353" i="4" s="1"/>
  <c r="D319" i="4"/>
  <c r="D274" i="4"/>
  <c r="D276" i="4" s="1"/>
  <c r="Y331" i="4"/>
  <c r="Y360" i="4" s="1"/>
  <c r="AD325" i="4"/>
  <c r="AD354" i="4" s="1"/>
  <c r="E272" i="4"/>
  <c r="E271" i="4"/>
  <c r="E268" i="4"/>
  <c r="E269" i="4" s="1"/>
  <c r="L239" i="4"/>
  <c r="L317" i="4" s="1"/>
  <c r="AD172" i="4"/>
  <c r="AD174" i="4" s="1"/>
  <c r="AD175" i="4" s="1"/>
  <c r="AD176" i="4" s="1"/>
  <c r="AD177" i="4" s="1"/>
  <c r="M237" i="4"/>
  <c r="M238" i="4"/>
  <c r="K243" i="4"/>
  <c r="K244" i="4" s="1"/>
  <c r="K245" i="4" s="1"/>
  <c r="K246" i="4" s="1"/>
  <c r="AM149" i="4"/>
  <c r="AM150" i="4" s="1"/>
  <c r="AM154" i="4" s="1"/>
  <c r="AE166" i="4"/>
  <c r="AE167" i="4" s="1"/>
  <c r="Z188" i="4"/>
  <c r="AE170" i="4"/>
  <c r="AL312" i="4"/>
  <c r="AL327" i="4" s="1"/>
  <c r="AL356" i="4" s="1"/>
  <c r="Q223" i="4"/>
  <c r="Q225" i="4" s="1"/>
  <c r="Q226" i="4" s="1"/>
  <c r="Q227" i="4" s="1"/>
  <c r="Q228" i="4" s="1"/>
  <c r="Q316" i="4"/>
  <c r="AE169" i="4"/>
  <c r="U291" i="4"/>
  <c r="U302" i="4" s="1"/>
  <c r="U341" i="4" s="1"/>
  <c r="AH301" i="4"/>
  <c r="AH340" i="4" s="1"/>
  <c r="H260" i="4"/>
  <c r="H261" i="4" s="1"/>
  <c r="H262" i="4" s="1"/>
  <c r="I253" i="4"/>
  <c r="N232" i="4"/>
  <c r="P229" i="4"/>
  <c r="O233" i="4" s="1"/>
  <c r="X195" i="4"/>
  <c r="W199" i="4" s="1"/>
  <c r="U198" i="4"/>
  <c r="AA187" i="4"/>
  <c r="AA186" i="4"/>
  <c r="Y192" i="4"/>
  <c r="Y193" i="4" s="1"/>
  <c r="Y194" i="4" s="1"/>
  <c r="AL155" i="4"/>
  <c r="AL157" i="4" s="1"/>
  <c r="AL158" i="4" s="1"/>
  <c r="AL159" i="4" s="1"/>
  <c r="AL160" i="4" s="1"/>
  <c r="AK160" i="4"/>
  <c r="AK161" i="4" s="1"/>
  <c r="AJ165" i="4" s="1"/>
  <c r="AM153" i="4"/>
  <c r="AM152" i="4"/>
  <c r="AB178" i="4"/>
  <c r="AA182" i="4" s="1"/>
  <c r="R220" i="4" l="1"/>
  <c r="AL249" i="8"/>
  <c r="AK256" i="8"/>
  <c r="AH277" i="8"/>
  <c r="AH278" i="8" s="1"/>
  <c r="AH279" i="8" s="1"/>
  <c r="AH281" i="8" s="1"/>
  <c r="AH334" i="8" s="1"/>
  <c r="AJ260" i="8"/>
  <c r="AJ261" i="8" s="1"/>
  <c r="AJ262" i="8" s="1"/>
  <c r="R217" i="4"/>
  <c r="R218" i="4" s="1"/>
  <c r="R222" i="4" s="1"/>
  <c r="V291" i="4"/>
  <c r="V302" i="4" s="1"/>
  <c r="V341" i="4" s="1"/>
  <c r="R292" i="4"/>
  <c r="R299" i="4" s="1"/>
  <c r="R338" i="4" s="1"/>
  <c r="F295" i="4"/>
  <c r="F298" i="4" s="1"/>
  <c r="F337" i="4" s="1"/>
  <c r="J250" i="4"/>
  <c r="J253" i="4" s="1"/>
  <c r="O293" i="4"/>
  <c r="O306" i="4" s="1"/>
  <c r="O346" i="4" s="1"/>
  <c r="O236" i="4"/>
  <c r="W291" i="4"/>
  <c r="W302" i="4" s="1"/>
  <c r="W341" i="4" s="1"/>
  <c r="W202" i="4"/>
  <c r="AA290" i="4"/>
  <c r="AA307" i="4" s="1"/>
  <c r="AA347" i="4" s="1"/>
  <c r="AA185" i="4"/>
  <c r="AJ289" i="4"/>
  <c r="AJ168" i="4"/>
  <c r="D277" i="4"/>
  <c r="D278" i="4" s="1"/>
  <c r="D279" i="4" s="1"/>
  <c r="D281" i="4" s="1"/>
  <c r="D334" i="4" s="1"/>
  <c r="D371" i="4" s="1"/>
  <c r="D379" i="4" s="1"/>
  <c r="L358" i="4"/>
  <c r="L330" i="4"/>
  <c r="L359" i="4" s="1"/>
  <c r="F266" i="4"/>
  <c r="E273" i="4"/>
  <c r="E274" i="4" s="1"/>
  <c r="E276" i="4" s="1"/>
  <c r="E277" i="4" s="1"/>
  <c r="Q323" i="4"/>
  <c r="Q352" i="4" s="1"/>
  <c r="D322" i="4"/>
  <c r="D351" i="4" s="1"/>
  <c r="H263" i="4"/>
  <c r="L240" i="4"/>
  <c r="L242" i="4" s="1"/>
  <c r="L243" i="4" s="1"/>
  <c r="L244" i="4" s="1"/>
  <c r="AF164" i="4"/>
  <c r="AF170" i="4" s="1"/>
  <c r="AE171" i="4"/>
  <c r="AE172" i="4" s="1"/>
  <c r="AE174" i="4" s="1"/>
  <c r="U200" i="4"/>
  <c r="U201" i="4" s="1"/>
  <c r="N234" i="4"/>
  <c r="N235" i="4" s="1"/>
  <c r="N239" i="4" s="1"/>
  <c r="AM312" i="4"/>
  <c r="AM327" i="4" s="1"/>
  <c r="AM356" i="4" s="1"/>
  <c r="Z189" i="4"/>
  <c r="Z191" i="4" s="1"/>
  <c r="Z314" i="4"/>
  <c r="T206" i="4"/>
  <c r="T208" i="4" s="1"/>
  <c r="T315" i="4"/>
  <c r="M240" i="4"/>
  <c r="M317" i="4"/>
  <c r="I294" i="4"/>
  <c r="I300" i="4" s="1"/>
  <c r="I339" i="4" s="1"/>
  <c r="I251" i="4"/>
  <c r="I252" i="4" s="1"/>
  <c r="I256" i="4" s="1"/>
  <c r="AA183" i="4"/>
  <c r="AA184" i="4" s="1"/>
  <c r="AA188" i="4" s="1"/>
  <c r="AI301" i="4"/>
  <c r="AI340" i="4" s="1"/>
  <c r="Q229" i="4"/>
  <c r="P233" i="4" s="1"/>
  <c r="N237" i="4"/>
  <c r="N238" i="4"/>
  <c r="Y195" i="4"/>
  <c r="U204" i="4"/>
  <c r="U203" i="4"/>
  <c r="AC178" i="4"/>
  <c r="AB182" i="4" s="1"/>
  <c r="AL161" i="4"/>
  <c r="AK165" i="4" s="1"/>
  <c r="AM155" i="4"/>
  <c r="AM157" i="4" s="1"/>
  <c r="AJ263" i="8" l="1"/>
  <c r="AI267" i="8" s="1"/>
  <c r="AH371" i="8"/>
  <c r="AH379" i="8" s="1"/>
  <c r="AH362" i="8"/>
  <c r="AH372" i="8" s="1"/>
  <c r="AH380" i="8" s="1"/>
  <c r="AK318" i="8"/>
  <c r="AK324" i="8" s="1"/>
  <c r="AK353" i="8" s="1"/>
  <c r="AK257" i="8"/>
  <c r="AL255" i="8"/>
  <c r="AL254" i="8"/>
  <c r="AL250" i="8"/>
  <c r="AL251" i="8" s="1"/>
  <c r="S215" i="4"/>
  <c r="S220" i="4" s="1"/>
  <c r="J294" i="4"/>
  <c r="J300" i="4" s="1"/>
  <c r="J339" i="4" s="1"/>
  <c r="G267" i="4"/>
  <c r="G270" i="4" s="1"/>
  <c r="X199" i="4"/>
  <c r="X202" i="4" s="1"/>
  <c r="P293" i="4"/>
  <c r="P306" i="4" s="1"/>
  <c r="P346" i="4" s="1"/>
  <c r="P236" i="4"/>
  <c r="AK289" i="4"/>
  <c r="AK168" i="4"/>
  <c r="D362" i="4"/>
  <c r="D372" i="4" s="1"/>
  <c r="D380" i="4" s="1"/>
  <c r="E278" i="4"/>
  <c r="E279" i="4" s="1"/>
  <c r="E281" i="4" s="1"/>
  <c r="E334" i="4" s="1"/>
  <c r="Z331" i="4"/>
  <c r="Z360" i="4" s="1"/>
  <c r="M358" i="4"/>
  <c r="M330" i="4"/>
  <c r="M359" i="4" s="1"/>
  <c r="E319" i="4"/>
  <c r="F271" i="4"/>
  <c r="F272" i="4"/>
  <c r="F268" i="4"/>
  <c r="F269" i="4" s="1"/>
  <c r="G266" i="4" s="1"/>
  <c r="T326" i="4"/>
  <c r="T355" i="4" s="1"/>
  <c r="AF169" i="4"/>
  <c r="M242" i="4"/>
  <c r="M243" i="4" s="1"/>
  <c r="M244" i="4" s="1"/>
  <c r="M245" i="4" s="1"/>
  <c r="L245" i="4"/>
  <c r="L246" i="4" s="1"/>
  <c r="AE313" i="4"/>
  <c r="V198" i="4"/>
  <c r="V203" i="4" s="1"/>
  <c r="U205" i="4"/>
  <c r="AF166" i="4"/>
  <c r="AF167" i="4" s="1"/>
  <c r="AF171" i="4" s="1"/>
  <c r="AF313" i="4" s="1"/>
  <c r="AF325" i="4" s="1"/>
  <c r="R223" i="4"/>
  <c r="R225" i="4" s="1"/>
  <c r="R316" i="4"/>
  <c r="AB181" i="4"/>
  <c r="AJ301" i="4"/>
  <c r="AJ340" i="4" s="1"/>
  <c r="J249" i="4"/>
  <c r="O232" i="4"/>
  <c r="T209" i="4"/>
  <c r="T210" i="4" s="1"/>
  <c r="T211" i="4" s="1"/>
  <c r="Z192" i="4"/>
  <c r="Z193" i="4" s="1"/>
  <c r="Z194" i="4" s="1"/>
  <c r="AD178" i="4"/>
  <c r="AC182" i="4" s="1"/>
  <c r="AM158" i="4"/>
  <c r="AM159" i="4" s="1"/>
  <c r="AM160" i="4" s="1"/>
  <c r="AE175" i="4"/>
  <c r="AE176" i="4" s="1"/>
  <c r="AE177" i="4" s="1"/>
  <c r="AL252" i="8" l="1"/>
  <c r="AK259" i="8"/>
  <c r="AL253" i="8"/>
  <c r="AL294" i="8"/>
  <c r="AL300" i="8" s="1"/>
  <c r="AL339" i="8" s="1"/>
  <c r="AM294" i="8"/>
  <c r="AM300" i="8" s="1"/>
  <c r="AM339" i="8" s="1"/>
  <c r="AI270" i="8"/>
  <c r="AI295" i="8"/>
  <c r="AI298" i="8" s="1"/>
  <c r="AI337" i="8" s="1"/>
  <c r="AI268" i="8"/>
  <c r="AI269" i="8" s="1"/>
  <c r="S221" i="4"/>
  <c r="X291" i="4"/>
  <c r="X302" i="4" s="1"/>
  <c r="X341" i="4" s="1"/>
  <c r="G295" i="4"/>
  <c r="G298" i="4" s="1"/>
  <c r="G337" i="4" s="1"/>
  <c r="K250" i="4"/>
  <c r="K253" i="4" s="1"/>
  <c r="AB290" i="4"/>
  <c r="AB307" i="4" s="1"/>
  <c r="AB347" i="4" s="1"/>
  <c r="AB185" i="4"/>
  <c r="E371" i="4"/>
  <c r="E379" i="4" s="1"/>
  <c r="E322" i="4"/>
  <c r="E351" i="4" s="1"/>
  <c r="E362" i="4" s="1"/>
  <c r="E372" i="4" s="1"/>
  <c r="E380" i="4" s="1"/>
  <c r="F273" i="4"/>
  <c r="F274" i="4" s="1"/>
  <c r="G271" i="4"/>
  <c r="G272" i="4"/>
  <c r="G268" i="4"/>
  <c r="G269" i="4" s="1"/>
  <c r="H266" i="4" s="1"/>
  <c r="R323" i="4"/>
  <c r="R352" i="4" s="1"/>
  <c r="AE325" i="4"/>
  <c r="AE354" i="4" s="1"/>
  <c r="AG164" i="4"/>
  <c r="AG166" i="4" s="1"/>
  <c r="V204" i="4"/>
  <c r="J251" i="4"/>
  <c r="J252" i="4" s="1"/>
  <c r="K249" i="4" s="1"/>
  <c r="AB186" i="4"/>
  <c r="O234" i="4"/>
  <c r="O235" i="4" s="1"/>
  <c r="P232" i="4" s="1"/>
  <c r="V200" i="4"/>
  <c r="V201" i="4" s="1"/>
  <c r="W198" i="4" s="1"/>
  <c r="N240" i="4"/>
  <c r="N242" i="4" s="1"/>
  <c r="N317" i="4"/>
  <c r="U206" i="4"/>
  <c r="U208" i="4" s="1"/>
  <c r="U315" i="4"/>
  <c r="I257" i="4"/>
  <c r="I259" i="4" s="1"/>
  <c r="I318" i="4"/>
  <c r="AA189" i="4"/>
  <c r="AA191" i="4" s="1"/>
  <c r="AA192" i="4" s="1"/>
  <c r="AA193" i="4" s="1"/>
  <c r="AA194" i="4" s="1"/>
  <c r="AA314" i="4"/>
  <c r="AB187" i="4"/>
  <c r="AF354" i="4"/>
  <c r="AB183" i="4"/>
  <c r="AB184" i="4" s="1"/>
  <c r="AB188" i="4" s="1"/>
  <c r="AK301" i="4"/>
  <c r="AK340" i="4" s="1"/>
  <c r="J255" i="4"/>
  <c r="J254" i="4"/>
  <c r="M246" i="4"/>
  <c r="O237" i="4"/>
  <c r="O238" i="4"/>
  <c r="T212" i="4"/>
  <c r="S216" i="4" s="1"/>
  <c r="R226" i="4"/>
  <c r="R227" i="4" s="1"/>
  <c r="R228" i="4" s="1"/>
  <c r="Z195" i="4"/>
  <c r="AF172" i="4"/>
  <c r="AF174" i="4" s="1"/>
  <c r="AM161" i="4"/>
  <c r="AE178" i="4"/>
  <c r="AD182" i="4" s="1"/>
  <c r="AJ266" i="8" l="1"/>
  <c r="AI273" i="8"/>
  <c r="AK260" i="8"/>
  <c r="AK261" i="8" s="1"/>
  <c r="AK262" i="8" s="1"/>
  <c r="AM249" i="8"/>
  <c r="AL256" i="8"/>
  <c r="AL318" i="8" s="1"/>
  <c r="AL324" i="8" s="1"/>
  <c r="AL353" i="8" s="1"/>
  <c r="K294" i="4"/>
  <c r="K300" i="4" s="1"/>
  <c r="K339" i="4" s="1"/>
  <c r="L250" i="4"/>
  <c r="L253" i="4" s="1"/>
  <c r="Y199" i="4"/>
  <c r="Y202" i="4" s="1"/>
  <c r="AL165" i="4"/>
  <c r="AL168" i="4" s="1"/>
  <c r="S292" i="4"/>
  <c r="S299" i="4" s="1"/>
  <c r="S338" i="4" s="1"/>
  <c r="S219" i="4"/>
  <c r="AC290" i="4"/>
  <c r="AC307" i="4" s="1"/>
  <c r="AC347" i="4" s="1"/>
  <c r="AC185" i="4"/>
  <c r="G273" i="4"/>
  <c r="G274" i="4" s="1"/>
  <c r="G276" i="4" s="1"/>
  <c r="F276" i="4"/>
  <c r="H271" i="4"/>
  <c r="H272" i="4"/>
  <c r="N358" i="4"/>
  <c r="N330" i="4"/>
  <c r="N359" i="4" s="1"/>
  <c r="AA331" i="4"/>
  <c r="AA360" i="4" s="1"/>
  <c r="I324" i="4"/>
  <c r="I353" i="4" s="1"/>
  <c r="F319" i="4"/>
  <c r="U326" i="4"/>
  <c r="U355" i="4" s="1"/>
  <c r="AG167" i="4"/>
  <c r="AH164" i="4" s="1"/>
  <c r="AH166" i="4" s="1"/>
  <c r="AH167" i="4" s="1"/>
  <c r="AG170" i="4"/>
  <c r="AG169" i="4"/>
  <c r="V205" i="4"/>
  <c r="V206" i="4" s="1"/>
  <c r="V208" i="4" s="1"/>
  <c r="V209" i="4" s="1"/>
  <c r="V210" i="4" s="1"/>
  <c r="W200" i="4"/>
  <c r="W201" i="4" s="1"/>
  <c r="W205" i="4" s="1"/>
  <c r="P234" i="4"/>
  <c r="P235" i="4" s="1"/>
  <c r="Q232" i="4" s="1"/>
  <c r="K251" i="4"/>
  <c r="K252" i="4" s="1"/>
  <c r="K256" i="4" s="1"/>
  <c r="J256" i="4"/>
  <c r="O239" i="4"/>
  <c r="S217" i="4"/>
  <c r="S218" i="4" s="1"/>
  <c r="S222" i="4" s="1"/>
  <c r="K255" i="4"/>
  <c r="K254" i="4"/>
  <c r="I260" i="4"/>
  <c r="I261" i="4" s="1"/>
  <c r="I262" i="4" s="1"/>
  <c r="R229" i="4"/>
  <c r="Q233" i="4" s="1"/>
  <c r="P238" i="4"/>
  <c r="P237" i="4"/>
  <c r="N243" i="4"/>
  <c r="N244" i="4" s="1"/>
  <c r="N245" i="4" s="1"/>
  <c r="AA195" i="4"/>
  <c r="U209" i="4"/>
  <c r="U210" i="4" s="1"/>
  <c r="W204" i="4"/>
  <c r="W203" i="4"/>
  <c r="AC181" i="4"/>
  <c r="AF175" i="4"/>
  <c r="AF176" i="4" s="1"/>
  <c r="AM255" i="8" l="1"/>
  <c r="AM254" i="8"/>
  <c r="AM251" i="8"/>
  <c r="AM252" i="8" s="1"/>
  <c r="AM256" i="8" s="1"/>
  <c r="AM318" i="8" s="1"/>
  <c r="AM324" i="8" s="1"/>
  <c r="AM353" i="8" s="1"/>
  <c r="AI319" i="8"/>
  <c r="AI322" i="8" s="1"/>
  <c r="AI351" i="8" s="1"/>
  <c r="AI274" i="8"/>
  <c r="AK263" i="8"/>
  <c r="AJ267" i="8" s="1"/>
  <c r="AJ271" i="8"/>
  <c r="AJ272" i="8"/>
  <c r="AL257" i="8"/>
  <c r="Y291" i="4"/>
  <c r="Y302" i="4" s="1"/>
  <c r="Y341" i="4" s="1"/>
  <c r="AM289" i="4"/>
  <c r="AM301" i="4" s="1"/>
  <c r="AM340" i="4" s="1"/>
  <c r="AL289" i="4"/>
  <c r="AL301" i="4" s="1"/>
  <c r="AL340" i="4" s="1"/>
  <c r="L294" i="4"/>
  <c r="L300" i="4" s="1"/>
  <c r="L339" i="4" s="1"/>
  <c r="Z199" i="4"/>
  <c r="Z202" i="4" s="1"/>
  <c r="Q293" i="4"/>
  <c r="Q306" i="4" s="1"/>
  <c r="Q346" i="4" s="1"/>
  <c r="Q236" i="4"/>
  <c r="AD290" i="4"/>
  <c r="AD307" i="4" s="1"/>
  <c r="AD347" i="4" s="1"/>
  <c r="AD185" i="4"/>
  <c r="G319" i="4"/>
  <c r="G322" i="4" s="1"/>
  <c r="G351" i="4" s="1"/>
  <c r="G277" i="4"/>
  <c r="G278" i="4" s="1"/>
  <c r="F277" i="4"/>
  <c r="F278" i="4" s="1"/>
  <c r="F279" i="4" s="1"/>
  <c r="F281" i="4" s="1"/>
  <c r="F334" i="4" s="1"/>
  <c r="F371" i="4" s="1"/>
  <c r="F379" i="4" s="1"/>
  <c r="AH170" i="4"/>
  <c r="AH169" i="4"/>
  <c r="F322" i="4"/>
  <c r="F351" i="4" s="1"/>
  <c r="AG171" i="4"/>
  <c r="AG313" i="4" s="1"/>
  <c r="I263" i="4"/>
  <c r="V315" i="4"/>
  <c r="P239" i="4"/>
  <c r="AH171" i="4"/>
  <c r="AC183" i="4"/>
  <c r="AC184" i="4" s="1"/>
  <c r="AC188" i="4" s="1"/>
  <c r="J257" i="4"/>
  <c r="J259" i="4" s="1"/>
  <c r="J318" i="4"/>
  <c r="AB189" i="4"/>
  <c r="AB191" i="4" s="1"/>
  <c r="AB314" i="4"/>
  <c r="AI164" i="4"/>
  <c r="O240" i="4"/>
  <c r="O242" i="4" s="1"/>
  <c r="O317" i="4"/>
  <c r="Q234" i="4"/>
  <c r="Q235" i="4" s="1"/>
  <c r="Q239" i="4" s="1"/>
  <c r="L249" i="4"/>
  <c r="N246" i="4"/>
  <c r="V211" i="4"/>
  <c r="Q238" i="4"/>
  <c r="Q237" i="4"/>
  <c r="T215" i="4"/>
  <c r="X198" i="4"/>
  <c r="U211" i="4"/>
  <c r="AC187" i="4"/>
  <c r="AC186" i="4"/>
  <c r="AF177" i="4"/>
  <c r="AJ270" i="8" l="1"/>
  <c r="AJ295" i="8"/>
  <c r="AJ298" i="8" s="1"/>
  <c r="AJ337" i="8" s="1"/>
  <c r="AI276" i="8"/>
  <c r="AL259" i="8"/>
  <c r="AJ268" i="8"/>
  <c r="AJ269" i="8" s="1"/>
  <c r="AM257" i="8"/>
  <c r="AM259" i="8" s="1"/>
  <c r="Z291" i="4"/>
  <c r="Z302" i="4" s="1"/>
  <c r="Z341" i="4" s="1"/>
  <c r="H267" i="4"/>
  <c r="H270" i="4" s="1"/>
  <c r="M250" i="4"/>
  <c r="M253" i="4" s="1"/>
  <c r="G279" i="4"/>
  <c r="G281" i="4" s="1"/>
  <c r="G334" i="4" s="1"/>
  <c r="G371" i="4" s="1"/>
  <c r="G379" i="4" s="1"/>
  <c r="F362" i="4"/>
  <c r="F372" i="4" s="1"/>
  <c r="F380" i="4" s="1"/>
  <c r="AH313" i="4"/>
  <c r="AH325" i="4" s="1"/>
  <c r="AH354" i="4" s="1"/>
  <c r="AG325" i="4"/>
  <c r="AG354" i="4" s="1"/>
  <c r="O358" i="4"/>
  <c r="O330" i="4"/>
  <c r="O359" i="4" s="1"/>
  <c r="AB331" i="4"/>
  <c r="AB360" i="4" s="1"/>
  <c r="AG172" i="4"/>
  <c r="AG174" i="4" s="1"/>
  <c r="AG175" i="4" s="1"/>
  <c r="AG176" i="4" s="1"/>
  <c r="AG177" i="4" s="1"/>
  <c r="J324" i="4"/>
  <c r="J353" i="4" s="1"/>
  <c r="V326" i="4"/>
  <c r="V355" i="4" s="1"/>
  <c r="AH172" i="4"/>
  <c r="X200" i="4"/>
  <c r="X201" i="4" s="1"/>
  <c r="X205" i="4" s="1"/>
  <c r="AI166" i="4"/>
  <c r="AI167" i="4" s="1"/>
  <c r="AJ164" i="4" s="1"/>
  <c r="L251" i="4"/>
  <c r="L252" i="4" s="1"/>
  <c r="L256" i="4" s="1"/>
  <c r="P240" i="4"/>
  <c r="P242" i="4" s="1"/>
  <c r="P243" i="4" s="1"/>
  <c r="P244" i="4" s="1"/>
  <c r="P317" i="4"/>
  <c r="K257" i="4"/>
  <c r="K259" i="4" s="1"/>
  <c r="K318" i="4"/>
  <c r="AI170" i="4"/>
  <c r="W206" i="4"/>
  <c r="W208" i="4" s="1"/>
  <c r="W315" i="4"/>
  <c r="AI169" i="4"/>
  <c r="S223" i="4"/>
  <c r="S225" i="4" s="1"/>
  <c r="S316" i="4"/>
  <c r="J260" i="4"/>
  <c r="J261" i="4" s="1"/>
  <c r="J262" i="4" s="1"/>
  <c r="L254" i="4"/>
  <c r="L255" i="4"/>
  <c r="R232" i="4"/>
  <c r="O243" i="4"/>
  <c r="O244" i="4" s="1"/>
  <c r="O245" i="4" s="1"/>
  <c r="T221" i="4"/>
  <c r="T220" i="4"/>
  <c r="U212" i="4"/>
  <c r="T216" i="4" s="1"/>
  <c r="X203" i="4"/>
  <c r="X204" i="4"/>
  <c r="AD181" i="4"/>
  <c r="AB192" i="4"/>
  <c r="AB193" i="4" s="1"/>
  <c r="AB194" i="4" s="1"/>
  <c r="AF178" i="4"/>
  <c r="AE182" i="4" s="1"/>
  <c r="AM260" i="8" l="1"/>
  <c r="AM261" i="8" s="1"/>
  <c r="AK266" i="8"/>
  <c r="AJ273" i="8"/>
  <c r="AL260" i="8"/>
  <c r="AL261" i="8" s="1"/>
  <c r="AM262" i="8" s="1"/>
  <c r="AI277" i="8"/>
  <c r="AI278" i="8" s="1"/>
  <c r="AI279" i="8" s="1"/>
  <c r="AI281" i="8" s="1"/>
  <c r="AI334" i="8" s="1"/>
  <c r="H295" i="4"/>
  <c r="H298" i="4" s="1"/>
  <c r="H337" i="4" s="1"/>
  <c r="H268" i="4"/>
  <c r="H269" i="4" s="1"/>
  <c r="I266" i="4" s="1"/>
  <c r="I271" i="4" s="1"/>
  <c r="M294" i="4"/>
  <c r="M300" i="4" s="1"/>
  <c r="M339" i="4" s="1"/>
  <c r="AE290" i="4"/>
  <c r="AE307" i="4" s="1"/>
  <c r="AE347" i="4" s="1"/>
  <c r="AE185" i="4"/>
  <c r="G362" i="4"/>
  <c r="G372" i="4" s="1"/>
  <c r="G380" i="4" s="1"/>
  <c r="S323" i="4"/>
  <c r="S352" i="4" s="1"/>
  <c r="P358" i="4"/>
  <c r="P330" i="4"/>
  <c r="P359" i="4" s="1"/>
  <c r="AH174" i="4"/>
  <c r="AH175" i="4" s="1"/>
  <c r="AH176" i="4" s="1"/>
  <c r="AH177" i="4" s="1"/>
  <c r="W326" i="4"/>
  <c r="W355" i="4" s="1"/>
  <c r="K324" i="4"/>
  <c r="K353" i="4" s="1"/>
  <c r="J263" i="4"/>
  <c r="I267" i="4" s="1"/>
  <c r="AI171" i="4"/>
  <c r="AI313" i="4" s="1"/>
  <c r="AD183" i="4"/>
  <c r="AD184" i="4" s="1"/>
  <c r="AE181" i="4" s="1"/>
  <c r="AJ166" i="4"/>
  <c r="AJ167" i="4" s="1"/>
  <c r="AJ171" i="4" s="1"/>
  <c r="AC189" i="4"/>
  <c r="AC191" i="4" s="1"/>
  <c r="AC314" i="4"/>
  <c r="Q240" i="4"/>
  <c r="Q242" i="4" s="1"/>
  <c r="Q317" i="4"/>
  <c r="M249" i="4"/>
  <c r="L318" i="4"/>
  <c r="K260" i="4"/>
  <c r="K261" i="4" s="1"/>
  <c r="K262" i="4" s="1"/>
  <c r="O246" i="4"/>
  <c r="P245" i="4"/>
  <c r="R237" i="4"/>
  <c r="R238" i="4"/>
  <c r="Y198" i="4"/>
  <c r="V212" i="4"/>
  <c r="S226" i="4"/>
  <c r="S227" i="4" s="1"/>
  <c r="S228" i="4" s="1"/>
  <c r="AB195" i="4"/>
  <c r="W209" i="4"/>
  <c r="W210" i="4" s="1"/>
  <c r="W211" i="4" s="1"/>
  <c r="AD186" i="4"/>
  <c r="AD187" i="4"/>
  <c r="AG178" i="4"/>
  <c r="AF182" i="4" s="1"/>
  <c r="AJ170" i="4"/>
  <c r="AJ169" i="4"/>
  <c r="AL262" i="8" l="1"/>
  <c r="AL263" i="8" s="1"/>
  <c r="AK267" i="8" s="1"/>
  <c r="AJ319" i="8"/>
  <c r="AJ322" i="8" s="1"/>
  <c r="AJ351" i="8" s="1"/>
  <c r="AJ274" i="8"/>
  <c r="AI371" i="8"/>
  <c r="AI379" i="8" s="1"/>
  <c r="AI362" i="8"/>
  <c r="AI372" i="8" s="1"/>
  <c r="AI380" i="8" s="1"/>
  <c r="AK271" i="8"/>
  <c r="AK272" i="8"/>
  <c r="I272" i="4"/>
  <c r="H273" i="4"/>
  <c r="H274" i="4" s="1"/>
  <c r="H276" i="4" s="1"/>
  <c r="H277" i="4" s="1"/>
  <c r="H278" i="4" s="1"/>
  <c r="H279" i="4" s="1"/>
  <c r="H281" i="4" s="1"/>
  <c r="H334" i="4" s="1"/>
  <c r="H371" i="4" s="1"/>
  <c r="H379" i="4" s="1"/>
  <c r="N250" i="4"/>
  <c r="N253" i="4" s="1"/>
  <c r="U216" i="4"/>
  <c r="U219" i="4" s="1"/>
  <c r="AA199" i="4"/>
  <c r="AA202" i="4" s="1"/>
  <c r="I295" i="4"/>
  <c r="I298" i="4" s="1"/>
  <c r="I337" i="4" s="1"/>
  <c r="I270" i="4"/>
  <c r="T292" i="4"/>
  <c r="T299" i="4" s="1"/>
  <c r="T338" i="4" s="1"/>
  <c r="T219" i="4"/>
  <c r="AI325" i="4"/>
  <c r="AI354" i="4" s="1"/>
  <c r="I268" i="4"/>
  <c r="I269" i="4" s="1"/>
  <c r="J266" i="4" s="1"/>
  <c r="J272" i="4" s="1"/>
  <c r="L324" i="4"/>
  <c r="L353" i="4" s="1"/>
  <c r="AC331" i="4"/>
  <c r="AC360" i="4" s="1"/>
  <c r="Q358" i="4"/>
  <c r="Q330" i="4"/>
  <c r="Q359" i="4" s="1"/>
  <c r="K263" i="4"/>
  <c r="AE183" i="4"/>
  <c r="AE184" i="4" s="1"/>
  <c r="AE188" i="4" s="1"/>
  <c r="AD188" i="4"/>
  <c r="M251" i="4"/>
  <c r="M252" i="4" s="1"/>
  <c r="M256" i="4" s="1"/>
  <c r="AI172" i="4"/>
  <c r="AI174" i="4" s="1"/>
  <c r="AI175" i="4" s="1"/>
  <c r="AI176" i="4" s="1"/>
  <c r="AI177" i="4" s="1"/>
  <c r="X206" i="4"/>
  <c r="X208" i="4" s="1"/>
  <c r="X315" i="4"/>
  <c r="L257" i="4"/>
  <c r="L259" i="4" s="1"/>
  <c r="M254" i="4"/>
  <c r="M255" i="4"/>
  <c r="T217" i="4"/>
  <c r="T218" i="4" s="1"/>
  <c r="T222" i="4" s="1"/>
  <c r="AK164" i="4"/>
  <c r="Y204" i="4"/>
  <c r="Y200" i="4"/>
  <c r="Y201" i="4" s="1"/>
  <c r="Z198" i="4" s="1"/>
  <c r="P246" i="4"/>
  <c r="Y203" i="4"/>
  <c r="Q243" i="4"/>
  <c r="Q244" i="4" s="1"/>
  <c r="Q245" i="4" s="1"/>
  <c r="S229" i="4"/>
  <c r="R233" i="4" s="1"/>
  <c r="W212" i="4"/>
  <c r="AE187" i="4"/>
  <c r="AE186" i="4"/>
  <c r="AC192" i="4"/>
  <c r="AC193" i="4" s="1"/>
  <c r="AC194" i="4" s="1"/>
  <c r="AH178" i="4"/>
  <c r="AG182" i="4" s="1"/>
  <c r="AJ313" i="4"/>
  <c r="AJ325" i="4" s="1"/>
  <c r="H319" i="4" l="1"/>
  <c r="H322" i="4" s="1"/>
  <c r="H351" i="4" s="1"/>
  <c r="AK270" i="8"/>
  <c r="AK295" i="8"/>
  <c r="AK298" i="8" s="1"/>
  <c r="AK337" i="8" s="1"/>
  <c r="AJ276" i="8"/>
  <c r="AK268" i="8"/>
  <c r="AK269" i="8" s="1"/>
  <c r="AM263" i="8"/>
  <c r="N294" i="4"/>
  <c r="N300" i="4" s="1"/>
  <c r="N339" i="4" s="1"/>
  <c r="U292" i="4"/>
  <c r="U299" i="4" s="1"/>
  <c r="U338" i="4" s="1"/>
  <c r="AA291" i="4"/>
  <c r="AA302" i="4" s="1"/>
  <c r="AA341" i="4" s="1"/>
  <c r="J267" i="4"/>
  <c r="J270" i="4" s="1"/>
  <c r="O250" i="4"/>
  <c r="O253" i="4" s="1"/>
  <c r="V216" i="4"/>
  <c r="V219" i="4" s="1"/>
  <c r="R293" i="4"/>
  <c r="R306" i="4" s="1"/>
  <c r="R346" i="4" s="1"/>
  <c r="R236" i="4"/>
  <c r="AF290" i="4"/>
  <c r="AF307" i="4" s="1"/>
  <c r="AF347" i="4" s="1"/>
  <c r="AF185" i="4"/>
  <c r="J271" i="4"/>
  <c r="I273" i="4"/>
  <c r="I319" i="4" s="1"/>
  <c r="I322" i="4" s="1"/>
  <c r="I351" i="4" s="1"/>
  <c r="H362" i="4"/>
  <c r="H372" i="4" s="1"/>
  <c r="H380" i="4" s="1"/>
  <c r="X326" i="4"/>
  <c r="X355" i="4" s="1"/>
  <c r="N249" i="4"/>
  <c r="N254" i="4" s="1"/>
  <c r="Z200" i="4"/>
  <c r="Z201" i="4" s="1"/>
  <c r="Z205" i="4" s="1"/>
  <c r="AK166" i="4"/>
  <c r="AK167" i="4" s="1"/>
  <c r="Y205" i="4"/>
  <c r="M257" i="4"/>
  <c r="M259" i="4" s="1"/>
  <c r="M260" i="4" s="1"/>
  <c r="M261" i="4" s="1"/>
  <c r="M318" i="4"/>
  <c r="AD189" i="4"/>
  <c r="AD191" i="4" s="1"/>
  <c r="AD314" i="4"/>
  <c r="AK170" i="4"/>
  <c r="AK169" i="4"/>
  <c r="R234" i="4"/>
  <c r="R235" i="4" s="1"/>
  <c r="R239" i="4" s="1"/>
  <c r="AJ354" i="4"/>
  <c r="Q246" i="4"/>
  <c r="L260" i="4"/>
  <c r="L261" i="4" s="1"/>
  <c r="U215" i="4"/>
  <c r="X209" i="4"/>
  <c r="X210" i="4" s="1"/>
  <c r="X211" i="4" s="1"/>
  <c r="AC195" i="4"/>
  <c r="Z204" i="4"/>
  <c r="Z203" i="4"/>
  <c r="AF181" i="4"/>
  <c r="AJ172" i="4"/>
  <c r="AJ174" i="4" s="1"/>
  <c r="AI178" i="4"/>
  <c r="AH182" i="4" s="1"/>
  <c r="AJ277" i="8" l="1"/>
  <c r="AJ278" i="8" s="1"/>
  <c r="AJ279" i="8" s="1"/>
  <c r="AJ281" i="8" s="1"/>
  <c r="AJ334" i="8" s="1"/>
  <c r="AL266" i="8"/>
  <c r="AK273" i="8"/>
  <c r="J268" i="4"/>
  <c r="J269" i="4" s="1"/>
  <c r="K266" i="4" s="1"/>
  <c r="K271" i="4" s="1"/>
  <c r="O294" i="4"/>
  <c r="O300" i="4" s="1"/>
  <c r="O339" i="4" s="1"/>
  <c r="J295" i="4"/>
  <c r="J298" i="4" s="1"/>
  <c r="J337" i="4" s="1"/>
  <c r="V292" i="4"/>
  <c r="V299" i="4" s="1"/>
  <c r="V338" i="4" s="1"/>
  <c r="P250" i="4"/>
  <c r="P253" i="4" s="1"/>
  <c r="AB199" i="4"/>
  <c r="AB202" i="4" s="1"/>
  <c r="I274" i="4"/>
  <c r="I276" i="4" s="1"/>
  <c r="I277" i="4" s="1"/>
  <c r="I278" i="4" s="1"/>
  <c r="I279" i="4" s="1"/>
  <c r="I281" i="4" s="1"/>
  <c r="I334" i="4" s="1"/>
  <c r="AG290" i="4"/>
  <c r="AG307" i="4" s="1"/>
  <c r="AG347" i="4" s="1"/>
  <c r="AG185" i="4"/>
  <c r="AD331" i="4"/>
  <c r="AD360" i="4" s="1"/>
  <c r="M324" i="4"/>
  <c r="M353" i="4" s="1"/>
  <c r="N255" i="4"/>
  <c r="N251" i="4"/>
  <c r="N252" i="4" s="1"/>
  <c r="N256" i="4" s="1"/>
  <c r="AL164" i="4"/>
  <c r="AL170" i="4" s="1"/>
  <c r="AK171" i="4"/>
  <c r="AK172" i="4" s="1"/>
  <c r="AK174" i="4" s="1"/>
  <c r="AK175" i="4" s="1"/>
  <c r="AK176" i="4" s="1"/>
  <c r="U217" i="4"/>
  <c r="U218" i="4" s="1"/>
  <c r="U222" i="4" s="1"/>
  <c r="AF183" i="4"/>
  <c r="AF184" i="4" s="1"/>
  <c r="AF188" i="4" s="1"/>
  <c r="Y206" i="4"/>
  <c r="Y208" i="4" s="1"/>
  <c r="Y209" i="4" s="1"/>
  <c r="Y210" i="4" s="1"/>
  <c r="Y315" i="4"/>
  <c r="AE189" i="4"/>
  <c r="AE191" i="4" s="1"/>
  <c r="AE314" i="4"/>
  <c r="T223" i="4"/>
  <c r="T225" i="4" s="1"/>
  <c r="T316" i="4"/>
  <c r="M262" i="4"/>
  <c r="L262" i="4"/>
  <c r="S232" i="4"/>
  <c r="X212" i="4"/>
  <c r="U221" i="4"/>
  <c r="U220" i="4"/>
  <c r="AA198" i="4"/>
  <c r="AF187" i="4"/>
  <c r="AF186" i="4"/>
  <c r="AD192" i="4"/>
  <c r="AD193" i="4" s="1"/>
  <c r="AD194" i="4" s="1"/>
  <c r="AJ175" i="4"/>
  <c r="AJ176" i="4" s="1"/>
  <c r="AJ177" i="4" s="1"/>
  <c r="J273" i="4" l="1"/>
  <c r="AJ362" i="8"/>
  <c r="AJ372" i="8" s="1"/>
  <c r="AJ380" i="8" s="1"/>
  <c r="AJ371" i="8"/>
  <c r="AJ379" i="8" s="1"/>
  <c r="AK319" i="8"/>
  <c r="AK322" i="8" s="1"/>
  <c r="AK351" i="8" s="1"/>
  <c r="AK274" i="8"/>
  <c r="AL271" i="8"/>
  <c r="AL272" i="8"/>
  <c r="K272" i="4"/>
  <c r="AL267" i="8"/>
  <c r="P294" i="4"/>
  <c r="P300" i="4" s="1"/>
  <c r="P339" i="4" s="1"/>
  <c r="AB291" i="4"/>
  <c r="AB302" i="4" s="1"/>
  <c r="AB341" i="4" s="1"/>
  <c r="W216" i="4"/>
  <c r="W219" i="4" s="1"/>
  <c r="AH290" i="4"/>
  <c r="AH307" i="4" s="1"/>
  <c r="AH347" i="4" s="1"/>
  <c r="AH185" i="4"/>
  <c r="O249" i="4"/>
  <c r="O254" i="4" s="1"/>
  <c r="J274" i="4"/>
  <c r="J276" i="4" s="1"/>
  <c r="J319" i="4"/>
  <c r="J322" i="4" s="1"/>
  <c r="J351" i="4" s="1"/>
  <c r="AE331" i="4"/>
  <c r="AE360" i="4" s="1"/>
  <c r="Y326" i="4"/>
  <c r="Y355" i="4" s="1"/>
  <c r="T323" i="4"/>
  <c r="T352" i="4" s="1"/>
  <c r="I371" i="4"/>
  <c r="I379" i="4" s="1"/>
  <c r="I362" i="4"/>
  <c r="I372" i="4" s="1"/>
  <c r="I380" i="4" s="1"/>
  <c r="L263" i="4"/>
  <c r="AL169" i="4"/>
  <c r="AK313" i="4"/>
  <c r="AA200" i="4"/>
  <c r="AA201" i="4" s="1"/>
  <c r="AA205" i="4" s="1"/>
  <c r="AL166" i="4"/>
  <c r="AL167" i="4" s="1"/>
  <c r="AM164" i="4" s="1"/>
  <c r="Y211" i="4"/>
  <c r="Y212" i="4" s="1"/>
  <c r="N257" i="4"/>
  <c r="N259" i="4" s="1"/>
  <c r="N318" i="4"/>
  <c r="Z206" i="4"/>
  <c r="Z208" i="4" s="1"/>
  <c r="Z315" i="4"/>
  <c r="R240" i="4"/>
  <c r="R242" i="4" s="1"/>
  <c r="R317" i="4"/>
  <c r="S238" i="4"/>
  <c r="S237" i="4"/>
  <c r="V215" i="4"/>
  <c r="T226" i="4"/>
  <c r="T227" i="4" s="1"/>
  <c r="T228" i="4" s="1"/>
  <c r="AD195" i="4"/>
  <c r="AA204" i="4"/>
  <c r="AA203" i="4"/>
  <c r="AG181" i="4"/>
  <c r="AE192" i="4"/>
  <c r="AE193" i="4" s="1"/>
  <c r="AE194" i="4" s="1"/>
  <c r="AK177" i="4"/>
  <c r="AJ178" i="4"/>
  <c r="AI182" i="4" s="1"/>
  <c r="AL270" i="8" l="1"/>
  <c r="AM295" i="8"/>
  <c r="AM298" i="8" s="1"/>
  <c r="AM337" i="8" s="1"/>
  <c r="AL295" i="8"/>
  <c r="AL298" i="8" s="1"/>
  <c r="AL337" i="8" s="1"/>
  <c r="AL268" i="8"/>
  <c r="AL269" i="8" s="1"/>
  <c r="AK276" i="8"/>
  <c r="W292" i="4"/>
  <c r="W299" i="4" s="1"/>
  <c r="W338" i="4" s="1"/>
  <c r="K267" i="4"/>
  <c r="K270" i="4" s="1"/>
  <c r="X216" i="4"/>
  <c r="X219" i="4" s="1"/>
  <c r="AC199" i="4"/>
  <c r="AC202" i="4" s="1"/>
  <c r="O251" i="4"/>
  <c r="O252" i="4" s="1"/>
  <c r="P249" i="4" s="1"/>
  <c r="P254" i="4" s="1"/>
  <c r="O255" i="4"/>
  <c r="AI290" i="4"/>
  <c r="AI307" i="4" s="1"/>
  <c r="AI347" i="4" s="1"/>
  <c r="AI185" i="4"/>
  <c r="J277" i="4"/>
  <c r="J278" i="4" s="1"/>
  <c r="J279" i="4" s="1"/>
  <c r="J281" i="4" s="1"/>
  <c r="J334" i="4" s="1"/>
  <c r="Z326" i="4"/>
  <c r="Z355" i="4" s="1"/>
  <c r="AK325" i="4"/>
  <c r="AK354" i="4" s="1"/>
  <c r="N324" i="4"/>
  <c r="N353" i="4" s="1"/>
  <c r="R358" i="4"/>
  <c r="R330" i="4"/>
  <c r="R359" i="4" s="1"/>
  <c r="M263" i="4"/>
  <c r="AL171" i="4"/>
  <c r="AL313" i="4" s="1"/>
  <c r="AG183" i="4"/>
  <c r="AG184" i="4" s="1"/>
  <c r="AH181" i="4" s="1"/>
  <c r="AM166" i="4"/>
  <c r="AM167" i="4" s="1"/>
  <c r="AM171" i="4" s="1"/>
  <c r="V217" i="4"/>
  <c r="V218" i="4" s="1"/>
  <c r="V222" i="4" s="1"/>
  <c r="U223" i="4"/>
  <c r="U225" i="4" s="1"/>
  <c r="U316" i="4"/>
  <c r="AF189" i="4"/>
  <c r="AF191" i="4" s="1"/>
  <c r="AF314" i="4"/>
  <c r="N260" i="4"/>
  <c r="N261" i="4" s="1"/>
  <c r="N262" i="4" s="1"/>
  <c r="T229" i="4"/>
  <c r="S233" i="4" s="1"/>
  <c r="R243" i="4"/>
  <c r="R244" i="4" s="1"/>
  <c r="R245" i="4" s="1"/>
  <c r="V221" i="4"/>
  <c r="V220" i="4"/>
  <c r="AB198" i="4"/>
  <c r="Z209" i="4"/>
  <c r="Z210" i="4" s="1"/>
  <c r="Z211" i="4" s="1"/>
  <c r="AE195" i="4"/>
  <c r="AG186" i="4"/>
  <c r="AG187" i="4"/>
  <c r="AM170" i="4"/>
  <c r="AM169" i="4"/>
  <c r="AK178" i="4"/>
  <c r="AJ182" i="4" s="1"/>
  <c r="AM266" i="8" l="1"/>
  <c r="AL273" i="8"/>
  <c r="AL319" i="8" s="1"/>
  <c r="AL322" i="8" s="1"/>
  <c r="AL351" i="8" s="1"/>
  <c r="AK277" i="8"/>
  <c r="AK278" i="8" s="1"/>
  <c r="AK279" i="8" s="1"/>
  <c r="AK281" i="8" s="1"/>
  <c r="AK334" i="8" s="1"/>
  <c r="K295" i="4"/>
  <c r="K298" i="4" s="1"/>
  <c r="K337" i="4" s="1"/>
  <c r="P251" i="4"/>
  <c r="P252" i="4" s="1"/>
  <c r="P256" i="4" s="1"/>
  <c r="X292" i="4"/>
  <c r="X299" i="4" s="1"/>
  <c r="X338" i="4" s="1"/>
  <c r="AC291" i="4"/>
  <c r="AC302" i="4" s="1"/>
  <c r="AC341" i="4" s="1"/>
  <c r="L267" i="4"/>
  <c r="L270" i="4" s="1"/>
  <c r="P255" i="4"/>
  <c r="K268" i="4"/>
  <c r="K269" i="4" s="1"/>
  <c r="K273" i="4" s="1"/>
  <c r="K274" i="4" s="1"/>
  <c r="AD199" i="4"/>
  <c r="AD202" i="4" s="1"/>
  <c r="O256" i="4"/>
  <c r="O318" i="4" s="1"/>
  <c r="S293" i="4"/>
  <c r="S306" i="4" s="1"/>
  <c r="S346" i="4" s="1"/>
  <c r="S236" i="4"/>
  <c r="J362" i="4"/>
  <c r="J372" i="4" s="1"/>
  <c r="J380" i="4" s="1"/>
  <c r="J371" i="4"/>
  <c r="J379" i="4" s="1"/>
  <c r="U323" i="4"/>
  <c r="U352" i="4" s="1"/>
  <c r="AF331" i="4"/>
  <c r="AF360" i="4" s="1"/>
  <c r="AL325" i="4"/>
  <c r="AL354" i="4" s="1"/>
  <c r="N263" i="4"/>
  <c r="AL172" i="4"/>
  <c r="AL174" i="4" s="1"/>
  <c r="AL175" i="4" s="1"/>
  <c r="AL176" i="4" s="1"/>
  <c r="AL177" i="4" s="1"/>
  <c r="AL178" i="4" s="1"/>
  <c r="AK182" i="4" s="1"/>
  <c r="AH183" i="4"/>
  <c r="AH184" i="4" s="1"/>
  <c r="AH188" i="4" s="1"/>
  <c r="AG188" i="4"/>
  <c r="AA206" i="4"/>
  <c r="AA208" i="4" s="1"/>
  <c r="AA209" i="4" s="1"/>
  <c r="AA210" i="4" s="1"/>
  <c r="AA211" i="4" s="1"/>
  <c r="AA315" i="4"/>
  <c r="S234" i="4"/>
  <c r="S235" i="4" s="1"/>
  <c r="S239" i="4" s="1"/>
  <c r="AM313" i="4"/>
  <c r="AM325" i="4" s="1"/>
  <c r="AB200" i="4"/>
  <c r="AB201" i="4" s="1"/>
  <c r="AB205" i="4" s="1"/>
  <c r="R246" i="4"/>
  <c r="W215" i="4"/>
  <c r="AB203" i="4"/>
  <c r="U226" i="4"/>
  <c r="U227" i="4" s="1"/>
  <c r="U228" i="4" s="1"/>
  <c r="Z212" i="4"/>
  <c r="AB204" i="4"/>
  <c r="AH187" i="4"/>
  <c r="AH186" i="4"/>
  <c r="AF192" i="4"/>
  <c r="AF193" i="4" s="1"/>
  <c r="AF194" i="4" s="1"/>
  <c r="O257" i="4" l="1"/>
  <c r="O259" i="4" s="1"/>
  <c r="AL274" i="8"/>
  <c r="AL276" i="8" s="1"/>
  <c r="AK362" i="8"/>
  <c r="AK372" i="8" s="1"/>
  <c r="AK380" i="8" s="1"/>
  <c r="AK371" i="8"/>
  <c r="AK379" i="8" s="1"/>
  <c r="L266" i="4"/>
  <c r="L271" i="4" s="1"/>
  <c r="AM272" i="8"/>
  <c r="AM271" i="8"/>
  <c r="AM268" i="8"/>
  <c r="AM269" i="8" s="1"/>
  <c r="AM273" i="8" s="1"/>
  <c r="AM319" i="8" s="1"/>
  <c r="AM322" i="8" s="1"/>
  <c r="AM351" i="8" s="1"/>
  <c r="Q249" i="4"/>
  <c r="Q255" i="4" s="1"/>
  <c r="K319" i="4"/>
  <c r="K322" i="4" s="1"/>
  <c r="K351" i="4" s="1"/>
  <c r="L295" i="4"/>
  <c r="L298" i="4" s="1"/>
  <c r="L337" i="4" s="1"/>
  <c r="AD291" i="4"/>
  <c r="AD302" i="4" s="1"/>
  <c r="AD341" i="4" s="1"/>
  <c r="M267" i="4"/>
  <c r="M270" i="4" s="1"/>
  <c r="Q250" i="4"/>
  <c r="Q253" i="4" s="1"/>
  <c r="Y216" i="4"/>
  <c r="Y219" i="4" s="1"/>
  <c r="AJ290" i="4"/>
  <c r="AJ307" i="4" s="1"/>
  <c r="AJ347" i="4" s="1"/>
  <c r="AJ185" i="4"/>
  <c r="O324" i="4"/>
  <c r="O353" i="4" s="1"/>
  <c r="AA326" i="4"/>
  <c r="AA355" i="4" s="1"/>
  <c r="K276" i="4"/>
  <c r="K277" i="4" s="1"/>
  <c r="W217" i="4"/>
  <c r="W218" i="4" s="1"/>
  <c r="X215" i="4" s="1"/>
  <c r="AM172" i="4"/>
  <c r="AM174" i="4" s="1"/>
  <c r="AM175" i="4" s="1"/>
  <c r="AM176" i="4" s="1"/>
  <c r="AM177" i="4" s="1"/>
  <c r="AM178" i="4" s="1"/>
  <c r="AL182" i="4" s="1"/>
  <c r="P257" i="4"/>
  <c r="P259" i="4" s="1"/>
  <c r="P260" i="4" s="1"/>
  <c r="P261" i="4" s="1"/>
  <c r="P318" i="4"/>
  <c r="AG189" i="4"/>
  <c r="AG191" i="4" s="1"/>
  <c r="AG314" i="4"/>
  <c r="V223" i="4"/>
  <c r="V225" i="4" s="1"/>
  <c r="V316" i="4"/>
  <c r="AM354" i="4"/>
  <c r="AC198" i="4"/>
  <c r="O260" i="4"/>
  <c r="O261" i="4" s="1"/>
  <c r="T232" i="4"/>
  <c r="U229" i="4"/>
  <c r="T233" i="4" s="1"/>
  <c r="AA212" i="4"/>
  <c r="W221" i="4"/>
  <c r="W220" i="4"/>
  <c r="AF195" i="4"/>
  <c r="AI181" i="4"/>
  <c r="L272" i="4" l="1"/>
  <c r="L268" i="4"/>
  <c r="L269" i="4" s="1"/>
  <c r="M266" i="4" s="1"/>
  <c r="M272" i="4" s="1"/>
  <c r="M295" i="4"/>
  <c r="M298" i="4" s="1"/>
  <c r="M337" i="4" s="1"/>
  <c r="AM274" i="8"/>
  <c r="AM276" i="8" s="1"/>
  <c r="AL277" i="8"/>
  <c r="AL278" i="8" s="1"/>
  <c r="AL279" i="8" s="1"/>
  <c r="AL281" i="8" s="1"/>
  <c r="AL334" i="8" s="1"/>
  <c r="Q254" i="4"/>
  <c r="Y292" i="4"/>
  <c r="Y299" i="4" s="1"/>
  <c r="Y338" i="4" s="1"/>
  <c r="Q294" i="4"/>
  <c r="Q300" i="4" s="1"/>
  <c r="Q339" i="4" s="1"/>
  <c r="Q251" i="4"/>
  <c r="Q252" i="4" s="1"/>
  <c r="Q256" i="4" s="1"/>
  <c r="Z216" i="4"/>
  <c r="Z219" i="4" s="1"/>
  <c r="AE199" i="4"/>
  <c r="AE202" i="4" s="1"/>
  <c r="L273" i="4"/>
  <c r="L274" i="4" s="1"/>
  <c r="L276" i="4" s="1"/>
  <c r="L277" i="4" s="1"/>
  <c r="L278" i="4" s="1"/>
  <c r="T293" i="4"/>
  <c r="T306" i="4" s="1"/>
  <c r="T346" i="4" s="1"/>
  <c r="T236" i="4"/>
  <c r="AK290" i="4"/>
  <c r="AK307" i="4" s="1"/>
  <c r="AK347" i="4" s="1"/>
  <c r="AK185" i="4"/>
  <c r="V323" i="4"/>
  <c r="V352" i="4" s="1"/>
  <c r="AG331" i="4"/>
  <c r="AG360" i="4" s="1"/>
  <c r="P324" i="4"/>
  <c r="P353" i="4" s="1"/>
  <c r="K278" i="4"/>
  <c r="X217" i="4"/>
  <c r="X218" i="4" s="1"/>
  <c r="X222" i="4" s="1"/>
  <c r="AC200" i="4"/>
  <c r="AC201" i="4" s="1"/>
  <c r="W222" i="4"/>
  <c r="AI183" i="4"/>
  <c r="AI184" i="4" s="1"/>
  <c r="AI188" i="4" s="1"/>
  <c r="AH189" i="4"/>
  <c r="AH191" i="4" s="1"/>
  <c r="AH314" i="4"/>
  <c r="S240" i="4"/>
  <c r="S242" i="4" s="1"/>
  <c r="S317" i="4"/>
  <c r="AB206" i="4"/>
  <c r="AB208" i="4" s="1"/>
  <c r="AB209" i="4" s="1"/>
  <c r="AB210" i="4" s="1"/>
  <c r="AB211" i="4" s="1"/>
  <c r="AB315" i="4"/>
  <c r="AC203" i="4"/>
  <c r="AC204" i="4"/>
  <c r="T234" i="4"/>
  <c r="T235" i="4" s="1"/>
  <c r="T239" i="4" s="1"/>
  <c r="P262" i="4"/>
  <c r="O262" i="4"/>
  <c r="T238" i="4"/>
  <c r="T237" i="4"/>
  <c r="X220" i="4"/>
  <c r="X221" i="4"/>
  <c r="V226" i="4"/>
  <c r="V227" i="4" s="1"/>
  <c r="V228" i="4" s="1"/>
  <c r="AL185" i="4"/>
  <c r="AG192" i="4"/>
  <c r="AG193" i="4" s="1"/>
  <c r="AG194" i="4" s="1"/>
  <c r="AI186" i="4"/>
  <c r="AI187" i="4"/>
  <c r="M268" i="4" l="1"/>
  <c r="M269" i="4" s="1"/>
  <c r="N266" i="4" s="1"/>
  <c r="N272" i="4" s="1"/>
  <c r="M271" i="4"/>
  <c r="AL362" i="8"/>
  <c r="AL372" i="8" s="1"/>
  <c r="AL380" i="8" s="1"/>
  <c r="AL371" i="8"/>
  <c r="AL379" i="8" s="1"/>
  <c r="AM277" i="8"/>
  <c r="AM278" i="8" s="1"/>
  <c r="AM279" i="8" s="1"/>
  <c r="AM281" i="8" s="1"/>
  <c r="AM334" i="8" s="1"/>
  <c r="R249" i="4"/>
  <c r="R255" i="4" s="1"/>
  <c r="AE291" i="4"/>
  <c r="AE302" i="4" s="1"/>
  <c r="AE341" i="4" s="1"/>
  <c r="Z292" i="4"/>
  <c r="Z299" i="4" s="1"/>
  <c r="Z338" i="4" s="1"/>
  <c r="L319" i="4"/>
  <c r="L322" i="4" s="1"/>
  <c r="L351" i="4" s="1"/>
  <c r="N271" i="4"/>
  <c r="M273" i="4"/>
  <c r="AH331" i="4"/>
  <c r="AH360" i="4" s="1"/>
  <c r="S358" i="4"/>
  <c r="S330" i="4"/>
  <c r="S359" i="4" s="1"/>
  <c r="AB326" i="4"/>
  <c r="AB355" i="4" s="1"/>
  <c r="L279" i="4"/>
  <c r="L281" i="4" s="1"/>
  <c r="L334" i="4" s="1"/>
  <c r="O263" i="4"/>
  <c r="K279" i="4"/>
  <c r="K281" i="4" s="1"/>
  <c r="K334" i="4" s="1"/>
  <c r="AC205" i="4"/>
  <c r="AC315" i="4" s="1"/>
  <c r="Q257" i="4"/>
  <c r="Q259" i="4" s="1"/>
  <c r="Q318" i="4"/>
  <c r="W223" i="4"/>
  <c r="W225" i="4" s="1"/>
  <c r="W316" i="4"/>
  <c r="AM290" i="4"/>
  <c r="AM307" i="4" s="1"/>
  <c r="AM347" i="4" s="1"/>
  <c r="AL290" i="4"/>
  <c r="AL307" i="4" s="1"/>
  <c r="AL347" i="4" s="1"/>
  <c r="AD198" i="4"/>
  <c r="U232" i="4"/>
  <c r="V229" i="4"/>
  <c r="U233" i="4" s="1"/>
  <c r="S243" i="4"/>
  <c r="S244" i="4" s="1"/>
  <c r="S245" i="4" s="1"/>
  <c r="Y215" i="4"/>
  <c r="AB212" i="4"/>
  <c r="AG195" i="4"/>
  <c r="AJ181" i="4"/>
  <c r="AH192" i="4"/>
  <c r="AH193" i="4" s="1"/>
  <c r="AH194" i="4" s="1"/>
  <c r="R254" i="4" l="1"/>
  <c r="AM371" i="8"/>
  <c r="AM379" i="8" s="1"/>
  <c r="AM362" i="8"/>
  <c r="AM372" i="8" s="1"/>
  <c r="AM380" i="8" s="1"/>
  <c r="P263" i="4"/>
  <c r="N267" i="4"/>
  <c r="AA216" i="4"/>
  <c r="AA219" i="4" s="1"/>
  <c r="AF199" i="4"/>
  <c r="AF202" i="4" s="1"/>
  <c r="M319" i="4"/>
  <c r="M322" i="4" s="1"/>
  <c r="M351" i="4" s="1"/>
  <c r="M274" i="4"/>
  <c r="M276" i="4" s="1"/>
  <c r="M277" i="4" s="1"/>
  <c r="M278" i="4" s="1"/>
  <c r="M279" i="4" s="1"/>
  <c r="M281" i="4" s="1"/>
  <c r="M334" i="4" s="1"/>
  <c r="U293" i="4"/>
  <c r="U306" i="4" s="1"/>
  <c r="U346" i="4" s="1"/>
  <c r="U236" i="4"/>
  <c r="L362" i="4"/>
  <c r="L372" i="4" s="1"/>
  <c r="L380" i="4" s="1"/>
  <c r="W323" i="4"/>
  <c r="W352" i="4" s="1"/>
  <c r="AC326" i="4"/>
  <c r="AC355" i="4" s="1"/>
  <c r="L371" i="4"/>
  <c r="L379" i="4" s="1"/>
  <c r="Q324" i="4"/>
  <c r="Q353" i="4" s="1"/>
  <c r="K362" i="4"/>
  <c r="K372" i="4" s="1"/>
  <c r="K380" i="4" s="1"/>
  <c r="K371" i="4"/>
  <c r="K379" i="4" s="1"/>
  <c r="AC206" i="4"/>
  <c r="AC208" i="4" s="1"/>
  <c r="AC209" i="4" s="1"/>
  <c r="AC210" i="4" s="1"/>
  <c r="AC211" i="4" s="1"/>
  <c r="Y217" i="4"/>
  <c r="Y218" i="4" s="1"/>
  <c r="Y222" i="4" s="1"/>
  <c r="AJ183" i="4"/>
  <c r="AJ184" i="4" s="1"/>
  <c r="AJ188" i="4" s="1"/>
  <c r="AD200" i="4"/>
  <c r="AD201" i="4" s="1"/>
  <c r="X223" i="4"/>
  <c r="X225" i="4" s="1"/>
  <c r="X316" i="4"/>
  <c r="T240" i="4"/>
  <c r="T242" i="4" s="1"/>
  <c r="T317" i="4"/>
  <c r="AI189" i="4"/>
  <c r="AI191" i="4" s="1"/>
  <c r="AI314" i="4"/>
  <c r="AD204" i="4"/>
  <c r="AD203" i="4"/>
  <c r="U234" i="4"/>
  <c r="U235" i="4" s="1"/>
  <c r="V232" i="4" s="1"/>
  <c r="S246" i="4"/>
  <c r="R250" i="4" s="1"/>
  <c r="Q260" i="4"/>
  <c r="Q261" i="4" s="1"/>
  <c r="Q262" i="4" s="1"/>
  <c r="U238" i="4"/>
  <c r="U237" i="4"/>
  <c r="W226" i="4"/>
  <c r="W227" i="4" s="1"/>
  <c r="W228" i="4" s="1"/>
  <c r="Y220" i="4"/>
  <c r="Y221" i="4"/>
  <c r="AH195" i="4"/>
  <c r="AJ186" i="4"/>
  <c r="AJ187" i="4"/>
  <c r="AA292" i="4" l="1"/>
  <c r="AA299" i="4" s="1"/>
  <c r="AA338" i="4" s="1"/>
  <c r="AF291" i="4"/>
  <c r="AF302" i="4" s="1"/>
  <c r="AF341" i="4" s="1"/>
  <c r="O267" i="4"/>
  <c r="O270" i="4" s="1"/>
  <c r="AG199" i="4"/>
  <c r="AG202" i="4" s="1"/>
  <c r="N270" i="4"/>
  <c r="R294" i="4"/>
  <c r="R253" i="4"/>
  <c r="N268" i="4"/>
  <c r="N269" i="4" s="1"/>
  <c r="O266" i="4" s="1"/>
  <c r="N295" i="4"/>
  <c r="N298" i="4" s="1"/>
  <c r="N337" i="4" s="1"/>
  <c r="X323" i="4"/>
  <c r="X352" i="4" s="1"/>
  <c r="T358" i="4"/>
  <c r="T330" i="4"/>
  <c r="T359" i="4" s="1"/>
  <c r="AI331" i="4"/>
  <c r="AI360" i="4" s="1"/>
  <c r="Q263" i="4"/>
  <c r="P267" i="4" s="1"/>
  <c r="M371" i="4"/>
  <c r="M379" i="4" s="1"/>
  <c r="M362" i="4"/>
  <c r="M372" i="4" s="1"/>
  <c r="M380" i="4" s="1"/>
  <c r="AE198" i="4"/>
  <c r="AE204" i="4" s="1"/>
  <c r="AD205" i="4"/>
  <c r="AD206" i="4" s="1"/>
  <c r="AD208" i="4" s="1"/>
  <c r="U239" i="4"/>
  <c r="AG291" i="4"/>
  <c r="AG302" i="4" s="1"/>
  <c r="AG341" i="4" s="1"/>
  <c r="R251" i="4"/>
  <c r="R252" i="4" s="1"/>
  <c r="R256" i="4" s="1"/>
  <c r="R300" i="4"/>
  <c r="R339" i="4" s="1"/>
  <c r="W229" i="4"/>
  <c r="V233" i="4" s="1"/>
  <c r="T243" i="4"/>
  <c r="T244" i="4" s="1"/>
  <c r="T245" i="4" s="1"/>
  <c r="V238" i="4"/>
  <c r="V237" i="4"/>
  <c r="Z215" i="4"/>
  <c r="X226" i="4"/>
  <c r="X227" i="4" s="1"/>
  <c r="X228" i="4" s="1"/>
  <c r="AC212" i="4"/>
  <c r="AK181" i="4"/>
  <c r="AI192" i="4"/>
  <c r="AI193" i="4" s="1"/>
  <c r="AI194" i="4" s="1"/>
  <c r="O295" i="4" l="1"/>
  <c r="O298" i="4" s="1"/>
  <c r="O337" i="4" s="1"/>
  <c r="AB216" i="4"/>
  <c r="AB219" i="4" s="1"/>
  <c r="P295" i="4"/>
  <c r="P298" i="4" s="1"/>
  <c r="P337" i="4" s="1"/>
  <c r="P270" i="4"/>
  <c r="N273" i="4"/>
  <c r="V293" i="4"/>
  <c r="V306" i="4" s="1"/>
  <c r="V346" i="4" s="1"/>
  <c r="V236" i="4"/>
  <c r="AE203" i="4"/>
  <c r="N319" i="4"/>
  <c r="N274" i="4"/>
  <c r="O268" i="4"/>
  <c r="O269" i="4" s="1"/>
  <c r="P266" i="4" s="1"/>
  <c r="O271" i="4"/>
  <c r="O272" i="4"/>
  <c r="Z217" i="4"/>
  <c r="Z218" i="4" s="1"/>
  <c r="Z222" i="4" s="1"/>
  <c r="AE200" i="4"/>
  <c r="AE201" i="4" s="1"/>
  <c r="AF198" i="4" s="1"/>
  <c r="AF204" i="4" s="1"/>
  <c r="AD315" i="4"/>
  <c r="Y223" i="4"/>
  <c r="Y225" i="4" s="1"/>
  <c r="Y316" i="4"/>
  <c r="AJ189" i="4"/>
  <c r="AJ191" i="4" s="1"/>
  <c r="AJ314" i="4"/>
  <c r="U240" i="4"/>
  <c r="U242" i="4" s="1"/>
  <c r="U317" i="4"/>
  <c r="AB292" i="4"/>
  <c r="AB299" i="4" s="1"/>
  <c r="AB338" i="4" s="1"/>
  <c r="V234" i="4"/>
  <c r="V235" i="4" s="1"/>
  <c r="V239" i="4" s="1"/>
  <c r="AK183" i="4"/>
  <c r="AK184" i="4" s="1"/>
  <c r="AK188" i="4" s="1"/>
  <c r="S249" i="4"/>
  <c r="T246" i="4"/>
  <c r="X229" i="4"/>
  <c r="W233" i="4" s="1"/>
  <c r="AK187" i="4"/>
  <c r="AK186" i="4"/>
  <c r="Z220" i="4"/>
  <c r="Z221" i="4"/>
  <c r="AD209" i="4"/>
  <c r="AD210" i="4" s="1"/>
  <c r="AI195" i="4"/>
  <c r="S250" i="4" l="1"/>
  <c r="S253" i="4" s="1"/>
  <c r="AH199" i="4"/>
  <c r="AH202" i="4" s="1"/>
  <c r="W293" i="4"/>
  <c r="W306" i="4" s="1"/>
  <c r="W346" i="4" s="1"/>
  <c r="W236" i="4"/>
  <c r="AD326" i="4"/>
  <c r="AD355" i="4" s="1"/>
  <c r="AJ331" i="4"/>
  <c r="AJ360" i="4" s="1"/>
  <c r="Y323" i="4"/>
  <c r="Y352" i="4" s="1"/>
  <c r="U358" i="4"/>
  <c r="U330" i="4"/>
  <c r="U359" i="4" s="1"/>
  <c r="N322" i="4"/>
  <c r="N351" i="4" s="1"/>
  <c r="O273" i="4"/>
  <c r="O274" i="4" s="1"/>
  <c r="N276" i="4"/>
  <c r="P271" i="4"/>
  <c r="P268" i="4"/>
  <c r="P269" i="4" s="1"/>
  <c r="Q266" i="4" s="1"/>
  <c r="P272" i="4"/>
  <c r="AE205" i="4"/>
  <c r="AE206" i="4" s="1"/>
  <c r="AE208" i="4" s="1"/>
  <c r="AE209" i="4" s="1"/>
  <c r="AE210" i="4" s="1"/>
  <c r="AF203" i="4"/>
  <c r="AF200" i="4"/>
  <c r="AF201" i="4" s="1"/>
  <c r="R257" i="4"/>
  <c r="R259" i="4" s="1"/>
  <c r="R318" i="4"/>
  <c r="S294" i="4"/>
  <c r="S300" i="4" s="1"/>
  <c r="S339" i="4" s="1"/>
  <c r="AH291" i="4"/>
  <c r="AH302" i="4" s="1"/>
  <c r="AH341" i="4" s="1"/>
  <c r="S251" i="4"/>
  <c r="S252" i="4" s="1"/>
  <c r="S256" i="4" s="1"/>
  <c r="W232" i="4"/>
  <c r="AK314" i="4"/>
  <c r="AL181" i="4"/>
  <c r="S254" i="4"/>
  <c r="S255" i="4"/>
  <c r="U243" i="4"/>
  <c r="U244" i="4" s="1"/>
  <c r="AA215" i="4"/>
  <c r="Y226" i="4"/>
  <c r="Y227" i="4" s="1"/>
  <c r="Y228" i="4" s="1"/>
  <c r="AD211" i="4"/>
  <c r="AJ192" i="4"/>
  <c r="AJ193" i="4" s="1"/>
  <c r="AJ194" i="4" s="1"/>
  <c r="N277" i="4" l="1"/>
  <c r="N278" i="4" s="1"/>
  <c r="N279" i="4" s="1"/>
  <c r="N281" i="4" s="1"/>
  <c r="N334" i="4" s="1"/>
  <c r="R324" i="4"/>
  <c r="R353" i="4" s="1"/>
  <c r="O319" i="4"/>
  <c r="AK331" i="4"/>
  <c r="AK360" i="4" s="1"/>
  <c r="P273" i="4"/>
  <c r="P274" i="4" s="1"/>
  <c r="P276" i="4" s="1"/>
  <c r="O276" i="4"/>
  <c r="O277" i="4" s="1"/>
  <c r="O278" i="4" s="1"/>
  <c r="Q271" i="4"/>
  <c r="Q272" i="4"/>
  <c r="AE315" i="4"/>
  <c r="AE211" i="4"/>
  <c r="AG198" i="4"/>
  <c r="AF205" i="4"/>
  <c r="AF206" i="4" s="1"/>
  <c r="AF208" i="4" s="1"/>
  <c r="AA217" i="4"/>
  <c r="AA218" i="4" s="1"/>
  <c r="AA222" i="4" s="1"/>
  <c r="AL183" i="4"/>
  <c r="AL184" i="4" s="1"/>
  <c r="AM181" i="4" s="1"/>
  <c r="AM186" i="4" s="1"/>
  <c r="AK189" i="4"/>
  <c r="AK191" i="4" s="1"/>
  <c r="AK192" i="4" s="1"/>
  <c r="AK193" i="4" s="1"/>
  <c r="V240" i="4"/>
  <c r="V242" i="4" s="1"/>
  <c r="V243" i="4" s="1"/>
  <c r="V244" i="4" s="1"/>
  <c r="V245" i="4" s="1"/>
  <c r="V317" i="4"/>
  <c r="Z223" i="4"/>
  <c r="Z225" i="4" s="1"/>
  <c r="Z316" i="4"/>
  <c r="AL187" i="4"/>
  <c r="AL186" i="4"/>
  <c r="W234" i="4"/>
  <c r="W235" i="4" s="1"/>
  <c r="W239" i="4" s="1"/>
  <c r="W238" i="4"/>
  <c r="W237" i="4"/>
  <c r="T249" i="4"/>
  <c r="R260" i="4"/>
  <c r="R261" i="4" s="1"/>
  <c r="R262" i="4" s="1"/>
  <c r="U245" i="4"/>
  <c r="Y229" i="4"/>
  <c r="X233" i="4" s="1"/>
  <c r="AD212" i="4"/>
  <c r="AC216" i="4" s="1"/>
  <c r="AA221" i="4"/>
  <c r="AA220" i="4"/>
  <c r="AJ195" i="4"/>
  <c r="AI199" i="4" l="1"/>
  <c r="AI202" i="4" s="1"/>
  <c r="X293" i="4"/>
  <c r="X306" i="4" s="1"/>
  <c r="X346" i="4" s="1"/>
  <c r="X236" i="4"/>
  <c r="N362" i="4"/>
  <c r="N372" i="4" s="1"/>
  <c r="N380" i="4" s="1"/>
  <c r="N371" i="4"/>
  <c r="N379" i="4" s="1"/>
  <c r="P277" i="4"/>
  <c r="P278" i="4" s="1"/>
  <c r="P279" i="4" s="1"/>
  <c r="P281" i="4" s="1"/>
  <c r="P334" i="4" s="1"/>
  <c r="V358" i="4"/>
  <c r="V330" i="4"/>
  <c r="V359" i="4" s="1"/>
  <c r="P319" i="4"/>
  <c r="O322" i="4"/>
  <c r="O351" i="4" s="1"/>
  <c r="AE326" i="4"/>
  <c r="AE355" i="4" s="1"/>
  <c r="Z323" i="4"/>
  <c r="Z352" i="4" s="1"/>
  <c r="R263" i="4"/>
  <c r="Q267" i="4" s="1"/>
  <c r="O279" i="4"/>
  <c r="O281" i="4" s="1"/>
  <c r="O334" i="4" s="1"/>
  <c r="AF315" i="4"/>
  <c r="AM187" i="4"/>
  <c r="AL188" i="4"/>
  <c r="AL314" i="4" s="1"/>
  <c r="AK194" i="4"/>
  <c r="AK195" i="4" s="1"/>
  <c r="AM183" i="4"/>
  <c r="AM184" i="4" s="1"/>
  <c r="AM188" i="4" s="1"/>
  <c r="AG200" i="4"/>
  <c r="AG201" i="4" s="1"/>
  <c r="AH198" i="4" s="1"/>
  <c r="AG203" i="4"/>
  <c r="AG204" i="4"/>
  <c r="S257" i="4"/>
  <c r="S259" i="4" s="1"/>
  <c r="S318" i="4"/>
  <c r="AI291" i="4"/>
  <c r="AI302" i="4" s="1"/>
  <c r="AI341" i="4" s="1"/>
  <c r="X232" i="4"/>
  <c r="AB215" i="4"/>
  <c r="U246" i="4"/>
  <c r="T250" i="4" s="1"/>
  <c r="T255" i="4"/>
  <c r="T254" i="4"/>
  <c r="Z226" i="4"/>
  <c r="Z227" i="4" s="1"/>
  <c r="Z228" i="4" s="1"/>
  <c r="AE212" i="4"/>
  <c r="AC219" i="4"/>
  <c r="AF209" i="4"/>
  <c r="AF210" i="4" s="1"/>
  <c r="AF211" i="4" s="1"/>
  <c r="AD216" i="4" l="1"/>
  <c r="AD219" i="4" s="1"/>
  <c r="AJ199" i="4"/>
  <c r="AJ202" i="4" s="1"/>
  <c r="Q268" i="4"/>
  <c r="Q269" i="4" s="1"/>
  <c r="R266" i="4" s="1"/>
  <c r="R272" i="4" s="1"/>
  <c r="Q270" i="4"/>
  <c r="AF326" i="4"/>
  <c r="AF355" i="4" s="1"/>
  <c r="O362" i="4"/>
  <c r="O372" i="4" s="1"/>
  <c r="O380" i="4" s="1"/>
  <c r="Q295" i="4"/>
  <c r="Q298" i="4" s="1"/>
  <c r="Q337" i="4" s="1"/>
  <c r="AL331" i="4"/>
  <c r="AL360" i="4" s="1"/>
  <c r="P322" i="4"/>
  <c r="P351" i="4" s="1"/>
  <c r="P362" i="4" s="1"/>
  <c r="P372" i="4" s="1"/>
  <c r="P380" i="4" s="1"/>
  <c r="S324" i="4"/>
  <c r="S353" i="4" s="1"/>
  <c r="P371" i="4"/>
  <c r="P379" i="4" s="1"/>
  <c r="O371" i="4"/>
  <c r="O379" i="4" s="1"/>
  <c r="AL189" i="4"/>
  <c r="AL191" i="4" s="1"/>
  <c r="AL192" i="4" s="1"/>
  <c r="AL193" i="4" s="1"/>
  <c r="AM189" i="4"/>
  <c r="AM314" i="4"/>
  <c r="AH200" i="4"/>
  <c r="AH201" i="4" s="1"/>
  <c r="AH205" i="4" s="1"/>
  <c r="AB221" i="4"/>
  <c r="AG205" i="4"/>
  <c r="AH203" i="4"/>
  <c r="AH204" i="4"/>
  <c r="W240" i="4"/>
  <c r="W242" i="4" s="1"/>
  <c r="W243" i="4" s="1"/>
  <c r="W244" i="4" s="1"/>
  <c r="W245" i="4" s="1"/>
  <c r="W317" i="4"/>
  <c r="AA223" i="4"/>
  <c r="AA225" i="4" s="1"/>
  <c r="AA316" i="4"/>
  <c r="AD292" i="4"/>
  <c r="AD299" i="4" s="1"/>
  <c r="AD338" i="4" s="1"/>
  <c r="AC292" i="4"/>
  <c r="AC299" i="4" s="1"/>
  <c r="AC338" i="4" s="1"/>
  <c r="X234" i="4"/>
  <c r="X235" i="4" s="1"/>
  <c r="Y232" i="4" s="1"/>
  <c r="X237" i="4"/>
  <c r="X238" i="4"/>
  <c r="AB220" i="4"/>
  <c r="AB217" i="4"/>
  <c r="AB218" i="4" s="1"/>
  <c r="AC215" i="4" s="1"/>
  <c r="S260" i="4"/>
  <c r="S261" i="4" s="1"/>
  <c r="S262" i="4" s="1"/>
  <c r="V246" i="4"/>
  <c r="U250" i="4" s="1"/>
  <c r="Z229" i="4"/>
  <c r="Y233" i="4" s="1"/>
  <c r="AF212" i="4"/>
  <c r="AJ291" i="4" l="1"/>
  <c r="AJ302" i="4" s="1"/>
  <c r="AJ341" i="4" s="1"/>
  <c r="AE216" i="4"/>
  <c r="AE219" i="4" s="1"/>
  <c r="R271" i="4"/>
  <c r="Q273" i="4"/>
  <c r="Q319" i="4" s="1"/>
  <c r="T294" i="4"/>
  <c r="T300" i="4" s="1"/>
  <c r="T339" i="4" s="1"/>
  <c r="T253" i="4"/>
  <c r="Y293" i="4"/>
  <c r="Y306" i="4" s="1"/>
  <c r="Y346" i="4" s="1"/>
  <c r="Y236" i="4"/>
  <c r="Q274" i="4"/>
  <c r="Q276" i="4" s="1"/>
  <c r="Q322" i="4"/>
  <c r="Q351" i="4" s="1"/>
  <c r="AA323" i="4"/>
  <c r="AA352" i="4" s="1"/>
  <c r="W358" i="4"/>
  <c r="W330" i="4"/>
  <c r="W359" i="4" s="1"/>
  <c r="AM331" i="4"/>
  <c r="AM360" i="4" s="1"/>
  <c r="S263" i="4"/>
  <c r="R267" i="4" s="1"/>
  <c r="AM191" i="4"/>
  <c r="AM192" i="4" s="1"/>
  <c r="AM193" i="4" s="1"/>
  <c r="AI198" i="4"/>
  <c r="AI200" i="4" s="1"/>
  <c r="AI201" i="4" s="1"/>
  <c r="AI205" i="4" s="1"/>
  <c r="X239" i="4"/>
  <c r="AG315" i="4"/>
  <c r="AG206" i="4"/>
  <c r="AG208" i="4" s="1"/>
  <c r="AG209" i="4" s="1"/>
  <c r="AG210" i="4" s="1"/>
  <c r="AG211" i="4" s="1"/>
  <c r="AG212" i="4" s="1"/>
  <c r="AC217" i="4"/>
  <c r="AC218" i="4" s="1"/>
  <c r="AB222" i="4"/>
  <c r="AH206" i="4"/>
  <c r="AH315" i="4"/>
  <c r="T251" i="4"/>
  <c r="T252" i="4" s="1"/>
  <c r="T256" i="4" s="1"/>
  <c r="AC221" i="4"/>
  <c r="AC220" i="4"/>
  <c r="Y238" i="4"/>
  <c r="Y234" i="4"/>
  <c r="Y235" i="4" s="1"/>
  <c r="Y239" i="4" s="1"/>
  <c r="Y237" i="4"/>
  <c r="U253" i="4"/>
  <c r="W246" i="4"/>
  <c r="AA226" i="4"/>
  <c r="AA227" i="4" s="1"/>
  <c r="AA228" i="4" s="1"/>
  <c r="AL194" i="4"/>
  <c r="AE292" i="4" l="1"/>
  <c r="AE299" i="4" s="1"/>
  <c r="AE338" i="4" s="1"/>
  <c r="V250" i="4"/>
  <c r="V253" i="4" s="1"/>
  <c r="AF216" i="4"/>
  <c r="AF219" i="4" s="1"/>
  <c r="R268" i="4"/>
  <c r="R269" i="4" s="1"/>
  <c r="R270" i="4"/>
  <c r="R295" i="4"/>
  <c r="R298" i="4" s="1"/>
  <c r="R337" i="4" s="1"/>
  <c r="Q277" i="4"/>
  <c r="Q278" i="4" s="1"/>
  <c r="Q279" i="4" s="1"/>
  <c r="Q281" i="4" s="1"/>
  <c r="Q334" i="4" s="1"/>
  <c r="AG326" i="4"/>
  <c r="AG355" i="4" s="1"/>
  <c r="AH326" i="4"/>
  <c r="AH355" i="4" s="1"/>
  <c r="AM194" i="4"/>
  <c r="S266" i="4"/>
  <c r="R273" i="4"/>
  <c r="AI203" i="4"/>
  <c r="AI204" i="4"/>
  <c r="AH208" i="4"/>
  <c r="AH209" i="4" s="1"/>
  <c r="AH210" i="4" s="1"/>
  <c r="AH211" i="4" s="1"/>
  <c r="AD215" i="4"/>
  <c r="AD220" i="4" s="1"/>
  <c r="AC222" i="4"/>
  <c r="X240" i="4"/>
  <c r="X242" i="4" s="1"/>
  <c r="X243" i="4" s="1"/>
  <c r="X244" i="4" s="1"/>
  <c r="X245" i="4" s="1"/>
  <c r="X246" i="4" s="1"/>
  <c r="X317" i="4"/>
  <c r="AB223" i="4"/>
  <c r="AB225" i="4" s="1"/>
  <c r="AB226" i="4" s="1"/>
  <c r="AB227" i="4" s="1"/>
  <c r="AB228" i="4" s="1"/>
  <c r="AB316" i="4"/>
  <c r="V294" i="4"/>
  <c r="V300" i="4" s="1"/>
  <c r="V339" i="4" s="1"/>
  <c r="AF292" i="4"/>
  <c r="AF299" i="4" s="1"/>
  <c r="AF338" i="4" s="1"/>
  <c r="U294" i="4"/>
  <c r="U300" i="4" s="1"/>
  <c r="U339" i="4" s="1"/>
  <c r="U249" i="4"/>
  <c r="Z232" i="4"/>
  <c r="AA229" i="4"/>
  <c r="Z233" i="4" s="1"/>
  <c r="AJ198" i="4"/>
  <c r="AL195" i="4"/>
  <c r="AK199" i="4" s="1"/>
  <c r="W250" i="4" l="1"/>
  <c r="W253" i="4" s="1"/>
  <c r="Z293" i="4"/>
  <c r="Z306" i="4" s="1"/>
  <c r="Z346" i="4" s="1"/>
  <c r="Z236" i="4"/>
  <c r="Q371" i="4"/>
  <c r="Q379" i="4" s="1"/>
  <c r="Q362" i="4"/>
  <c r="Q372" i="4" s="1"/>
  <c r="Q380" i="4" s="1"/>
  <c r="X358" i="4"/>
  <c r="X330" i="4"/>
  <c r="X359" i="4" s="1"/>
  <c r="AB323" i="4"/>
  <c r="AB352" i="4" s="1"/>
  <c r="R319" i="4"/>
  <c r="R274" i="4"/>
  <c r="S272" i="4"/>
  <c r="S271" i="4"/>
  <c r="AD221" i="4"/>
  <c r="U251" i="4"/>
  <c r="U252" i="4" s="1"/>
  <c r="U256" i="4" s="1"/>
  <c r="AJ200" i="4"/>
  <c r="AJ201" i="4" s="1"/>
  <c r="AJ205" i="4" s="1"/>
  <c r="AD217" i="4"/>
  <c r="AD218" i="4" s="1"/>
  <c r="AE215" i="4" s="1"/>
  <c r="AC223" i="4"/>
  <c r="AC225" i="4" s="1"/>
  <c r="AC226" i="4" s="1"/>
  <c r="AC227" i="4" s="1"/>
  <c r="AC316" i="4"/>
  <c r="Y240" i="4"/>
  <c r="Y242" i="4" s="1"/>
  <c r="Y317" i="4"/>
  <c r="AI206" i="4"/>
  <c r="AI208" i="4" s="1"/>
  <c r="AI315" i="4"/>
  <c r="T257" i="4"/>
  <c r="T259" i="4" s="1"/>
  <c r="T318" i="4"/>
  <c r="W294" i="4"/>
  <c r="W300" i="4" s="1"/>
  <c r="W339" i="4" s="1"/>
  <c r="Z234" i="4"/>
  <c r="Z235" i="4" s="1"/>
  <c r="Z239" i="4" s="1"/>
  <c r="U254" i="4"/>
  <c r="U255" i="4"/>
  <c r="AB229" i="4"/>
  <c r="AA233" i="4" s="1"/>
  <c r="Z238" i="4"/>
  <c r="Z237" i="4"/>
  <c r="AH212" i="4"/>
  <c r="AM195" i="4"/>
  <c r="AK202" i="4"/>
  <c r="AJ203" i="4"/>
  <c r="AJ204" i="4"/>
  <c r="AG216" i="4" l="1"/>
  <c r="AG219" i="4" s="1"/>
  <c r="AL199" i="4"/>
  <c r="AL202" i="4" s="1"/>
  <c r="AA293" i="4"/>
  <c r="AA306" i="4" s="1"/>
  <c r="AA346" i="4" s="1"/>
  <c r="AA236" i="4"/>
  <c r="R322" i="4"/>
  <c r="R351" i="4" s="1"/>
  <c r="Y358" i="4"/>
  <c r="Y330" i="4"/>
  <c r="Y359" i="4" s="1"/>
  <c r="AC323" i="4"/>
  <c r="AC352" i="4" s="1"/>
  <c r="T324" i="4"/>
  <c r="T353" i="4" s="1"/>
  <c r="AI326" i="4"/>
  <c r="AI355" i="4" s="1"/>
  <c r="R276" i="4"/>
  <c r="AD222" i="4"/>
  <c r="AE217" i="4"/>
  <c r="AE218" i="4" s="1"/>
  <c r="AE222" i="4" s="1"/>
  <c r="AE220" i="4"/>
  <c r="AC228" i="4"/>
  <c r="AC229" i="4" s="1"/>
  <c r="AB233" i="4" s="1"/>
  <c r="AE221" i="4"/>
  <c r="AK291" i="4"/>
  <c r="AK302" i="4" s="1"/>
  <c r="AK341" i="4" s="1"/>
  <c r="AG292" i="4"/>
  <c r="AG299" i="4" s="1"/>
  <c r="AG338" i="4" s="1"/>
  <c r="V249" i="4"/>
  <c r="T260" i="4"/>
  <c r="T261" i="4" s="1"/>
  <c r="T262" i="4" s="1"/>
  <c r="AA232" i="4"/>
  <c r="Y243" i="4"/>
  <c r="Y244" i="4" s="1"/>
  <c r="Y245" i="4" s="1"/>
  <c r="AK198" i="4"/>
  <c r="AI209" i="4"/>
  <c r="AI210" i="4" s="1"/>
  <c r="AI211" i="4" s="1"/>
  <c r="AM291" i="4" l="1"/>
  <c r="AM302" i="4" s="1"/>
  <c r="AM341" i="4" s="1"/>
  <c r="AL291" i="4"/>
  <c r="AL302" i="4" s="1"/>
  <c r="AL341" i="4" s="1"/>
  <c r="AB293" i="4"/>
  <c r="AB306" i="4" s="1"/>
  <c r="AB346" i="4" s="1"/>
  <c r="AB236" i="4"/>
  <c r="R277" i="4"/>
  <c r="R278" i="4" s="1"/>
  <c r="R279" i="4" s="1"/>
  <c r="R281" i="4" s="1"/>
  <c r="R334" i="4" s="1"/>
  <c r="T263" i="4"/>
  <c r="AF215" i="4"/>
  <c r="AF217" i="4" s="1"/>
  <c r="AF218" i="4" s="1"/>
  <c r="AG215" i="4" s="1"/>
  <c r="AK200" i="4"/>
  <c r="AK201" i="4" s="1"/>
  <c r="AK205" i="4" s="1"/>
  <c r="AA234" i="4"/>
  <c r="AA235" i="4" s="1"/>
  <c r="V251" i="4"/>
  <c r="V252" i="4" s="1"/>
  <c r="V256" i="4" s="1"/>
  <c r="AD223" i="4"/>
  <c r="AD225" i="4" s="1"/>
  <c r="AD226" i="4" s="1"/>
  <c r="AD227" i="4" s="1"/>
  <c r="AD228" i="4" s="1"/>
  <c r="AD229" i="4" s="1"/>
  <c r="AC233" i="4" s="1"/>
  <c r="AD316" i="4"/>
  <c r="AJ206" i="4"/>
  <c r="AJ208" i="4" s="1"/>
  <c r="AJ315" i="4"/>
  <c r="U257" i="4"/>
  <c r="U259" i="4" s="1"/>
  <c r="U318" i="4"/>
  <c r="AE223" i="4"/>
  <c r="AE316" i="4"/>
  <c r="Z240" i="4"/>
  <c r="Z242" i="4" s="1"/>
  <c r="Z317" i="4"/>
  <c r="AK203" i="4"/>
  <c r="AK204" i="4"/>
  <c r="Y246" i="4"/>
  <c r="V255" i="4"/>
  <c r="V254" i="4"/>
  <c r="AA238" i="4"/>
  <c r="AA237" i="4"/>
  <c r="AI212" i="4"/>
  <c r="S267" i="4" l="1"/>
  <c r="S270" i="4" s="1"/>
  <c r="X250" i="4"/>
  <c r="X253" i="4" s="1"/>
  <c r="AH216" i="4"/>
  <c r="AH219" i="4" s="1"/>
  <c r="AC293" i="4"/>
  <c r="AC306" i="4" s="1"/>
  <c r="AC346" i="4" s="1"/>
  <c r="AC236" i="4"/>
  <c r="R371" i="4"/>
  <c r="R379" i="4" s="1"/>
  <c r="R362" i="4"/>
  <c r="R372" i="4" s="1"/>
  <c r="R380" i="4" s="1"/>
  <c r="Z358" i="4"/>
  <c r="Z330" i="4"/>
  <c r="Z359" i="4" s="1"/>
  <c r="AE323" i="4"/>
  <c r="AE352" i="4" s="1"/>
  <c r="U324" i="4"/>
  <c r="U353" i="4" s="1"/>
  <c r="AJ326" i="4"/>
  <c r="AJ355" i="4" s="1"/>
  <c r="AD323" i="4"/>
  <c r="AD352" i="4" s="1"/>
  <c r="AF220" i="4"/>
  <c r="AF221" i="4"/>
  <c r="AL198" i="4"/>
  <c r="AL203" i="4" s="1"/>
  <c r="AB232" i="4"/>
  <c r="AB237" i="4" s="1"/>
  <c r="AA239" i="4"/>
  <c r="AE225" i="4"/>
  <c r="AE226" i="4" s="1"/>
  <c r="AE227" i="4" s="1"/>
  <c r="AE228" i="4" s="1"/>
  <c r="AG217" i="4"/>
  <c r="AG218" i="4" s="1"/>
  <c r="AH215" i="4" s="1"/>
  <c r="AF222" i="4"/>
  <c r="AK206" i="4"/>
  <c r="AK208" i="4" s="1"/>
  <c r="AK209" i="4" s="1"/>
  <c r="AK210" i="4" s="1"/>
  <c r="AK315" i="4"/>
  <c r="X294" i="4"/>
  <c r="X300" i="4" s="1"/>
  <c r="X339" i="4" s="1"/>
  <c r="W249" i="4"/>
  <c r="U260" i="4"/>
  <c r="U261" i="4" s="1"/>
  <c r="U262" i="4" s="1"/>
  <c r="Z243" i="4"/>
  <c r="Z244" i="4" s="1"/>
  <c r="Z245" i="4" s="1"/>
  <c r="AG221" i="4"/>
  <c r="AG220" i="4"/>
  <c r="AJ209" i="4"/>
  <c r="AJ210" i="4" s="1"/>
  <c r="AH292" i="4" l="1"/>
  <c r="AH299" i="4" s="1"/>
  <c r="AH338" i="4" s="1"/>
  <c r="S268" i="4"/>
  <c r="S269" i="4" s="1"/>
  <c r="T266" i="4" s="1"/>
  <c r="S295" i="4"/>
  <c r="S298" i="4" s="1"/>
  <c r="S337" i="4" s="1"/>
  <c r="AB238" i="4"/>
  <c r="AK326" i="4"/>
  <c r="AK355" i="4" s="1"/>
  <c r="U263" i="4"/>
  <c r="AL200" i="4"/>
  <c r="AL201" i="4" s="1"/>
  <c r="AL205" i="4" s="1"/>
  <c r="T271" i="4"/>
  <c r="T272" i="4"/>
  <c r="AL204" i="4"/>
  <c r="AH217" i="4"/>
  <c r="AH218" i="4" s="1"/>
  <c r="AI215" i="4" s="1"/>
  <c r="AG222" i="4"/>
  <c r="W254" i="4"/>
  <c r="AB234" i="4"/>
  <c r="AB235" i="4" s="1"/>
  <c r="AB239" i="4" s="1"/>
  <c r="AA240" i="4"/>
  <c r="AA242" i="4" s="1"/>
  <c r="AA317" i="4"/>
  <c r="AF223" i="4"/>
  <c r="AF225" i="4" s="1"/>
  <c r="AF316" i="4"/>
  <c r="V257" i="4"/>
  <c r="V259" i="4" s="1"/>
  <c r="V318" i="4"/>
  <c r="W255" i="4"/>
  <c r="W251" i="4"/>
  <c r="W252" i="4" s="1"/>
  <c r="W256" i="4" s="1"/>
  <c r="Z246" i="4"/>
  <c r="AE229" i="4"/>
  <c r="AD233" i="4" s="1"/>
  <c r="AH221" i="4"/>
  <c r="AH220" i="4"/>
  <c r="AK211" i="4"/>
  <c r="AJ211" i="4"/>
  <c r="S273" i="4" l="1"/>
  <c r="T267" i="4"/>
  <c r="T268" i="4" s="1"/>
  <c r="T269" i="4" s="1"/>
  <c r="U266" i="4" s="1"/>
  <c r="U271" i="4" s="1"/>
  <c r="Y250" i="4"/>
  <c r="Y253" i="4" s="1"/>
  <c r="T295" i="4"/>
  <c r="T298" i="4" s="1"/>
  <c r="T337" i="4" s="1"/>
  <c r="AD293" i="4"/>
  <c r="AD306" i="4" s="1"/>
  <c r="AD346" i="4" s="1"/>
  <c r="AD236" i="4"/>
  <c r="AA358" i="4"/>
  <c r="AA330" i="4"/>
  <c r="AA359" i="4" s="1"/>
  <c r="V324" i="4"/>
  <c r="V353" i="4" s="1"/>
  <c r="AF323" i="4"/>
  <c r="AF352" i="4" s="1"/>
  <c r="AM198" i="4"/>
  <c r="AM203" i="4" s="1"/>
  <c r="AC232" i="4"/>
  <c r="AC237" i="4" s="1"/>
  <c r="AH222" i="4"/>
  <c r="AL206" i="4"/>
  <c r="AL208" i="4" s="1"/>
  <c r="AL315" i="4"/>
  <c r="AB240" i="4"/>
  <c r="AB242" i="4" s="1"/>
  <c r="AB243" i="4" s="1"/>
  <c r="AB244" i="4" s="1"/>
  <c r="AB317" i="4"/>
  <c r="AG223" i="4"/>
  <c r="AG225" i="4" s="1"/>
  <c r="AG316" i="4"/>
  <c r="X249" i="4"/>
  <c r="X254" i="4" s="1"/>
  <c r="V260" i="4"/>
  <c r="V261" i="4" s="1"/>
  <c r="V262" i="4" s="1"/>
  <c r="AA243" i="4"/>
  <c r="AA244" i="4" s="1"/>
  <c r="AI221" i="4"/>
  <c r="AI220" i="4"/>
  <c r="AJ212" i="4"/>
  <c r="AI216" i="4" s="1"/>
  <c r="AF226" i="4"/>
  <c r="AF227" i="4" s="1"/>
  <c r="AF228" i="4" s="1"/>
  <c r="S319" i="4" l="1"/>
  <c r="S322" i="4" s="1"/>
  <c r="S351" i="4" s="1"/>
  <c r="S274" i="4"/>
  <c r="S276" i="4" s="1"/>
  <c r="T273" i="4"/>
  <c r="T319" i="4" s="1"/>
  <c r="U272" i="4"/>
  <c r="Y294" i="4"/>
  <c r="Y300" i="4" s="1"/>
  <c r="Y339" i="4" s="1"/>
  <c r="T270" i="4"/>
  <c r="AC238" i="4"/>
  <c r="S277" i="4"/>
  <c r="S278" i="4" s="1"/>
  <c r="S279" i="4" s="1"/>
  <c r="S281" i="4" s="1"/>
  <c r="S334" i="4" s="1"/>
  <c r="AM204" i="4"/>
  <c r="AB358" i="4"/>
  <c r="AB330" i="4"/>
  <c r="AB359" i="4" s="1"/>
  <c r="AG323" i="4"/>
  <c r="AG352" i="4" s="1"/>
  <c r="AL326" i="4"/>
  <c r="AL355" i="4" s="1"/>
  <c r="AM200" i="4"/>
  <c r="AM201" i="4" s="1"/>
  <c r="AM205" i="4" s="1"/>
  <c r="V263" i="4"/>
  <c r="AC234" i="4"/>
  <c r="AC235" i="4" s="1"/>
  <c r="AD232" i="4" s="1"/>
  <c r="AD237" i="4" s="1"/>
  <c r="X251" i="4"/>
  <c r="X252" i="4" s="1"/>
  <c r="Y249" i="4" s="1"/>
  <c r="X255" i="4"/>
  <c r="W257" i="4"/>
  <c r="W259" i="4" s="1"/>
  <c r="W260" i="4" s="1"/>
  <c r="W261" i="4" s="1"/>
  <c r="W318" i="4"/>
  <c r="AH223" i="4"/>
  <c r="AH225" i="4" s="1"/>
  <c r="AH226" i="4" s="1"/>
  <c r="AH227" i="4" s="1"/>
  <c r="AH316" i="4"/>
  <c r="AB245" i="4"/>
  <c r="AA245" i="4"/>
  <c r="AF229" i="4"/>
  <c r="AE233" i="4" s="1"/>
  <c r="AK212" i="4"/>
  <c r="AG226" i="4"/>
  <c r="AG227" i="4" s="1"/>
  <c r="AG228" i="4" s="1"/>
  <c r="AL209" i="4"/>
  <c r="AL210" i="4" s="1"/>
  <c r="T274" i="4" l="1"/>
  <c r="U267" i="4"/>
  <c r="U270" i="4" s="1"/>
  <c r="AJ216" i="4"/>
  <c r="AJ219" i="4" s="1"/>
  <c r="AE293" i="4"/>
  <c r="AE306" i="4" s="1"/>
  <c r="AE346" i="4" s="1"/>
  <c r="AE236" i="4"/>
  <c r="AI292" i="4"/>
  <c r="AI299" i="4" s="1"/>
  <c r="AI338" i="4" s="1"/>
  <c r="AI219" i="4"/>
  <c r="S362" i="4"/>
  <c r="S372" i="4" s="1"/>
  <c r="S380" i="4" s="1"/>
  <c r="S371" i="4"/>
  <c r="S379" i="4" s="1"/>
  <c r="U268" i="4"/>
  <c r="U269" i="4" s="1"/>
  <c r="V266" i="4" s="1"/>
  <c r="AM315" i="4"/>
  <c r="AM206" i="4"/>
  <c r="AM208" i="4" s="1"/>
  <c r="AM209" i="4" s="1"/>
  <c r="AM210" i="4" s="1"/>
  <c r="AM211" i="4" s="1"/>
  <c r="T322" i="4"/>
  <c r="T351" i="4" s="1"/>
  <c r="AH323" i="4"/>
  <c r="AH352" i="4" s="1"/>
  <c r="W324" i="4"/>
  <c r="W353" i="4" s="1"/>
  <c r="T276" i="4"/>
  <c r="T277" i="4" s="1"/>
  <c r="AD238" i="4"/>
  <c r="Y251" i="4"/>
  <c r="Y252" i="4" s="1"/>
  <c r="Y256" i="4" s="1"/>
  <c r="X256" i="4"/>
  <c r="X318" i="4" s="1"/>
  <c r="AC239" i="4"/>
  <c r="AC317" i="4" s="1"/>
  <c r="AD234" i="4"/>
  <c r="AD235" i="4" s="1"/>
  <c r="AE232" i="4" s="1"/>
  <c r="W262" i="4"/>
  <c r="AJ292" i="4"/>
  <c r="AJ299" i="4" s="1"/>
  <c r="AJ338" i="4" s="1"/>
  <c r="AI217" i="4"/>
  <c r="AI218" i="4" s="1"/>
  <c r="AI222" i="4" s="1"/>
  <c r="AA246" i="4"/>
  <c r="Z250" i="4" s="1"/>
  <c r="Y255" i="4"/>
  <c r="Y254" i="4"/>
  <c r="AG229" i="4"/>
  <c r="AF233" i="4" s="1"/>
  <c r="AH228" i="4"/>
  <c r="AL211" i="4"/>
  <c r="U295" i="4" l="1"/>
  <c r="U298" i="4" s="1"/>
  <c r="U337" i="4" s="1"/>
  <c r="AF293" i="4"/>
  <c r="AF306" i="4" s="1"/>
  <c r="AF346" i="4" s="1"/>
  <c r="AF236" i="4"/>
  <c r="U273" i="4"/>
  <c r="U274" i="4" s="1"/>
  <c r="X257" i="4"/>
  <c r="X259" i="4" s="1"/>
  <c r="X324" i="4"/>
  <c r="X353" i="4" s="1"/>
  <c r="AC358" i="4"/>
  <c r="AC330" i="4"/>
  <c r="AC359" i="4" s="1"/>
  <c r="AM326" i="4"/>
  <c r="AM355" i="4" s="1"/>
  <c r="W263" i="4"/>
  <c r="V267" i="4" s="1"/>
  <c r="V295" i="4" s="1"/>
  <c r="V298" i="4" s="1"/>
  <c r="V337" i="4" s="1"/>
  <c r="AC240" i="4"/>
  <c r="AC242" i="4" s="1"/>
  <c r="AC243" i="4" s="1"/>
  <c r="AC244" i="4" s="1"/>
  <c r="AC245" i="4" s="1"/>
  <c r="T278" i="4"/>
  <c r="T279" i="4" s="1"/>
  <c r="T281" i="4" s="1"/>
  <c r="T334" i="4" s="1"/>
  <c r="V271" i="4"/>
  <c r="V272" i="4"/>
  <c r="AE234" i="4"/>
  <c r="AE235" i="4" s="1"/>
  <c r="AE239" i="4" s="1"/>
  <c r="AD239" i="4"/>
  <c r="AD240" i="4" s="1"/>
  <c r="Z249" i="4"/>
  <c r="Z253" i="4"/>
  <c r="AB246" i="4"/>
  <c r="X260" i="4"/>
  <c r="X261" i="4" s="1"/>
  <c r="X262" i="4" s="1"/>
  <c r="AH229" i="4"/>
  <c r="AG233" i="4" s="1"/>
  <c r="AE237" i="4"/>
  <c r="AE238" i="4"/>
  <c r="AJ215" i="4"/>
  <c r="AL212" i="4"/>
  <c r="AK216" i="4" s="1"/>
  <c r="AA250" i="4" l="1"/>
  <c r="AA253" i="4" s="1"/>
  <c r="U319" i="4"/>
  <c r="V268" i="4"/>
  <c r="V269" i="4" s="1"/>
  <c r="W266" i="4" s="1"/>
  <c r="W271" i="4" s="1"/>
  <c r="V270" i="4"/>
  <c r="AG293" i="4"/>
  <c r="AG306" i="4" s="1"/>
  <c r="AG346" i="4" s="1"/>
  <c r="AG236" i="4"/>
  <c r="U322" i="4"/>
  <c r="U351" i="4" s="1"/>
  <c r="AD317" i="4"/>
  <c r="U276" i="4"/>
  <c r="U277" i="4" s="1"/>
  <c r="U278" i="4" s="1"/>
  <c r="U279" i="4" s="1"/>
  <c r="U281" i="4" s="1"/>
  <c r="U334" i="4" s="1"/>
  <c r="X263" i="4"/>
  <c r="AD242" i="4"/>
  <c r="AD243" i="4" s="1"/>
  <c r="AD244" i="4" s="1"/>
  <c r="AD245" i="4" s="1"/>
  <c r="T371" i="4"/>
  <c r="T379" i="4" s="1"/>
  <c r="T362" i="4"/>
  <c r="T372" i="4" s="1"/>
  <c r="T380" i="4" s="1"/>
  <c r="AJ217" i="4"/>
  <c r="AJ218" i="4" s="1"/>
  <c r="AJ222" i="4" s="1"/>
  <c r="AI223" i="4"/>
  <c r="AI225" i="4" s="1"/>
  <c r="AI316" i="4"/>
  <c r="Y257" i="4"/>
  <c r="Y259" i="4" s="1"/>
  <c r="Y318" i="4"/>
  <c r="Z294" i="4"/>
  <c r="Z300" i="4" s="1"/>
  <c r="Z339" i="4" s="1"/>
  <c r="Z251" i="4"/>
  <c r="Z252" i="4" s="1"/>
  <c r="Z256" i="4" s="1"/>
  <c r="AC246" i="4"/>
  <c r="Z254" i="4"/>
  <c r="Z255" i="4"/>
  <c r="AF232" i="4"/>
  <c r="AM212" i="4"/>
  <c r="AK219" i="4"/>
  <c r="AJ220" i="4"/>
  <c r="AJ221" i="4"/>
  <c r="AA294" i="4" l="1"/>
  <c r="AA300" i="4" s="1"/>
  <c r="AA339" i="4" s="1"/>
  <c r="W267" i="4"/>
  <c r="W270" i="4" s="1"/>
  <c r="W272" i="4"/>
  <c r="AB250" i="4"/>
  <c r="AB294" i="4" s="1"/>
  <c r="AB300" i="4" s="1"/>
  <c r="AB339" i="4" s="1"/>
  <c r="AL216" i="4"/>
  <c r="AL219" i="4" s="1"/>
  <c r="V273" i="4"/>
  <c r="V319" i="4" s="1"/>
  <c r="AI323" i="4"/>
  <c r="AI352" i="4" s="1"/>
  <c r="AD358" i="4"/>
  <c r="AD330" i="4"/>
  <c r="AD359" i="4" s="1"/>
  <c r="Y324" i="4"/>
  <c r="Y353" i="4" s="1"/>
  <c r="U371" i="4"/>
  <c r="U379" i="4" s="1"/>
  <c r="U362" i="4"/>
  <c r="U372" i="4" s="1"/>
  <c r="U380" i="4" s="1"/>
  <c r="AF234" i="4"/>
  <c r="AF235" i="4" s="1"/>
  <c r="AF239" i="4" s="1"/>
  <c r="AE240" i="4"/>
  <c r="AE242" i="4" s="1"/>
  <c r="AE317" i="4"/>
  <c r="AK292" i="4"/>
  <c r="AK299" i="4" s="1"/>
  <c r="AK338" i="4" s="1"/>
  <c r="AA249" i="4"/>
  <c r="AD246" i="4"/>
  <c r="Y260" i="4"/>
  <c r="Y261" i="4" s="1"/>
  <c r="Y262" i="4" s="1"/>
  <c r="AF238" i="4"/>
  <c r="AF237" i="4"/>
  <c r="AK215" i="4"/>
  <c r="AI226" i="4"/>
  <c r="AI227" i="4" s="1"/>
  <c r="AI228" i="4" s="1"/>
  <c r="W268" i="4" l="1"/>
  <c r="W269" i="4" s="1"/>
  <c r="V274" i="4"/>
  <c r="W295" i="4"/>
  <c r="W298" i="4" s="1"/>
  <c r="W337" i="4" s="1"/>
  <c r="AC250" i="4"/>
  <c r="AC253" i="4" s="1"/>
  <c r="AM292" i="4"/>
  <c r="AM299" i="4" s="1"/>
  <c r="AM338" i="4" s="1"/>
  <c r="AB253" i="4"/>
  <c r="AL292" i="4"/>
  <c r="AL299" i="4" s="1"/>
  <c r="AL338" i="4" s="1"/>
  <c r="V322" i="4"/>
  <c r="V351" i="4" s="1"/>
  <c r="AE358" i="4"/>
  <c r="AE330" i="4"/>
  <c r="AE359" i="4" s="1"/>
  <c r="Y263" i="4"/>
  <c r="X267" i="4" s="1"/>
  <c r="V276" i="4"/>
  <c r="V277" i="4" s="1"/>
  <c r="AA251" i="4"/>
  <c r="AA252" i="4" s="1"/>
  <c r="AB249" i="4" s="1"/>
  <c r="AK217" i="4"/>
  <c r="AK218" i="4" s="1"/>
  <c r="AK222" i="4" s="1"/>
  <c r="Z257" i="4"/>
  <c r="Z259" i="4" s="1"/>
  <c r="Z318" i="4"/>
  <c r="AJ223" i="4"/>
  <c r="AJ225" i="4" s="1"/>
  <c r="AJ316" i="4"/>
  <c r="AA255" i="4"/>
  <c r="AA254" i="4"/>
  <c r="AG232" i="4"/>
  <c r="AE243" i="4"/>
  <c r="AE244" i="4" s="1"/>
  <c r="AE245" i="4" s="1"/>
  <c r="AI229" i="4"/>
  <c r="AH233" i="4" s="1"/>
  <c r="AK221" i="4"/>
  <c r="AK220" i="4"/>
  <c r="AC294" i="4" l="1"/>
  <c r="AC300" i="4" s="1"/>
  <c r="AC339" i="4" s="1"/>
  <c r="X266" i="4"/>
  <c r="X268" i="4" s="1"/>
  <c r="X269" i="4" s="1"/>
  <c r="Y266" i="4" s="1"/>
  <c r="Y271" i="4" s="1"/>
  <c r="W273" i="4"/>
  <c r="X270" i="4"/>
  <c r="AH293" i="4"/>
  <c r="AH306" i="4" s="1"/>
  <c r="AH346" i="4" s="1"/>
  <c r="AH236" i="4"/>
  <c r="AJ323" i="4"/>
  <c r="AJ352" i="4" s="1"/>
  <c r="Z324" i="4"/>
  <c r="Z353" i="4" s="1"/>
  <c r="X295" i="4"/>
  <c r="X298" i="4" s="1"/>
  <c r="X337" i="4" s="1"/>
  <c r="V278" i="4"/>
  <c r="AB251" i="4"/>
  <c r="AB252" i="4" s="1"/>
  <c r="AB256" i="4" s="1"/>
  <c r="AA256" i="4"/>
  <c r="AG234" i="4"/>
  <c r="AG235" i="4" s="1"/>
  <c r="AG239" i="4" s="1"/>
  <c r="AF240" i="4"/>
  <c r="AF242" i="4" s="1"/>
  <c r="AF317" i="4"/>
  <c r="Z260" i="4"/>
  <c r="Z261" i="4" s="1"/>
  <c r="Z262" i="4" s="1"/>
  <c r="AE246" i="4"/>
  <c r="AB254" i="4"/>
  <c r="AB255" i="4"/>
  <c r="AG237" i="4"/>
  <c r="AG238" i="4"/>
  <c r="AL215" i="4"/>
  <c r="AJ226" i="4"/>
  <c r="AJ227" i="4" s="1"/>
  <c r="AJ228" i="4" s="1"/>
  <c r="X273" i="4" l="1"/>
  <c r="X319" i="4" s="1"/>
  <c r="Y272" i="4"/>
  <c r="W274" i="4"/>
  <c r="W276" i="4" s="1"/>
  <c r="W277" i="4" s="1"/>
  <c r="W278" i="4" s="1"/>
  <c r="W279" i="4" s="1"/>
  <c r="W281" i="4" s="1"/>
  <c r="W334" i="4" s="1"/>
  <c r="W371" i="4" s="1"/>
  <c r="W379" i="4" s="1"/>
  <c r="W319" i="4"/>
  <c r="W322" i="4" s="1"/>
  <c r="W351" i="4" s="1"/>
  <c r="X271" i="4"/>
  <c r="X272" i="4"/>
  <c r="AD250" i="4"/>
  <c r="AD253" i="4" s="1"/>
  <c r="X322" i="4"/>
  <c r="X351" i="4" s="1"/>
  <c r="AF358" i="4"/>
  <c r="AF330" i="4"/>
  <c r="AF359" i="4" s="1"/>
  <c r="Z263" i="4"/>
  <c r="Y267" i="4" s="1"/>
  <c r="Y295" i="4" s="1"/>
  <c r="Y298" i="4" s="1"/>
  <c r="Y337" i="4" s="1"/>
  <c r="V279" i="4"/>
  <c r="V281" i="4" s="1"/>
  <c r="V334" i="4" s="1"/>
  <c r="V371" i="4" s="1"/>
  <c r="V379" i="4" s="1"/>
  <c r="AL217" i="4"/>
  <c r="AL218" i="4" s="1"/>
  <c r="AL222" i="4" s="1"/>
  <c r="AK223" i="4"/>
  <c r="AK225" i="4" s="1"/>
  <c r="AK316" i="4"/>
  <c r="AA257" i="4"/>
  <c r="AA259" i="4" s="1"/>
  <c r="AA318" i="4"/>
  <c r="AC249" i="4"/>
  <c r="AB318" i="4"/>
  <c r="AB257" i="4"/>
  <c r="AH232" i="4"/>
  <c r="AF243" i="4"/>
  <c r="AF244" i="4" s="1"/>
  <c r="AF245" i="4" s="1"/>
  <c r="AJ229" i="4"/>
  <c r="AI233" i="4" s="1"/>
  <c r="AL220" i="4"/>
  <c r="AL221" i="4"/>
  <c r="AD294" i="4" l="1"/>
  <c r="AD300" i="4" s="1"/>
  <c r="AD339" i="4" s="1"/>
  <c r="X274" i="4"/>
  <c r="X276" i="4" s="1"/>
  <c r="X277" i="4" s="1"/>
  <c r="X278" i="4" s="1"/>
  <c r="X279" i="4" s="1"/>
  <c r="X281" i="4" s="1"/>
  <c r="X334" i="4" s="1"/>
  <c r="X362" i="4" s="1"/>
  <c r="X372" i="4" s="1"/>
  <c r="X380" i="4" s="1"/>
  <c r="V362" i="4"/>
  <c r="V372" i="4" s="1"/>
  <c r="V380" i="4" s="1"/>
  <c r="W362" i="4"/>
  <c r="W372" i="4" s="1"/>
  <c r="W380" i="4" s="1"/>
  <c r="Y268" i="4"/>
  <c r="Y269" i="4" s="1"/>
  <c r="Y273" i="4" s="1"/>
  <c r="Y270" i="4"/>
  <c r="AI293" i="4"/>
  <c r="AI306" i="4" s="1"/>
  <c r="AI346" i="4" s="1"/>
  <c r="AI236" i="4"/>
  <c r="AA324" i="4"/>
  <c r="AA353" i="4" s="1"/>
  <c r="AK323" i="4"/>
  <c r="AK352" i="4" s="1"/>
  <c r="AB324" i="4"/>
  <c r="AB353" i="4" s="1"/>
  <c r="AC251" i="4"/>
  <c r="AC252" i="4" s="1"/>
  <c r="AD249" i="4" s="1"/>
  <c r="AH234" i="4"/>
  <c r="AH235" i="4" s="1"/>
  <c r="AH239" i="4" s="1"/>
  <c r="AG240" i="4"/>
  <c r="AG242" i="4" s="1"/>
  <c r="AG317" i="4"/>
  <c r="AF246" i="4"/>
  <c r="AB259" i="4"/>
  <c r="AA260" i="4"/>
  <c r="AA261" i="4" s="1"/>
  <c r="AA262" i="4" s="1"/>
  <c r="AC255" i="4"/>
  <c r="AC254" i="4"/>
  <c r="AH238" i="4"/>
  <c r="AH237" i="4"/>
  <c r="AM215" i="4"/>
  <c r="AK226" i="4"/>
  <c r="AK227" i="4" s="1"/>
  <c r="AK228" i="4" s="1"/>
  <c r="X371" i="4" l="1"/>
  <c r="X379" i="4" s="1"/>
  <c r="AE250" i="4"/>
  <c r="AE253" i="4" s="1"/>
  <c r="Z266" i="4"/>
  <c r="Z272" i="4" s="1"/>
  <c r="AG358" i="4"/>
  <c r="AG330" i="4"/>
  <c r="AG359" i="4" s="1"/>
  <c r="AA263" i="4"/>
  <c r="Z267" i="4" s="1"/>
  <c r="Y319" i="4"/>
  <c r="Y274" i="4"/>
  <c r="Z271" i="4"/>
  <c r="AD251" i="4"/>
  <c r="AD252" i="4" s="1"/>
  <c r="AE249" i="4" s="1"/>
  <c r="AC256" i="4"/>
  <c r="AM217" i="4"/>
  <c r="AM218" i="4" s="1"/>
  <c r="AL223" i="4"/>
  <c r="AL225" i="4" s="1"/>
  <c r="AL316" i="4"/>
  <c r="AD255" i="4"/>
  <c r="AD254" i="4"/>
  <c r="AB260" i="4"/>
  <c r="AB261" i="4" s="1"/>
  <c r="AB262" i="4" s="1"/>
  <c r="AI232" i="4"/>
  <c r="AH317" i="4"/>
  <c r="AK229" i="4"/>
  <c r="AJ233" i="4" s="1"/>
  <c r="AG243" i="4"/>
  <c r="AG244" i="4" s="1"/>
  <c r="AG245" i="4" s="1"/>
  <c r="AM221" i="4"/>
  <c r="AM220" i="4"/>
  <c r="AE294" i="4" l="1"/>
  <c r="AE300" i="4" s="1"/>
  <c r="AE339" i="4" s="1"/>
  <c r="Z268" i="4"/>
  <c r="Z269" i="4" s="1"/>
  <c r="AA266" i="4" s="1"/>
  <c r="AA272" i="4" s="1"/>
  <c r="Z270" i="4"/>
  <c r="AJ293" i="4"/>
  <c r="AJ306" i="4" s="1"/>
  <c r="AJ346" i="4" s="1"/>
  <c r="AJ236" i="4"/>
  <c r="Z295" i="4"/>
  <c r="Z298" i="4" s="1"/>
  <c r="Z337" i="4" s="1"/>
  <c r="Y322" i="4"/>
  <c r="Y351" i="4" s="1"/>
  <c r="AL323" i="4"/>
  <c r="AL352" i="4" s="1"/>
  <c r="AH358" i="4"/>
  <c r="AH330" i="4"/>
  <c r="AH359" i="4" s="1"/>
  <c r="Y276" i="4"/>
  <c r="Y277" i="4" s="1"/>
  <c r="Y278" i="4" s="1"/>
  <c r="Y279" i="4" s="1"/>
  <c r="Y281" i="4" s="1"/>
  <c r="Y334" i="4" s="1"/>
  <c r="AB263" i="4"/>
  <c r="AA267" i="4" s="1"/>
  <c r="AE251" i="4"/>
  <c r="AE252" i="4" s="1"/>
  <c r="AE256" i="4" s="1"/>
  <c r="AM222" i="4"/>
  <c r="AM316" i="4" s="1"/>
  <c r="AI234" i="4"/>
  <c r="AI235" i="4" s="1"/>
  <c r="AI239" i="4" s="1"/>
  <c r="AD256" i="4"/>
  <c r="AC257" i="4"/>
  <c r="AC259" i="4" s="1"/>
  <c r="AC318" i="4"/>
  <c r="AH240" i="4"/>
  <c r="AH242" i="4" s="1"/>
  <c r="AG246" i="4"/>
  <c r="AE254" i="4"/>
  <c r="AE255" i="4"/>
  <c r="AI238" i="4"/>
  <c r="AI237" i="4"/>
  <c r="AL226" i="4"/>
  <c r="AL227" i="4" s="1"/>
  <c r="AA271" i="4" l="1"/>
  <c r="Z273" i="4"/>
  <c r="Z274" i="4"/>
  <c r="Z276" i="4" s="1"/>
  <c r="Z277" i="4" s="1"/>
  <c r="AF250" i="4"/>
  <c r="AF253" i="4" s="1"/>
  <c r="AA268" i="4"/>
  <c r="AA269" i="4" s="1"/>
  <c r="AB266" i="4" s="1"/>
  <c r="AB271" i="4" s="1"/>
  <c r="AA270" i="4"/>
  <c r="AA295" i="4"/>
  <c r="AA298" i="4" s="1"/>
  <c r="AA337" i="4" s="1"/>
  <c r="AC324" i="4"/>
  <c r="AC353" i="4" s="1"/>
  <c r="AM323" i="4"/>
  <c r="AM352" i="4" s="1"/>
  <c r="Z319" i="4"/>
  <c r="Z278" i="4"/>
  <c r="Z279" i="4" s="1"/>
  <c r="Z281" i="4" s="1"/>
  <c r="Z334" i="4" s="1"/>
  <c r="Z371" i="4" s="1"/>
  <c r="Z379" i="4" s="1"/>
  <c r="AA273" i="4"/>
  <c r="AA319" i="4" s="1"/>
  <c r="Y371" i="4"/>
  <c r="Y379" i="4" s="1"/>
  <c r="Y362" i="4"/>
  <c r="Y372" i="4" s="1"/>
  <c r="Y380" i="4" s="1"/>
  <c r="AM223" i="4"/>
  <c r="AM225" i="4" s="1"/>
  <c r="AM226" i="4" s="1"/>
  <c r="AM227" i="4" s="1"/>
  <c r="AD257" i="4"/>
  <c r="AD259" i="4" s="1"/>
  <c r="AD260" i="4" s="1"/>
  <c r="AD261" i="4" s="1"/>
  <c r="AD318" i="4"/>
  <c r="AF249" i="4"/>
  <c r="AE318" i="4"/>
  <c r="AE257" i="4"/>
  <c r="AC260" i="4"/>
  <c r="AC261" i="4" s="1"/>
  <c r="AJ232" i="4"/>
  <c r="AH243" i="4"/>
  <c r="AH244" i="4" s="1"/>
  <c r="AH245" i="4" s="1"/>
  <c r="AL228" i="4"/>
  <c r="AF294" i="4" l="1"/>
  <c r="AF300" i="4" s="1"/>
  <c r="AF339" i="4" s="1"/>
  <c r="AB272" i="4"/>
  <c r="AA274" i="4"/>
  <c r="AA276" i="4" s="1"/>
  <c r="AE324" i="4"/>
  <c r="AE353" i="4" s="1"/>
  <c r="AA322" i="4"/>
  <c r="AA351" i="4" s="1"/>
  <c r="Z322" i="4"/>
  <c r="Z351" i="4" s="1"/>
  <c r="Z362" i="4" s="1"/>
  <c r="Z372" i="4" s="1"/>
  <c r="Z380" i="4" s="1"/>
  <c r="AD324" i="4"/>
  <c r="AD353" i="4" s="1"/>
  <c r="AM228" i="4"/>
  <c r="AE259" i="4"/>
  <c r="AE260" i="4" s="1"/>
  <c r="AE261" i="4" s="1"/>
  <c r="AE262" i="4" s="1"/>
  <c r="AD262" i="4"/>
  <c r="AJ234" i="4"/>
  <c r="AJ235" i="4" s="1"/>
  <c r="AJ239" i="4" s="1"/>
  <c r="AF251" i="4"/>
  <c r="AF252" i="4" s="1"/>
  <c r="AF256" i="4" s="1"/>
  <c r="AI240" i="4"/>
  <c r="AI242" i="4" s="1"/>
  <c r="AI317" i="4"/>
  <c r="AC262" i="4"/>
  <c r="AH246" i="4"/>
  <c r="AF255" i="4"/>
  <c r="AF254" i="4"/>
  <c r="AL229" i="4"/>
  <c r="AK233" i="4" s="1"/>
  <c r="AJ237" i="4"/>
  <c r="AJ238" i="4"/>
  <c r="AG250" i="4" l="1"/>
  <c r="AG253" i="4" s="1"/>
  <c r="AA277" i="4"/>
  <c r="AA278" i="4" s="1"/>
  <c r="AA279" i="4" s="1"/>
  <c r="AA281" i="4" s="1"/>
  <c r="AA334" i="4" s="1"/>
  <c r="AI358" i="4"/>
  <c r="AI330" i="4"/>
  <c r="AI359" i="4" s="1"/>
  <c r="AC263" i="4"/>
  <c r="AG294" i="4"/>
  <c r="AG300" i="4" s="1"/>
  <c r="AG339" i="4" s="1"/>
  <c r="AG249" i="4"/>
  <c r="AK232" i="4"/>
  <c r="AI243" i="4"/>
  <c r="AI244" i="4" s="1"/>
  <c r="AI245" i="4" s="1"/>
  <c r="AM229" i="4"/>
  <c r="AB267" i="4" l="1"/>
  <c r="AB270" i="4" s="1"/>
  <c r="AL233" i="4"/>
  <c r="AL236" i="4" s="1"/>
  <c r="AK293" i="4"/>
  <c r="AK306" i="4" s="1"/>
  <c r="AK346" i="4" s="1"/>
  <c r="AK236" i="4"/>
  <c r="AD263" i="4"/>
  <c r="AC267" i="4" s="1"/>
  <c r="AB295" i="4"/>
  <c r="AB298" i="4" s="1"/>
  <c r="AB337" i="4" s="1"/>
  <c r="AA371" i="4"/>
  <c r="AA379" i="4" s="1"/>
  <c r="AA362" i="4"/>
  <c r="AA372" i="4" s="1"/>
  <c r="AA380" i="4" s="1"/>
  <c r="AG251" i="4"/>
  <c r="AG252" i="4" s="1"/>
  <c r="AG256" i="4" s="1"/>
  <c r="AF257" i="4"/>
  <c r="AF259" i="4" s="1"/>
  <c r="AF318" i="4"/>
  <c r="AJ240" i="4"/>
  <c r="AJ242" i="4" s="1"/>
  <c r="AJ317" i="4"/>
  <c r="AL293" i="4"/>
  <c r="AL306" i="4" s="1"/>
  <c r="AL346" i="4" s="1"/>
  <c r="AK234" i="4"/>
  <c r="AK235" i="4" s="1"/>
  <c r="AK239" i="4" s="1"/>
  <c r="AI246" i="4"/>
  <c r="AG254" i="4"/>
  <c r="AG255" i="4"/>
  <c r="AK237" i="4"/>
  <c r="AK238" i="4"/>
  <c r="AB268" i="4" l="1"/>
  <c r="AB269" i="4" s="1"/>
  <c r="AC266" i="4" s="1"/>
  <c r="AM293" i="4"/>
  <c r="AM306" i="4" s="1"/>
  <c r="AM346" i="4" s="1"/>
  <c r="AH250" i="4"/>
  <c r="AH253" i="4" s="1"/>
  <c r="AC270" i="4"/>
  <c r="AE263" i="4"/>
  <c r="AJ358" i="4"/>
  <c r="AJ330" i="4"/>
  <c r="AJ359" i="4" s="1"/>
  <c r="AF324" i="4"/>
  <c r="AF353" i="4" s="1"/>
  <c r="AC268" i="4"/>
  <c r="AC269" i="4" s="1"/>
  <c r="AD266" i="4" s="1"/>
  <c r="AC272" i="4"/>
  <c r="AC271" i="4"/>
  <c r="AH249" i="4"/>
  <c r="AF260" i="4"/>
  <c r="AF261" i="4" s="1"/>
  <c r="AF262" i="4" s="1"/>
  <c r="AL232" i="4"/>
  <c r="AJ243" i="4"/>
  <c r="AJ244" i="4" s="1"/>
  <c r="AJ245" i="4" s="1"/>
  <c r="AB273" i="4" l="1"/>
  <c r="AB274" i="4" s="1"/>
  <c r="AB276" i="4" s="1"/>
  <c r="AB277" i="4" s="1"/>
  <c r="AB278" i="4" s="1"/>
  <c r="AB279" i="4" s="1"/>
  <c r="AB281" i="4" s="1"/>
  <c r="AB334" i="4" s="1"/>
  <c r="AH294" i="4"/>
  <c r="AH300" i="4" s="1"/>
  <c r="AH339" i="4" s="1"/>
  <c r="AD267" i="4"/>
  <c r="AD270" i="4" s="1"/>
  <c r="AC295" i="4"/>
  <c r="AC298" i="4" s="1"/>
  <c r="AC337" i="4" s="1"/>
  <c r="AF263" i="4"/>
  <c r="AC273" i="4"/>
  <c r="AC319" i="4" s="1"/>
  <c r="AD272" i="4"/>
  <c r="AD271" i="4"/>
  <c r="AD268" i="4"/>
  <c r="AD269" i="4" s="1"/>
  <c r="AE266" i="4" s="1"/>
  <c r="AL234" i="4"/>
  <c r="AL235" i="4" s="1"/>
  <c r="AL239" i="4" s="1"/>
  <c r="AH251" i="4"/>
  <c r="AH252" i="4" s="1"/>
  <c r="AI249" i="4" s="1"/>
  <c r="AG257" i="4"/>
  <c r="AG259" i="4" s="1"/>
  <c r="AG318" i="4"/>
  <c r="AK240" i="4"/>
  <c r="AK242" i="4" s="1"/>
  <c r="AK317" i="4"/>
  <c r="AJ246" i="4"/>
  <c r="AH255" i="4"/>
  <c r="AH254" i="4"/>
  <c r="AL237" i="4"/>
  <c r="AL238" i="4"/>
  <c r="AB319" i="4" l="1"/>
  <c r="AB322" i="4" s="1"/>
  <c r="AB351" i="4" s="1"/>
  <c r="AD295" i="4"/>
  <c r="AD298" i="4" s="1"/>
  <c r="AD337" i="4" s="1"/>
  <c r="AE267" i="4"/>
  <c r="AE295" i="4" s="1"/>
  <c r="AE298" i="4" s="1"/>
  <c r="AE337" i="4" s="1"/>
  <c r="AI250" i="4"/>
  <c r="AI253" i="4" s="1"/>
  <c r="AC322" i="4"/>
  <c r="AC351" i="4" s="1"/>
  <c r="AK358" i="4"/>
  <c r="AK330" i="4"/>
  <c r="AK359" i="4" s="1"/>
  <c r="AG324" i="4"/>
  <c r="AG353" i="4" s="1"/>
  <c r="AB371" i="4"/>
  <c r="AB379" i="4" s="1"/>
  <c r="AB362" i="4"/>
  <c r="AB372" i="4" s="1"/>
  <c r="AB380" i="4" s="1"/>
  <c r="AD273" i="4"/>
  <c r="AD319" i="4" s="1"/>
  <c r="AC274" i="4"/>
  <c r="AE271" i="4"/>
  <c r="AE272" i="4"/>
  <c r="AH256" i="4"/>
  <c r="AI255" i="4"/>
  <c r="AI254" i="4"/>
  <c r="AG260" i="4"/>
  <c r="AG261" i="4" s="1"/>
  <c r="AG262" i="4" s="1"/>
  <c r="AM232" i="4"/>
  <c r="AK243" i="4"/>
  <c r="AK244" i="4" s="1"/>
  <c r="AK245" i="4" s="1"/>
  <c r="AI251" i="4" l="1"/>
  <c r="AI252" i="4" s="1"/>
  <c r="AI256" i="4" s="1"/>
  <c r="AE268" i="4"/>
  <c r="AE269" i="4" s="1"/>
  <c r="AF266" i="4" s="1"/>
  <c r="AF272" i="4" s="1"/>
  <c r="AI294" i="4"/>
  <c r="AI300" i="4" s="1"/>
  <c r="AI339" i="4" s="1"/>
  <c r="AE270" i="4"/>
  <c r="AD322" i="4"/>
  <c r="AD351" i="4" s="1"/>
  <c r="AC276" i="4"/>
  <c r="AG263" i="4"/>
  <c r="AF267" i="4" s="1"/>
  <c r="AD274" i="4"/>
  <c r="AM234" i="4"/>
  <c r="AM235" i="4" s="1"/>
  <c r="AL240" i="4"/>
  <c r="AL242" i="4" s="1"/>
  <c r="AL317" i="4"/>
  <c r="AH257" i="4"/>
  <c r="AH259" i="4" s="1"/>
  <c r="AH318" i="4"/>
  <c r="AJ249" i="4"/>
  <c r="AK246" i="4"/>
  <c r="AM237" i="4"/>
  <c r="AM238" i="4"/>
  <c r="AF271" i="4" l="1"/>
  <c r="AE273" i="4"/>
  <c r="AE319" i="4" s="1"/>
  <c r="AJ250" i="4"/>
  <c r="AJ253" i="4" s="1"/>
  <c r="AF268" i="4"/>
  <c r="AF269" i="4" s="1"/>
  <c r="AG266" i="4" s="1"/>
  <c r="AG271" i="4" s="1"/>
  <c r="AF270" i="4"/>
  <c r="AC277" i="4"/>
  <c r="AC278" i="4" s="1"/>
  <c r="AC279" i="4" s="1"/>
  <c r="AC281" i="4" s="1"/>
  <c r="AC334" i="4" s="1"/>
  <c r="AE274" i="4"/>
  <c r="AE276" i="4" s="1"/>
  <c r="AL358" i="4"/>
  <c r="AL330" i="4"/>
  <c r="AL359" i="4" s="1"/>
  <c r="AE322" i="4"/>
  <c r="AE351" i="4" s="1"/>
  <c r="AH324" i="4"/>
  <c r="AH353" i="4" s="1"/>
  <c r="AF295" i="4"/>
  <c r="AF298" i="4" s="1"/>
  <c r="AF337" i="4" s="1"/>
  <c r="AD276" i="4"/>
  <c r="AM239" i="4"/>
  <c r="AM317" i="4" s="1"/>
  <c r="AI257" i="4"/>
  <c r="AI259" i="4" s="1"/>
  <c r="AI318" i="4"/>
  <c r="AJ254" i="4"/>
  <c r="AJ255" i="4"/>
  <c r="AH260" i="4"/>
  <c r="AH261" i="4" s="1"/>
  <c r="AH262" i="4" s="1"/>
  <c r="AL243" i="4"/>
  <c r="AL244" i="4" s="1"/>
  <c r="AL245" i="4" s="1"/>
  <c r="AJ251" i="4" l="1"/>
  <c r="AJ252" i="4" s="1"/>
  <c r="AJ256" i="4" s="1"/>
  <c r="AJ294" i="4"/>
  <c r="AJ300" i="4" s="1"/>
  <c r="AJ339" i="4" s="1"/>
  <c r="AG272" i="4"/>
  <c r="AF273" i="4"/>
  <c r="AF319" i="4" s="1"/>
  <c r="AC362" i="4"/>
  <c r="AC372" i="4" s="1"/>
  <c r="AC380" i="4" s="1"/>
  <c r="AC371" i="4"/>
  <c r="AC379" i="4" s="1"/>
  <c r="AD277" i="4"/>
  <c r="AD278" i="4" s="1"/>
  <c r="AE277" i="4"/>
  <c r="AE278" i="4" s="1"/>
  <c r="AM358" i="4"/>
  <c r="AM330" i="4"/>
  <c r="AM359" i="4" s="1"/>
  <c r="AI324" i="4"/>
  <c r="AI353" i="4" s="1"/>
  <c r="AH263" i="4"/>
  <c r="AG267" i="4" s="1"/>
  <c r="AM240" i="4"/>
  <c r="AM242" i="4" s="1"/>
  <c r="AM243" i="4" s="1"/>
  <c r="AM244" i="4" s="1"/>
  <c r="AM245" i="4" s="1"/>
  <c r="AI260" i="4"/>
  <c r="AI261" i="4" s="1"/>
  <c r="AI262" i="4" s="1"/>
  <c r="AL246" i="4"/>
  <c r="AK249" i="4" l="1"/>
  <c r="AF274" i="4"/>
  <c r="AK250" i="4"/>
  <c r="AK253" i="4" s="1"/>
  <c r="AG268" i="4"/>
  <c r="AG269" i="4" s="1"/>
  <c r="AH266" i="4" s="1"/>
  <c r="AH272" i="4" s="1"/>
  <c r="AG270" i="4"/>
  <c r="AD279" i="4"/>
  <c r="AD281" i="4" s="1"/>
  <c r="AD334" i="4" s="1"/>
  <c r="AE279" i="4"/>
  <c r="AE281" i="4" s="1"/>
  <c r="AE334" i="4" s="1"/>
  <c r="AE371" i="4" s="1"/>
  <c r="AE379" i="4" s="1"/>
  <c r="AF322" i="4"/>
  <c r="AF351" i="4" s="1"/>
  <c r="AF276" i="4"/>
  <c r="AF277" i="4" s="1"/>
  <c r="AF278" i="4" s="1"/>
  <c r="AF279" i="4" s="1"/>
  <c r="AF281" i="4" s="1"/>
  <c r="AF334" i="4" s="1"/>
  <c r="AI263" i="4"/>
  <c r="AH267" i="4" s="1"/>
  <c r="AG295" i="4"/>
  <c r="AG298" i="4" s="1"/>
  <c r="AG337" i="4" s="1"/>
  <c r="AH271" i="4"/>
  <c r="AJ257" i="4"/>
  <c r="AJ259" i="4" s="1"/>
  <c r="AJ318" i="4"/>
  <c r="AM246" i="4"/>
  <c r="AK255" i="4"/>
  <c r="AK254" i="4"/>
  <c r="AK251" i="4" l="1"/>
  <c r="AK252" i="4" s="1"/>
  <c r="AK256" i="4" s="1"/>
  <c r="AK294" i="4"/>
  <c r="AK300" i="4" s="1"/>
  <c r="AK339" i="4" s="1"/>
  <c r="AL250" i="4"/>
  <c r="AL253" i="4" s="1"/>
  <c r="AG273" i="4"/>
  <c r="AH268" i="4"/>
  <c r="AH269" i="4" s="1"/>
  <c r="AI266" i="4" s="1"/>
  <c r="AI272" i="4" s="1"/>
  <c r="AH270" i="4"/>
  <c r="AE362" i="4"/>
  <c r="AE372" i="4" s="1"/>
  <c r="AE380" i="4" s="1"/>
  <c r="AH295" i="4"/>
  <c r="AH298" i="4" s="1"/>
  <c r="AH337" i="4" s="1"/>
  <c r="AD371" i="4"/>
  <c r="AD379" i="4" s="1"/>
  <c r="AD362" i="4"/>
  <c r="AD372" i="4" s="1"/>
  <c r="AD380" i="4" s="1"/>
  <c r="AJ324" i="4"/>
  <c r="AJ353" i="4" s="1"/>
  <c r="AH273" i="4"/>
  <c r="AH319" i="4" s="1"/>
  <c r="AF371" i="4"/>
  <c r="AF379" i="4" s="1"/>
  <c r="AF362" i="4"/>
  <c r="AF372" i="4" s="1"/>
  <c r="AF380" i="4" s="1"/>
  <c r="AL249" i="4"/>
  <c r="AJ260" i="4"/>
  <c r="AJ261" i="4" s="1"/>
  <c r="AJ262" i="4" s="1"/>
  <c r="AL294" i="4" l="1"/>
  <c r="AL300" i="4" s="1"/>
  <c r="AL339" i="4" s="1"/>
  <c r="AI271" i="4"/>
  <c r="AM294" i="4"/>
  <c r="AM300" i="4" s="1"/>
  <c r="AM339" i="4" s="1"/>
  <c r="AG319" i="4"/>
  <c r="AG322" i="4" s="1"/>
  <c r="AG351" i="4" s="1"/>
  <c r="AG274" i="4"/>
  <c r="AG276" i="4" s="1"/>
  <c r="AG277" i="4" s="1"/>
  <c r="AG278" i="4" s="1"/>
  <c r="AG279" i="4" s="1"/>
  <c r="AG281" i="4" s="1"/>
  <c r="AG334" i="4" s="1"/>
  <c r="AH322" i="4"/>
  <c r="AH351" i="4" s="1"/>
  <c r="AJ263" i="4"/>
  <c r="AI267" i="4" s="1"/>
  <c r="AH274" i="4"/>
  <c r="AL251" i="4"/>
  <c r="AL252" i="4" s="1"/>
  <c r="AL256" i="4" s="1"/>
  <c r="AK257" i="4"/>
  <c r="AK259" i="4" s="1"/>
  <c r="AK318" i="4"/>
  <c r="AL254" i="4"/>
  <c r="AL255" i="4"/>
  <c r="AI268" i="4" l="1"/>
  <c r="AI269" i="4" s="1"/>
  <c r="AJ266" i="4" s="1"/>
  <c r="AJ271" i="4" s="1"/>
  <c r="AI270" i="4"/>
  <c r="AI295" i="4"/>
  <c r="AI298" i="4" s="1"/>
  <c r="AI337" i="4" s="1"/>
  <c r="AK324" i="4"/>
  <c r="AK353" i="4" s="1"/>
  <c r="AJ272" i="4"/>
  <c r="AI273" i="4"/>
  <c r="AH276" i="4"/>
  <c r="AG371" i="4"/>
  <c r="AG379" i="4" s="1"/>
  <c r="AG362" i="4"/>
  <c r="AG372" i="4" s="1"/>
  <c r="AG380" i="4" s="1"/>
  <c r="AM249" i="4"/>
  <c r="AK260" i="4"/>
  <c r="AK261" i="4" s="1"/>
  <c r="AK262" i="4" s="1"/>
  <c r="AH277" i="4" l="1"/>
  <c r="AH278" i="4" s="1"/>
  <c r="AI319" i="4"/>
  <c r="AI274" i="4"/>
  <c r="AI276" i="4" s="1"/>
  <c r="AK263" i="4"/>
  <c r="AM251" i="4"/>
  <c r="AM252" i="4" s="1"/>
  <c r="AM256" i="4" s="1"/>
  <c r="AL257" i="4"/>
  <c r="AL259" i="4" s="1"/>
  <c r="AL318" i="4"/>
  <c r="AM254" i="4"/>
  <c r="AM255" i="4"/>
  <c r="AJ267" i="4" l="1"/>
  <c r="AJ270" i="4" s="1"/>
  <c r="AH279" i="4"/>
  <c r="AH281" i="4" s="1"/>
  <c r="AH334" i="4" s="1"/>
  <c r="AI277" i="4"/>
  <c r="AI278" i="4" s="1"/>
  <c r="AI279" i="4" s="1"/>
  <c r="AI281" i="4" s="1"/>
  <c r="AI334" i="4" s="1"/>
  <c r="AI371" i="4" s="1"/>
  <c r="AI379" i="4" s="1"/>
  <c r="AL324" i="4"/>
  <c r="AL353" i="4" s="1"/>
  <c r="AI322" i="4"/>
  <c r="AI351" i="4" s="1"/>
  <c r="AM318" i="4"/>
  <c r="AM257" i="4"/>
  <c r="AM259" i="4" s="1"/>
  <c r="AL260" i="4"/>
  <c r="AL261" i="4" s="1"/>
  <c r="AL262" i="4" s="1"/>
  <c r="AJ268" i="4" l="1"/>
  <c r="AJ269" i="4" s="1"/>
  <c r="AJ295" i="4"/>
  <c r="AJ298" i="4" s="1"/>
  <c r="AJ337" i="4" s="1"/>
  <c r="AI362" i="4"/>
  <c r="AI372" i="4" s="1"/>
  <c r="AI380" i="4" s="1"/>
  <c r="AH371" i="4"/>
  <c r="AH379" i="4" s="1"/>
  <c r="AH362" i="4"/>
  <c r="AH372" i="4" s="1"/>
  <c r="AH380" i="4" s="1"/>
  <c r="AM324" i="4"/>
  <c r="AM353" i="4" s="1"/>
  <c r="AL263" i="4"/>
  <c r="AM260" i="4"/>
  <c r="AM261" i="4" s="1"/>
  <c r="AM262" i="4" s="1"/>
  <c r="AJ273" i="4" l="1"/>
  <c r="AK266" i="4"/>
  <c r="AK267" i="4"/>
  <c r="AK270" i="4" s="1"/>
  <c r="AM263" i="4"/>
  <c r="AK271" i="4" l="1"/>
  <c r="AK272" i="4"/>
  <c r="AJ319" i="4"/>
  <c r="AJ322" i="4" s="1"/>
  <c r="AJ351" i="4" s="1"/>
  <c r="AJ274" i="4"/>
  <c r="AJ276" i="4" s="1"/>
  <c r="AJ277" i="4" s="1"/>
  <c r="AJ278" i="4" s="1"/>
  <c r="AJ279" i="4" s="1"/>
  <c r="AJ281" i="4" s="1"/>
  <c r="AJ334" i="4" s="1"/>
  <c r="AK295" i="4"/>
  <c r="AK298" i="4" s="1"/>
  <c r="AK337" i="4" s="1"/>
  <c r="AL267" i="4"/>
  <c r="AL270" i="4" s="1"/>
  <c r="AK268" i="4"/>
  <c r="AK269" i="4" s="1"/>
  <c r="AL266" i="4" s="1"/>
  <c r="AL272" i="4" s="1"/>
  <c r="AM295" i="4"/>
  <c r="AM298" i="4" s="1"/>
  <c r="AM337" i="4" s="1"/>
  <c r="AL295" i="4" l="1"/>
  <c r="AL298" i="4" s="1"/>
  <c r="AL337" i="4" s="1"/>
  <c r="AK273" i="4"/>
  <c r="AK319" i="4" s="1"/>
  <c r="AK322" i="4" s="1"/>
  <c r="AK351" i="4" s="1"/>
  <c r="AL268" i="4"/>
  <c r="AL269" i="4" s="1"/>
  <c r="AL271" i="4"/>
  <c r="AJ362" i="4"/>
  <c r="AJ372" i="4" s="1"/>
  <c r="AJ380" i="4" s="1"/>
  <c r="AJ371" i="4"/>
  <c r="AJ379" i="4" s="1"/>
  <c r="AK274" i="4" l="1"/>
  <c r="AK276" i="4" s="1"/>
  <c r="AK277" i="4" s="1"/>
  <c r="AK278" i="4" s="1"/>
  <c r="AK279" i="4" s="1"/>
  <c r="AK281" i="4" s="1"/>
  <c r="AK334" i="4" s="1"/>
  <c r="AM266" i="4"/>
  <c r="AL273" i="4"/>
  <c r="AL319" i="4" l="1"/>
  <c r="AL322" i="4" s="1"/>
  <c r="AL351" i="4" s="1"/>
  <c r="AL274" i="4"/>
  <c r="AM268" i="4"/>
  <c r="AM269" i="4" s="1"/>
  <c r="AM273" i="4" s="1"/>
  <c r="AM319" i="4" s="1"/>
  <c r="AM322" i="4" s="1"/>
  <c r="AM351" i="4" s="1"/>
  <c r="AM271" i="4"/>
  <c r="AM272" i="4"/>
  <c r="AK371" i="4"/>
  <c r="AK379" i="4" s="1"/>
  <c r="AK362" i="4"/>
  <c r="AK372" i="4" s="1"/>
  <c r="AK380" i="4" s="1"/>
  <c r="AM274" i="4" l="1"/>
  <c r="AL276" i="4"/>
  <c r="AM276" i="4"/>
  <c r="AL277" i="4" l="1"/>
  <c r="AL278" i="4" s="1"/>
  <c r="AL279" i="4" s="1"/>
  <c r="AL281" i="4" s="1"/>
  <c r="AL334" i="4" s="1"/>
  <c r="AM277" i="4"/>
  <c r="AM278" i="4" s="1"/>
  <c r="AM279" i="4" l="1"/>
  <c r="AM281" i="4" s="1"/>
  <c r="AM334" i="4" s="1"/>
  <c r="AM371" i="4" s="1"/>
  <c r="AM379" i="4" s="1"/>
  <c r="AL371" i="4"/>
  <c r="AL379" i="4" s="1"/>
  <c r="AL362" i="4"/>
  <c r="AL372" i="4" s="1"/>
  <c r="AL380" i="4" s="1"/>
  <c r="AM362" i="4" l="1"/>
  <c r="AM372" i="4" s="1"/>
  <c r="AM38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<sst xmlns="http://schemas.openxmlformats.org/spreadsheetml/2006/main" count="802" uniqueCount="216">
  <si>
    <t>Stock market investments</t>
  </si>
  <si>
    <t>Age</t>
  </si>
  <si>
    <t>Home loan</t>
  </si>
  <si>
    <t>Credit card balances</t>
  </si>
  <si>
    <t>more / less than current</t>
  </si>
  <si>
    <t>Housing rent</t>
  </si>
  <si>
    <t>Year</t>
  </si>
  <si>
    <t>Home</t>
  </si>
  <si>
    <t>Interest on cash balances</t>
  </si>
  <si>
    <t>Cash</t>
  </si>
  <si>
    <t>Cash b/fwd</t>
  </si>
  <si>
    <t>Cash c/fwd</t>
  </si>
  <si>
    <t>Stock market equity investments</t>
  </si>
  <si>
    <t>Home loan repayment</t>
  </si>
  <si>
    <t>Net from other work</t>
  </si>
  <si>
    <t>Continue other work until age</t>
  </si>
  <si>
    <t>Living expenses</t>
  </si>
  <si>
    <t>Inflows</t>
  </si>
  <si>
    <t>Outflows</t>
  </si>
  <si>
    <t>Net Cash Flow</t>
  </si>
  <si>
    <t>Liquidation required</t>
  </si>
  <si>
    <t>Liquidations</t>
  </si>
  <si>
    <t>b/fwd</t>
  </si>
  <si>
    <t>Disposals</t>
  </si>
  <si>
    <t>Growth</t>
  </si>
  <si>
    <t>c/fwd</t>
  </si>
  <si>
    <t>Disposal costs</t>
  </si>
  <si>
    <t>Stock market equity</t>
  </si>
  <si>
    <t>Net worth</t>
  </si>
  <si>
    <t>Name</t>
  </si>
  <si>
    <t>Home current market value</t>
  </si>
  <si>
    <t>Rental income foregone</t>
  </si>
  <si>
    <t>Dependents</t>
  </si>
  <si>
    <t>Home loan (mortgage)</t>
  </si>
  <si>
    <t>Other loan</t>
  </si>
  <si>
    <t>Other loan repayment</t>
  </si>
  <si>
    <t>Loan repayment</t>
  </si>
  <si>
    <t>Net proceeds</t>
  </si>
  <si>
    <t>Balance</t>
  </si>
  <si>
    <t>Plan to live until age</t>
  </si>
  <si>
    <t>Dependent 1</t>
  </si>
  <si>
    <t>Dependent 2</t>
  </si>
  <si>
    <t>Dependent 3</t>
  </si>
  <si>
    <t>Property 1</t>
  </si>
  <si>
    <t>Property 2</t>
  </si>
  <si>
    <t>Property 3</t>
  </si>
  <si>
    <t>Amount</t>
  </si>
  <si>
    <t>Net employment / self-employment income</t>
  </si>
  <si>
    <t>Other post-retirement income</t>
  </si>
  <si>
    <t>if not a home owner</t>
  </si>
  <si>
    <t>Annual cost saved</t>
  </si>
  <si>
    <t>Other property</t>
  </si>
  <si>
    <t>Dependents cost</t>
  </si>
  <si>
    <t>Other property costs</t>
  </si>
  <si>
    <t>Current baseline</t>
  </si>
  <si>
    <t>from 66-75</t>
  </si>
  <si>
    <t>from age 76</t>
  </si>
  <si>
    <t>Spending adjustment (at today's euros)</t>
  </si>
  <si>
    <t>Major one-off expense events</t>
  </si>
  <si>
    <t>Net worth adjustments after liquidations</t>
  </si>
  <si>
    <t>Adjusted net worth</t>
  </si>
  <si>
    <t>Without liquidations</t>
  </si>
  <si>
    <t>With liquidations</t>
  </si>
  <si>
    <t>Charts</t>
  </si>
  <si>
    <t>Net rental income from other properties</t>
  </si>
  <si>
    <t>Credit cards cleared</t>
  </si>
  <si>
    <t>Net Worth before liquidations</t>
  </si>
  <si>
    <t>from now to 65</t>
  </si>
  <si>
    <t>Extra cash</t>
  </si>
  <si>
    <t>Extra interest</t>
  </si>
  <si>
    <t>Cash buffer at any time</t>
  </si>
  <si>
    <t>Cash available (after buffer)</t>
  </si>
  <si>
    <t>Outputs</t>
  </si>
  <si>
    <t>Full pension</t>
  </si>
  <si>
    <t>Pension reduction from early retirement</t>
  </si>
  <si>
    <t>QUICK START</t>
  </si>
  <si>
    <t>Your age</t>
  </si>
  <si>
    <t>Current net annual income</t>
  </si>
  <si>
    <t>Must be entered</t>
  </si>
  <si>
    <t>Net of tax, from employment or self-employment</t>
  </si>
  <si>
    <t>Total cash balances</t>
  </si>
  <si>
    <t>current and savings accounts, bonds, term deposits</t>
  </si>
  <si>
    <t>Current market value of equity portfolio</t>
  </si>
  <si>
    <t>Interest rate</t>
  </si>
  <si>
    <t>Monthly repayment</t>
  </si>
  <si>
    <t>Months remaining</t>
  </si>
  <si>
    <t>Years remaining</t>
  </si>
  <si>
    <t>Annual pension at retirement</t>
  </si>
  <si>
    <t>Net annual state pension entitlement</t>
  </si>
  <si>
    <t>Statutory retirement age</t>
  </si>
  <si>
    <t>Year at which pension starts</t>
  </si>
  <si>
    <t>DEEPER DIVE</t>
  </si>
  <si>
    <t>including inflation</t>
  </si>
  <si>
    <t>Years from now</t>
  </si>
  <si>
    <t>Leave blank if none</t>
  </si>
  <si>
    <t>Years to support</t>
  </si>
  <si>
    <t>Other income</t>
  </si>
  <si>
    <t>net annual after all costs and tax</t>
  </si>
  <si>
    <t>Annual living expenses</t>
  </si>
  <si>
    <t>Income Event 1</t>
  </si>
  <si>
    <t>Income Event 2</t>
  </si>
  <si>
    <t>Income Event 3</t>
  </si>
  <si>
    <t>Enter 0 or leave blank if none</t>
  </si>
  <si>
    <t>Expense Event 1</t>
  </si>
  <si>
    <t>Expense Event 2</t>
  </si>
  <si>
    <t>Expense Event 3</t>
  </si>
  <si>
    <t>Market value</t>
  </si>
  <si>
    <t>Annual costs</t>
  </si>
  <si>
    <t>Repairs, maintenance, etc.</t>
  </si>
  <si>
    <t xml:space="preserve">Investment Properties </t>
  </si>
  <si>
    <t>Other work income (net annual)</t>
  </si>
  <si>
    <t>FINER DETAILS</t>
  </si>
  <si>
    <t>Cash interest rate</t>
  </si>
  <si>
    <t>Stock market return</t>
  </si>
  <si>
    <t>Rental income annual increase</t>
  </si>
  <si>
    <t>Salary annual growth rate</t>
  </si>
  <si>
    <t>Property annual appreciation</t>
  </si>
  <si>
    <t>Pension reduction per year early</t>
  </si>
  <si>
    <t>From age</t>
  </si>
  <si>
    <t>To age</t>
  </si>
  <si>
    <t>Food, education, healthcare,
etc.</t>
  </si>
  <si>
    <t>Annual cost</t>
  </si>
  <si>
    <t>emergency reserve</t>
  </si>
  <si>
    <t>reduction in pension for each year retired early</t>
  </si>
  <si>
    <t>tax, broker and other fees</t>
  </si>
  <si>
    <t>Stock market selling costs</t>
  </si>
  <si>
    <t>Property disposal costs</t>
  </si>
  <si>
    <t xml:space="preserve">agency, tax, legal fees </t>
  </si>
  <si>
    <t>0 = would never sell</t>
  </si>
  <si>
    <t>Major life expense events</t>
  </si>
  <si>
    <t>Major life income events</t>
  </si>
  <si>
    <t>Major one-off income events</t>
  </si>
  <si>
    <t>Part-time / consulting / side projects etc. Leave blank if none</t>
  </si>
  <si>
    <t>Assumed cleared in Year 1. Leave blank if none</t>
  </si>
  <si>
    <t>Leave blank if not a home owner</t>
  </si>
  <si>
    <t>Leave blank if no mortgage</t>
  </si>
  <si>
    <t>User Tooltips</t>
  </si>
  <si>
    <t>UI Notes</t>
  </si>
  <si>
    <t>Excel helpers</t>
  </si>
  <si>
    <t>Defaults</t>
  </si>
  <si>
    <t>Activated only if user wants to</t>
  </si>
  <si>
    <t>Works behind the scenes, show and allow edit if user wants to</t>
  </si>
  <si>
    <t>Hide until user enters dependent name</t>
  </si>
  <si>
    <t>Hide until user enters property name</t>
  </si>
  <si>
    <t>Show with property name only if name was entered</t>
  </si>
  <si>
    <t>Show only if other work income entered</t>
  </si>
  <si>
    <t>show only if not a home owner (B12="")</t>
  </si>
  <si>
    <t>Sliema</t>
  </si>
  <si>
    <t>Cash balance after disposals inc interest</t>
  </si>
  <si>
    <t>Retire at</t>
  </si>
  <si>
    <t>Cash available (after extra interest)</t>
  </si>
  <si>
    <t>Only show if value&gt;0 entered in B141</t>
  </si>
  <si>
    <t>User inputs</t>
  </si>
  <si>
    <t>Qormi</t>
  </si>
  <si>
    <t>Wedding</t>
  </si>
  <si>
    <t>John</t>
  </si>
  <si>
    <t>Jack</t>
  </si>
  <si>
    <t>Bill</t>
  </si>
  <si>
    <t>Gzira</t>
  </si>
  <si>
    <t>Inheritance</t>
  </si>
  <si>
    <t>Sell Painting</t>
  </si>
  <si>
    <t>Sell Jewels</t>
  </si>
  <si>
    <t>New Car</t>
  </si>
  <si>
    <t>New AC</t>
  </si>
  <si>
    <t>Dependent 4</t>
  </si>
  <si>
    <t>Dependent 5</t>
  </si>
  <si>
    <t>Stephen</t>
  </si>
  <si>
    <t>Jane</t>
  </si>
  <si>
    <t>Property 4</t>
  </si>
  <si>
    <t>Property 5</t>
  </si>
  <si>
    <t>Gudja</t>
  </si>
  <si>
    <t>Marsa</t>
  </si>
  <si>
    <t>General inflation</t>
  </si>
  <si>
    <t>Months remaining this year</t>
  </si>
  <si>
    <t>Month offset</t>
  </si>
  <si>
    <t>Pro-rate factor</t>
  </si>
  <si>
    <t>Legacy amount</t>
  </si>
  <si>
    <t>wealth to preserve for your heirs</t>
  </si>
  <si>
    <t>Cash buffer</t>
  </si>
  <si>
    <t>Other Assets of Value</t>
  </si>
  <si>
    <t>Jewelry</t>
  </si>
  <si>
    <t>Annual appreciation / depreciation</t>
  </si>
  <si>
    <t>Hide until user enters asset name</t>
  </si>
  <si>
    <t>posiytive if it asset value grows, negative if asset depreciates</t>
  </si>
  <si>
    <t>Asset 1</t>
  </si>
  <si>
    <t>Asset 2</t>
  </si>
  <si>
    <t>Asset 3</t>
  </si>
  <si>
    <t>Asset 4</t>
  </si>
  <si>
    <t>Asset 5</t>
  </si>
  <si>
    <t>Car</t>
  </si>
  <si>
    <t>Painting</t>
  </si>
  <si>
    <t>Boat</t>
  </si>
  <si>
    <t>Antiques</t>
  </si>
  <si>
    <t>Asset liquidation order</t>
  </si>
  <si>
    <t>Other assets of value</t>
  </si>
  <si>
    <t>Cum asset disposals</t>
  </si>
  <si>
    <t>Asset values after liquidations</t>
  </si>
  <si>
    <t>Cum asset loan repayments on liquidations</t>
  </si>
  <si>
    <t>Other asset loans</t>
  </si>
  <si>
    <t>Loans</t>
  </si>
  <si>
    <t>Other asset loans repayments</t>
  </si>
  <si>
    <t>Other assets disposal costs</t>
  </si>
  <si>
    <t xml:space="preserve">agency, tax, other fees </t>
  </si>
  <si>
    <t>Asset</t>
  </si>
  <si>
    <t>DispCost</t>
  </si>
  <si>
    <t>Asset loan balances after liquidations</t>
  </si>
  <si>
    <t>Stock market crash scenarios</t>
  </si>
  <si>
    <t>Crash 1</t>
  </si>
  <si>
    <t>% drop</t>
  </si>
  <si>
    <t>Time to recover</t>
  </si>
  <si>
    <t>Crash 2</t>
  </si>
  <si>
    <t>Crash 3</t>
  </si>
  <si>
    <t>min 5, max  90%</t>
  </si>
  <si>
    <t>Crash 4</t>
  </si>
  <si>
    <t>Crash 5</t>
  </si>
  <si>
    <t>Years for market to trecover to previous high just before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</si>
</sst>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\ ;\(#,##0\);\ \ \ \-\ "/>
    <numFmt numFmtId="165" formatCode="#,##0.0\ ;\(#,##0.0\);\ \ \ \-\ "/>
    <numFmt numFmtId="166" formatCode="0.0%"/>
    <numFmt numFmtId="167" formatCode="0;0;"/>
    <numFmt numFmtId="168" formatCode=";;"/>
    <numFmt numFmtId="169" formatCode="#,##0.00\ ;\(#,##0.00\);\ \ \ \-\ "/>
    <numFmt numFmtId="170" formatCode="#,##0.0000\ ;\(#,##0.0000\);\ \ \ \-\ 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8"/>
      <color theme="0" tint="-0.249977111117893"/>
      <name val="Aptos Narrow"/>
      <scheme val="minor"/>
    </font>
    <font>
      <sz val="12"/>
      <name val="Aptos Narrow"/>
      <scheme val="minor"/>
    </font>
    <font>
      <sz val="12"/>
      <color rgb="FF9C5700"/>
      <name val="Aptos Narrow"/>
      <family val="2"/>
      <scheme val="minor"/>
    </font>
    <font>
      <b/>
      <sz val="12"/>
      <name val="Aptos Narrow"/>
      <scheme val="minor"/>
    </font>
    <font>
      <b/>
      <sz val="22"/>
      <color theme="1"/>
      <name val="Aptos Narrow"/>
      <scheme val="minor"/>
    </font>
    <font>
      <b/>
      <sz val="10"/>
      <name val="Aptos Narrow"/>
      <scheme val="minor"/>
    </font>
    <font>
      <sz val="10"/>
      <name val="Aptos Narrow"/>
      <scheme val="minor"/>
    </font>
    <font>
      <b/>
      <sz val="10"/>
      <color theme="0" tint="-0.499984740745262"/>
      <name val="Aptos Narrow"/>
      <scheme val="minor"/>
    </font>
    <font>
      <sz val="10"/>
      <color theme="0" tint="-0.499984740745262"/>
      <name val="Aptos Narrow"/>
      <scheme val="minor"/>
    </font>
    <font>
      <b/>
      <sz val="14"/>
      <name val="Aptos Narrow"/>
      <scheme val="minor"/>
    </font>
    <font>
      <sz val="14"/>
      <name val="Aptos Narrow"/>
      <scheme val="minor"/>
    </font>
    <font>
      <sz val="12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ED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3" borderId="0" applyNumberFormat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164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indent="4"/>
    </xf>
    <xf numFmtId="0" fontId="8" fillId="0" borderId="0" xfId="0" applyFont="1" applyAlignment="1">
      <alignment horizontal="left" indent="2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 indent="3"/>
    </xf>
    <xf numFmtId="164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left" indent="1"/>
    </xf>
    <xf numFmtId="0" fontId="6" fillId="0" borderId="3" xfId="0" applyFont="1" applyBorder="1"/>
    <xf numFmtId="0" fontId="3" fillId="0" borderId="3" xfId="0" applyFont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indent="1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" fillId="3" borderId="0" xfId="3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left" indent="1"/>
    </xf>
    <xf numFmtId="164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0" applyNumberFormat="1" applyFont="1" applyFill="1" applyBorder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4" borderId="4" xfId="0" applyFont="1" applyFill="1" applyBorder="1" applyAlignment="1" applyProtection="1">
      <alignment horizontal="center"/>
      <protection locked="0"/>
    </xf>
    <xf numFmtId="9" fontId="8" fillId="2" borderId="1" xfId="0" applyNumberFormat="1" applyFont="1" applyFill="1" applyBorder="1" applyAlignment="1" applyProtection="1">
      <alignment horizontal="center"/>
      <protection locked="0"/>
    </xf>
    <xf numFmtId="166" fontId="8" fillId="2" borderId="1" xfId="1" applyNumberFormat="1" applyFont="1" applyFill="1" applyBorder="1" applyAlignment="1" applyProtection="1">
      <alignment horizontal="center"/>
      <protection locked="0"/>
    </xf>
    <xf numFmtId="9" fontId="8" fillId="2" borderId="1" xfId="1" applyFont="1" applyFill="1" applyBorder="1" applyAlignment="1" applyProtection="1">
      <alignment horizontal="center"/>
      <protection locked="0"/>
    </xf>
    <xf numFmtId="167" fontId="8" fillId="2" borderId="1" xfId="2" applyNumberFormat="1" applyFont="1" applyFill="1" applyBorder="1" applyAlignment="1" applyProtection="1">
      <alignment horizontal="center"/>
      <protection locked="0"/>
    </xf>
    <xf numFmtId="165" fontId="8" fillId="0" borderId="0" xfId="0" applyNumberFormat="1" applyFont="1" applyAlignment="1">
      <alignment horizontal="center"/>
    </xf>
    <xf numFmtId="0" fontId="8" fillId="5" borderId="0" xfId="0" applyFont="1" applyFill="1"/>
    <xf numFmtId="164" fontId="8" fillId="0" borderId="5" xfId="0" applyNumberFormat="1" applyFont="1" applyBorder="1" applyAlignment="1" applyProtection="1">
      <alignment horizontal="center"/>
      <protection locked="0"/>
    </xf>
    <xf numFmtId="9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0" applyNumberFormat="1" applyFont="1" applyBorder="1" applyAlignment="1" applyProtection="1">
      <alignment horizontal="center"/>
      <protection locked="0"/>
    </xf>
    <xf numFmtId="166" fontId="8" fillId="0" borderId="5" xfId="1" applyNumberFormat="1" applyFont="1" applyFill="1" applyBorder="1" applyAlignment="1" applyProtection="1">
      <alignment horizontal="center"/>
      <protection locked="0"/>
    </xf>
    <xf numFmtId="9" fontId="8" fillId="0" borderId="5" xfId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>
      <alignment horizontal="left" indent="3"/>
    </xf>
    <xf numFmtId="0" fontId="10" fillId="0" borderId="0" xfId="0" applyFont="1" applyAlignment="1">
      <alignment horizontal="left" indent="2"/>
    </xf>
    <xf numFmtId="0" fontId="8" fillId="0" borderId="0" xfId="0" applyFont="1" applyAlignment="1">
      <alignment horizontal="left" indent="4"/>
    </xf>
    <xf numFmtId="167" fontId="8" fillId="0" borderId="0" xfId="0" applyNumberFormat="1" applyFont="1" applyAlignment="1">
      <alignment horizontal="left" indent="3"/>
    </xf>
    <xf numFmtId="0" fontId="8" fillId="0" borderId="0" xfId="0" applyFont="1" applyAlignment="1">
      <alignment horizontal="left" wrapText="1" indent="2"/>
    </xf>
    <xf numFmtId="168" fontId="8" fillId="0" borderId="0" xfId="0" applyNumberFormat="1" applyFont="1" applyAlignment="1">
      <alignment horizontal="left" indent="3"/>
    </xf>
    <xf numFmtId="0" fontId="6" fillId="0" borderId="0" xfId="0" applyFont="1" applyAlignment="1">
      <alignment horizontal="center"/>
    </xf>
    <xf numFmtId="0" fontId="12" fillId="5" borderId="0" xfId="0" applyFont="1" applyFill="1" applyAlignment="1">
      <alignment horizontal="left" indent="1"/>
    </xf>
    <xf numFmtId="0" fontId="13" fillId="0" borderId="0" xfId="0" applyFont="1"/>
    <xf numFmtId="0" fontId="13" fillId="0" borderId="0" xfId="0" applyFont="1" applyAlignment="1">
      <alignment horizontal="left" inden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3" fontId="13" fillId="0" borderId="0" xfId="2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12" fillId="5" borderId="0" xfId="0" applyFont="1" applyFill="1"/>
    <xf numFmtId="43" fontId="13" fillId="0" borderId="0" xfId="2" applyFont="1" applyBorder="1" applyAlignment="1"/>
    <xf numFmtId="0" fontId="14" fillId="5" borderId="0" xfId="0" applyFont="1" applyFill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43" fontId="15" fillId="0" borderId="0" xfId="2" applyFont="1" applyBorder="1" applyAlignment="1">
      <alignment horizontal="left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left" indent="1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8" fillId="0" borderId="3" xfId="0" applyFont="1" applyBorder="1" applyAlignment="1">
      <alignment horizontal="left" indent="3"/>
    </xf>
    <xf numFmtId="0" fontId="8" fillId="0" borderId="3" xfId="0" applyFont="1" applyBorder="1"/>
    <xf numFmtId="2" fontId="8" fillId="0" borderId="0" xfId="0" applyNumberFormat="1" applyFont="1" applyAlignment="1">
      <alignment horizontal="center"/>
    </xf>
    <xf numFmtId="0" fontId="10" fillId="7" borderId="0" xfId="0" applyFont="1" applyFill="1" applyAlignment="1">
      <alignment horizontal="left" indent="2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left" indent="1"/>
    </xf>
    <xf numFmtId="0" fontId="16" fillId="8" borderId="3" xfId="0" applyFont="1" applyFill="1" applyBorder="1" applyAlignment="1">
      <alignment horizontal="left" indent="1"/>
    </xf>
    <xf numFmtId="0" fontId="17" fillId="8" borderId="3" xfId="0" applyFont="1" applyFill="1" applyBorder="1" applyAlignment="1">
      <alignment horizontal="center"/>
    </xf>
    <xf numFmtId="0" fontId="16" fillId="9" borderId="3" xfId="0" applyFont="1" applyFill="1" applyBorder="1" applyAlignment="1">
      <alignment horizontal="left" indent="1"/>
    </xf>
    <xf numFmtId="0" fontId="17" fillId="9" borderId="3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left" indent="1"/>
    </xf>
    <xf numFmtId="0" fontId="17" fillId="10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168" fontId="8" fillId="0" borderId="0" xfId="0" applyNumberFormat="1" applyFont="1" applyAlignment="1">
      <alignment horizontal="left" indent="1"/>
    </xf>
    <xf numFmtId="9" fontId="8" fillId="0" borderId="0" xfId="1" applyFont="1" applyAlignment="1">
      <alignment horizontal="center"/>
    </xf>
    <xf numFmtId="168" fontId="8" fillId="0" borderId="0" xfId="0" applyNumberFormat="1" applyFont="1" applyAlignment="1">
      <alignment horizontal="left" indent="2"/>
    </xf>
    <xf numFmtId="164" fontId="18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0" fontId="11" fillId="6" borderId="0" xfId="0" applyFont="1" applyFill="1" applyAlignment="1">
      <alignment horizontal="center" vertical="center"/>
    </xf>
  </cellXfs>
  <cellStyles count="4">
    <cellStyle name="Comma" xfId="2" builtinId="3"/>
    <cellStyle name="Neutral" xfId="3" builtinId="2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ED6"/>
      <color rgb="FFFF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RetEarly_Engine!ChartCash_Early</c:f>
              <c:numCache>
                <c:formatCode>#,##0\ ;\(#,##0\);\ \ \ \-\ </c:formatCode>
                <c:ptCount val="37"/>
                <c:pt idx="0">
                  <c:v>62809.375000000015</c:v>
                </c:pt>
                <c:pt idx="1">
                  <c:v>74162.215625000026</c:v>
                </c:pt>
                <c:pt idx="2">
                  <c:v>108836.63850258292</c:v>
                </c:pt>
                <c:pt idx="3">
                  <c:v>136558.72237352375</c:v>
                </c:pt>
                <c:pt idx="4">
                  <c:v>155186.23146773444</c:v>
                </c:pt>
                <c:pt idx="5">
                  <c:v>95871.068761315822</c:v>
                </c:pt>
                <c:pt idx="6">
                  <c:v>152650.13853854901</c:v>
                </c:pt>
                <c:pt idx="7">
                  <c:v>117603.97687614882</c:v>
                </c:pt>
                <c:pt idx="8">
                  <c:v>63425.846909304215</c:v>
                </c:pt>
                <c:pt idx="9">
                  <c:v>227601.38607478226</c:v>
                </c:pt>
                <c:pt idx="10">
                  <c:v>156967.75167125103</c:v>
                </c:pt>
                <c:pt idx="11">
                  <c:v>133948.42198653647</c:v>
                </c:pt>
                <c:pt idx="12">
                  <c:v>109908.58294931796</c:v>
                </c:pt>
                <c:pt idx="13">
                  <c:v>84710.371299332386</c:v>
                </c:pt>
                <c:pt idx="14">
                  <c:v>255039.88093280265</c:v>
                </c:pt>
                <c:pt idx="15">
                  <c:v>221926.73459181545</c:v>
                </c:pt>
                <c:pt idx="16">
                  <c:v>187342.12907091394</c:v>
                </c:pt>
                <c:pt idx="17">
                  <c:v>169388.17075681413</c:v>
                </c:pt>
                <c:pt idx="18">
                  <c:v>158467.39994305029</c:v>
                </c:pt>
                <c:pt idx="19">
                  <c:v>146965.03158322335</c:v>
                </c:pt>
                <c:pt idx="20">
                  <c:v>134874.43495894517</c:v>
                </c:pt>
                <c:pt idx="21">
                  <c:v>122189.05086047624</c:v>
                </c:pt>
                <c:pt idx="22">
                  <c:v>87727.072302504312</c:v>
                </c:pt>
                <c:pt idx="23">
                  <c:v>107661.90431508944</c:v>
                </c:pt>
                <c:pt idx="24">
                  <c:v>459366.08753280132</c:v>
                </c:pt>
                <c:pt idx="25">
                  <c:v>419415.51303522848</c:v>
                </c:pt>
                <c:pt idx="26">
                  <c:v>377134.50377971405</c:v>
                </c:pt>
                <c:pt idx="27">
                  <c:v>332380.86560913397</c:v>
                </c:pt>
                <c:pt idx="28">
                  <c:v>295330.83126990055</c:v>
                </c:pt>
                <c:pt idx="29">
                  <c:v>256200.70760711445</c:v>
                </c:pt>
                <c:pt idx="30">
                  <c:v>214944.86998608289</c:v>
                </c:pt>
                <c:pt idx="31">
                  <c:v>171516.74448419805</c:v>
                </c:pt>
                <c:pt idx="32">
                  <c:v>125868.78989857668</c:v>
                </c:pt>
                <c:pt idx="33">
                  <c:v>767799.70768192201</c:v>
                </c:pt>
                <c:pt idx="34">
                  <c:v>718939.60463251953</c:v>
                </c:pt>
                <c:pt idx="35">
                  <c:v>667484.16076395195</c:v>
                </c:pt>
                <c:pt idx="36">
                  <c:v>612640.66984162643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[0]!ChartCash_Norm</c:f>
              <c:numCache>
                <c:formatCode>#,##0\ ;\(#,##0\);\ \ \ \-\ </c:formatCode>
                <c:ptCount val="37"/>
                <c:pt idx="0">
                  <c:v>62809.375000000015</c:v>
                </c:pt>
                <c:pt idx="1">
                  <c:v>74162.215625000026</c:v>
                </c:pt>
                <c:pt idx="2">
                  <c:v>91813.279140625047</c:v>
                </c:pt>
                <c:pt idx="3">
                  <c:v>91803.568657505195</c:v>
                </c:pt>
                <c:pt idx="4">
                  <c:v>123524.62717736079</c:v>
                </c:pt>
                <c:pt idx="5">
                  <c:v>161945.76563583669</c:v>
                </c:pt>
                <c:pt idx="6">
                  <c:v>229058.63493181192</c:v>
                </c:pt>
                <c:pt idx="7">
                  <c:v>300182.50067145552</c:v>
                </c:pt>
                <c:pt idx="8">
                  <c:v>358095.70278366783</c:v>
                </c:pt>
                <c:pt idx="9">
                  <c:v>503640.47280939861</c:v>
                </c:pt>
                <c:pt idx="10">
                  <c:v>560683.42164108111</c:v>
                </c:pt>
                <c:pt idx="11">
                  <c:v>671525.85327123245</c:v>
                </c:pt>
                <c:pt idx="12">
                  <c:v>788362.94313265686</c:v>
                </c:pt>
                <c:pt idx="13">
                  <c:v>911449.23653079802</c:v>
                </c:pt>
                <c:pt idx="14">
                  <c:v>1041048.9820423867</c:v>
                </c:pt>
                <c:pt idx="15">
                  <c:v>1177436.4792682112</c:v>
                </c:pt>
                <c:pt idx="16">
                  <c:v>1320896.4385593834</c:v>
                </c:pt>
                <c:pt idx="17">
                  <c:v>1362493.9107349962</c:v>
                </c:pt>
                <c:pt idx="18">
                  <c:v>1413530.8459680481</c:v>
                </c:pt>
                <c:pt idx="19">
                  <c:v>1466566.1280568431</c:v>
                </c:pt>
                <c:pt idx="20">
                  <c:v>1521676.7180232967</c:v>
                </c:pt>
                <c:pt idx="21">
                  <c:v>1578942.4442265448</c:v>
                </c:pt>
                <c:pt idx="22">
                  <c:v>1617529.0131961552</c:v>
                </c:pt>
                <c:pt idx="23">
                  <c:v>1657393.5393787338</c:v>
                </c:pt>
                <c:pt idx="24">
                  <c:v>1698585.8680630873</c:v>
                </c:pt>
                <c:pt idx="25">
                  <c:v>1741157.8400002168</c:v>
                </c:pt>
                <c:pt idx="26">
                  <c:v>1785163.3690807538</c:v>
                </c:pt>
                <c:pt idx="27">
                  <c:v>1830658.5229208304</c:v>
                </c:pt>
                <c:pt idx="28">
                  <c:v>1887808.8624938719</c:v>
                </c:pt>
                <c:pt idx="29">
                  <c:v>1947073.1235563438</c:v>
                </c:pt>
                <c:pt idx="30">
                  <c:v>2008533.3002031124</c:v>
                </c:pt>
                <c:pt idx="31">
                  <c:v>2072274.5255423354</c:v>
                </c:pt>
                <c:pt idx="32">
                  <c:v>2138385.1882151016</c:v>
                </c:pt>
                <c:pt idx="33">
                  <c:v>2206957.0531036272</c:v>
                </c:pt>
                <c:pt idx="34">
                  <c:v>2278085.3863743474</c:v>
                </c:pt>
                <c:pt idx="35">
                  <c:v>2351869.0850072289</c:v>
                </c:pt>
                <c:pt idx="36">
                  <c:v>2428410.8109677895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Cash buffer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RetNorm_Engine!$C$382:$AM$382</c:f>
              <c:numCache>
                <c:formatCode>#,##0\ ;\(#,##0\);\ \ \ \-\ </c:formatCode>
                <c:ptCount val="37"/>
                <c:pt idx="0">
                  <c:v>50000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  <c:pt idx="10">
                  <c:v>50000</c:v>
                </c:pt>
                <c:pt idx="11">
                  <c:v>50000</c:v>
                </c:pt>
                <c:pt idx="12">
                  <c:v>50000</c:v>
                </c:pt>
                <c:pt idx="13">
                  <c:v>50000</c:v>
                </c:pt>
                <c:pt idx="14">
                  <c:v>50000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  <c:pt idx="25">
                  <c:v>50000</c:v>
                </c:pt>
                <c:pt idx="26">
                  <c:v>50000</c:v>
                </c:pt>
                <c:pt idx="27">
                  <c:v>50000</c:v>
                </c:pt>
                <c:pt idx="28">
                  <c:v>50000</c:v>
                </c:pt>
                <c:pt idx="29">
                  <c:v>50000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  <c:pt idx="36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A-B048-8129-2D665B678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Output!$AA$2</c:f>
              <c:strCache>
                <c:ptCount val="1"/>
                <c:pt idx="0">
                  <c:v>Retire at  51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RetEarly_Engine!ChartNW_Early</c:f>
              <c:numCache>
                <c:formatCode>#,##0\ ;\(#,##0\);\ \ \ \-\ </c:formatCode>
                <c:ptCount val="37"/>
                <c:pt idx="0">
                  <c:v>1789619.3445012956</c:v>
                </c:pt>
                <c:pt idx="1">
                  <c:v>1864141.9295812796</c:v>
                </c:pt>
                <c:pt idx="2">
                  <c:v>1957002.8607598119</c:v>
                </c:pt>
                <c:pt idx="3">
                  <c:v>1938210.5102665685</c:v>
                </c:pt>
                <c:pt idx="4">
                  <c:v>1935024.2690671617</c:v>
                </c:pt>
                <c:pt idx="5">
                  <c:v>1943352.1457793959</c:v>
                </c:pt>
                <c:pt idx="6">
                  <c:v>1962885.035856552</c:v>
                </c:pt>
                <c:pt idx="7">
                  <c:v>1979471.4827102099</c:v>
                </c:pt>
                <c:pt idx="8">
                  <c:v>1978016.6118453897</c:v>
                </c:pt>
                <c:pt idx="9">
                  <c:v>2034685.4349655225</c:v>
                </c:pt>
                <c:pt idx="10">
                  <c:v>2009568.487292141</c:v>
                </c:pt>
                <c:pt idx="11">
                  <c:v>2033866.1366763089</c:v>
                </c:pt>
                <c:pt idx="12">
                  <c:v>2058975.8382300269</c:v>
                </c:pt>
                <c:pt idx="13">
                  <c:v>2084794.0529311935</c:v>
                </c:pt>
                <c:pt idx="14">
                  <c:v>2075496.6088027635</c:v>
                </c:pt>
                <c:pt idx="15">
                  <c:v>2090268.4931430647</c:v>
                </c:pt>
                <c:pt idx="16">
                  <c:v>2105341.9027816309</c:v>
                </c:pt>
                <c:pt idx="17">
                  <c:v>2138855.3119616369</c:v>
                </c:pt>
                <c:pt idx="18">
                  <c:v>2181249.560952662</c:v>
                </c:pt>
                <c:pt idx="19">
                  <c:v>2224950.1127133351</c:v>
                </c:pt>
                <c:pt idx="20">
                  <c:v>2269992.5510486625</c:v>
                </c:pt>
                <c:pt idx="21">
                  <c:v>2316414.5188323017</c:v>
                </c:pt>
                <c:pt idx="22">
                  <c:v>2343080.4222929305</c:v>
                </c:pt>
                <c:pt idx="23">
                  <c:v>2373202.6540913237</c:v>
                </c:pt>
                <c:pt idx="24">
                  <c:v>2334505.6188208098</c:v>
                </c:pt>
                <c:pt idx="25">
                  <c:v>2350809.2302618772</c:v>
                </c:pt>
                <c:pt idx="26">
                  <c:v>2366470.0325231622</c:v>
                </c:pt>
                <c:pt idx="27">
                  <c:v>2381396.4602148854</c:v>
                </c:pt>
                <c:pt idx="28">
                  <c:v>2405816.8937138249</c:v>
                </c:pt>
                <c:pt idx="29">
                  <c:v>2430001.3519243565</c:v>
                </c:pt>
                <c:pt idx="30">
                  <c:v>2453959.5336328424</c:v>
                </c:pt>
                <c:pt idx="31">
                  <c:v>2477701.8480403605</c:v>
                </c:pt>
                <c:pt idx="32">
                  <c:v>2501239.4465614241</c:v>
                </c:pt>
                <c:pt idx="33">
                  <c:v>2398887.5585904107</c:v>
                </c:pt>
                <c:pt idx="34">
                  <c:v>2398960.0910682632</c:v>
                </c:pt>
                <c:pt idx="35">
                  <c:v>2397905.2617927678</c:v>
                </c:pt>
                <c:pt idx="36">
                  <c:v>2394974.4039013069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0-C94B-93B6-9E84AE83035F}"/>
            </c:ext>
          </c:extLst>
        </c:ser>
        <c:ser>
          <c:idx val="2"/>
          <c:order val="1"/>
          <c:tx>
            <c:strRef>
              <c:f>Output!$AA$3</c:f>
              <c:strCache>
                <c:ptCount val="1"/>
                <c:pt idx="0">
                  <c:v>Retire at  65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[0]!AgeRange</c:f>
              <c:numCache>
                <c:formatCode>General</c:formatCode>
                <c:ptCount val="37"/>
                <c:pt idx="0">
                  <c:v>48</c:v>
                </c:pt>
                <c:pt idx="1">
                  <c:v>49</c:v>
                </c:pt>
                <c:pt idx="2">
                  <c:v>50</c:v>
                </c:pt>
                <c:pt idx="3">
                  <c:v>51</c:v>
                </c:pt>
                <c:pt idx="4">
                  <c:v>52</c:v>
                </c:pt>
                <c:pt idx="5">
                  <c:v>53</c:v>
                </c:pt>
                <c:pt idx="6">
                  <c:v>54</c:v>
                </c:pt>
                <c:pt idx="7">
                  <c:v>55</c:v>
                </c:pt>
                <c:pt idx="8">
                  <c:v>56</c:v>
                </c:pt>
                <c:pt idx="9">
                  <c:v>57</c:v>
                </c:pt>
                <c:pt idx="10">
                  <c:v>58</c:v>
                </c:pt>
                <c:pt idx="11">
                  <c:v>59</c:v>
                </c:pt>
                <c:pt idx="12">
                  <c:v>60</c:v>
                </c:pt>
                <c:pt idx="13">
                  <c:v>61</c:v>
                </c:pt>
                <c:pt idx="14">
                  <c:v>62</c:v>
                </c:pt>
                <c:pt idx="15">
                  <c:v>63</c:v>
                </c:pt>
                <c:pt idx="16">
                  <c:v>64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69</c:v>
                </c:pt>
                <c:pt idx="22">
                  <c:v>70</c:v>
                </c:pt>
                <c:pt idx="23">
                  <c:v>71</c:v>
                </c:pt>
                <c:pt idx="24">
                  <c:v>72</c:v>
                </c:pt>
                <c:pt idx="25">
                  <c:v>73</c:v>
                </c:pt>
                <c:pt idx="26">
                  <c:v>74</c:v>
                </c:pt>
                <c:pt idx="27">
                  <c:v>75</c:v>
                </c:pt>
                <c:pt idx="28">
                  <c:v>76</c:v>
                </c:pt>
                <c:pt idx="29">
                  <c:v>77</c:v>
                </c:pt>
                <c:pt idx="30">
                  <c:v>78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</c:numCache>
            </c:numRef>
          </c:cat>
          <c:val>
            <c:numRef>
              <c:f>[0]!ChartNW_Norm</c:f>
              <c:numCache>
                <c:formatCode>#,##0\ ;\(#,##0\);\ \ \ \-\ </c:formatCode>
                <c:ptCount val="37"/>
                <c:pt idx="0">
                  <c:v>1789619.3445012956</c:v>
                </c:pt>
                <c:pt idx="1">
                  <c:v>1864141.9295812796</c:v>
                </c:pt>
                <c:pt idx="2">
                  <c:v>1957643.3432369996</c:v>
                </c:pt>
                <c:pt idx="3">
                  <c:v>2032077.1987812216</c:v>
                </c:pt>
                <c:pt idx="4">
                  <c:v>2139242.5151703316</c:v>
                </c:pt>
                <c:pt idx="5">
                  <c:v>2253956.2554487754</c:v>
                </c:pt>
                <c:pt idx="6">
                  <c:v>2373212.3213679679</c:v>
                </c:pt>
                <c:pt idx="7">
                  <c:v>2503743.3040799322</c:v>
                </c:pt>
                <c:pt idx="8">
                  <c:v>2622587.507788036</c:v>
                </c:pt>
                <c:pt idx="9">
                  <c:v>2829759.799733527</c:v>
                </c:pt>
                <c:pt idx="10">
                  <c:v>2946369.0396144441</c:v>
                </c:pt>
                <c:pt idx="11">
                  <c:v>3112262.378018612</c:v>
                </c:pt>
                <c:pt idx="12">
                  <c:v>3290988.2941486929</c:v>
                </c:pt>
                <c:pt idx="13">
                  <c:v>3478264.257330751</c:v>
                </c:pt>
                <c:pt idx="14">
                  <c:v>3674398.8362885136</c:v>
                </c:pt>
                <c:pt idx="15">
                  <c:v>3881968.1076357253</c:v>
                </c:pt>
                <c:pt idx="16">
                  <c:v>4099295.1491844193</c:v>
                </c:pt>
                <c:pt idx="17">
                  <c:v>4217518.2286675833</c:v>
                </c:pt>
                <c:pt idx="18">
                  <c:v>4348016.8375674505</c:v>
                </c:pt>
                <c:pt idx="19">
                  <c:v>4468038.3783782618</c:v>
                </c:pt>
                <c:pt idx="20">
                  <c:v>4608482.5418189578</c:v>
                </c:pt>
                <c:pt idx="21">
                  <c:v>4754297.2856014045</c:v>
                </c:pt>
                <c:pt idx="22">
                  <c:v>4883327.7438893924</c:v>
                </c:pt>
                <c:pt idx="23">
                  <c:v>5016832.7738845395</c:v>
                </c:pt>
                <c:pt idx="24">
                  <c:v>5130101.1316632601</c:v>
                </c:pt>
                <c:pt idx="25">
                  <c:v>5269842.6695800861</c:v>
                </c:pt>
                <c:pt idx="26">
                  <c:v>5414209.4095778381</c:v>
                </c:pt>
                <c:pt idx="27">
                  <c:v>5563344.1332958816</c:v>
                </c:pt>
                <c:pt idx="28">
                  <c:v>5727502.5482548792</c:v>
                </c:pt>
                <c:pt idx="29">
                  <c:v>5897237.0542436279</c:v>
                </c:pt>
                <c:pt idx="30">
                  <c:v>6072726.9166537076</c:v>
                </c:pt>
                <c:pt idx="31">
                  <c:v>6255796.4812535867</c:v>
                </c:pt>
                <c:pt idx="32">
                  <c:v>6445223.9270062102</c:v>
                </c:pt>
                <c:pt idx="33">
                  <c:v>6641232.7493223129</c:v>
                </c:pt>
                <c:pt idx="34">
                  <c:v>6844056.0976893194</c:v>
                </c:pt>
                <c:pt idx="35">
                  <c:v>7053937.2082032925</c:v>
                </c:pt>
                <c:pt idx="36">
                  <c:v>7271129.8622714318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0-C94B-93B6-9E84AE83035F}"/>
            </c:ext>
          </c:extLst>
        </c:ser>
        <c:ser>
          <c:idx val="0"/>
          <c:order val="2"/>
          <c:tx>
            <c:v>Legacy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RetNorm_Engine!$C$383:$AM$383</c:f>
              <c:numCache>
                <c:formatCode>#,##0\ ;\(#,##0\);\ \ \ \-\ </c:formatCode>
                <c:ptCount val="37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1000000</c:v>
                </c:pt>
                <c:pt idx="14">
                  <c:v>1000000</c:v>
                </c:pt>
                <c:pt idx="15">
                  <c:v>1000000</c:v>
                </c:pt>
                <c:pt idx="16">
                  <c:v>1000000</c:v>
                </c:pt>
                <c:pt idx="17">
                  <c:v>1000000</c:v>
                </c:pt>
                <c:pt idx="18">
                  <c:v>1000000</c:v>
                </c:pt>
                <c:pt idx="19">
                  <c:v>1000000</c:v>
                </c:pt>
                <c:pt idx="20">
                  <c:v>1000000</c:v>
                </c:pt>
                <c:pt idx="21">
                  <c:v>1000000</c:v>
                </c:pt>
                <c:pt idx="22">
                  <c:v>1000000</c:v>
                </c:pt>
                <c:pt idx="23">
                  <c:v>1000000</c:v>
                </c:pt>
                <c:pt idx="24">
                  <c:v>1000000</c:v>
                </c:pt>
                <c:pt idx="25">
                  <c:v>1000000</c:v>
                </c:pt>
                <c:pt idx="26">
                  <c:v>1000000</c:v>
                </c:pt>
                <c:pt idx="27">
                  <c:v>1000000</c:v>
                </c:pt>
                <c:pt idx="28">
                  <c:v>1000000</c:v>
                </c:pt>
                <c:pt idx="29">
                  <c:v>1000000</c:v>
                </c:pt>
                <c:pt idx="30">
                  <c:v>1000000</c:v>
                </c:pt>
                <c:pt idx="31">
                  <c:v>1000000</c:v>
                </c:pt>
                <c:pt idx="32">
                  <c:v>1000000</c:v>
                </c:pt>
                <c:pt idx="33">
                  <c:v>1000000</c:v>
                </c:pt>
                <c:pt idx="34">
                  <c:v>1000000</c:v>
                </c:pt>
                <c:pt idx="35">
                  <c:v>1000000</c:v>
                </c:pt>
                <c:pt idx="36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CF-FE42-A63A-4A3B336B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3642623"/>
        <c:axId val="1403644863"/>
      </c:lineChart>
      <c:catAx>
        <c:axId val="140364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4863"/>
        <c:crosses val="autoZero"/>
        <c:auto val="1"/>
        <c:lblAlgn val="ctr"/>
        <c:lblOffset val="100"/>
        <c:tickLblSkip val="2"/>
        <c:noMultiLvlLbl val="0"/>
      </c:catAx>
      <c:valAx>
        <c:axId val="140364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;\(#,##0\);\ \ \ \-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  <c:crossAx val="140364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T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5" fmlaLink="RetEarly_Engine!$B$3" max="65" min="18" page="10" val="5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297479</xdr:colOff>
      <xdr:row>1</xdr:row>
      <xdr:rowOff>128162</xdr:rowOff>
    </xdr:from>
    <xdr:to>
      <xdr:col>10</xdr:col>
      <xdr:colOff>297478</xdr:colOff>
      <xdr:row>30</xdr:row>
      <xdr:rowOff>160180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4EF6F3C-5549-FFD1-5465-CCE02109B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423336</xdr:colOff>
      <xdr:row>1</xdr:row>
      <xdr:rowOff>128162</xdr:rowOff>
    </xdr:from>
    <xdr:to>
      <xdr:col>20</xdr:col>
      <xdr:colOff>423336</xdr:colOff>
      <xdr:row>30</xdr:row>
      <xdr:rowOff>160180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2D580-9C83-6C91-B509-F2CDB56D1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4</xdr:row>
          <xdr:rowOff>63500</xdr:rowOff>
        </xdr:from>
        <xdr:to>
          <xdr:col>21</xdr:col>
          <xdr:colOff>660400</xdr:colOff>
          <xdr:row>9</xdr:row>
          <xdr:rowOff>63500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C09A-970C-8B4A-8DAA-2452C038377E}">
  <sheetPr codeName="Sheet1">
    <tabColor rgb="FFFFFF00"/>
  </sheetPr>
  <dimension ref="A1:M309"/>
  <sheetViews>
    <sheetView zoomScale="130" zoomScaleNormal="130" workbookViewId="0">
      <pane ySplit="1" topLeftCell="A213" activePane="bottomLeft" state="frozen"/>
      <selection pane="bottomLeft" activeCell="B241" sqref="B241"/>
    </sheetView>
  </sheetViews>
  <sheetFormatPr baseColWidth="10" defaultRowHeight="16" x14ac:dyDescent="0.2"/>
  <cols>
    <col min="1" max="1" width="37.83203125" style="22" customWidth="1"/>
    <col min="2" max="2" width="11.6640625" style="19" customWidth="1"/>
    <col min="3" max="3" width="10.83203125" style="21"/>
    <col min="4" max="4" width="45.33203125" style="61" customWidth="1"/>
    <col min="5" max="5" width="43.83203125" style="59" bestFit="1" customWidth="1"/>
    <col min="6" max="6" width="16.1640625" style="69" customWidth="1"/>
    <col min="7" max="7" width="12.1640625" style="68" customWidth="1"/>
    <col min="8" max="11" width="10.83203125" style="21"/>
    <col min="12" max="12" width="10.83203125" style="2"/>
    <col min="13" max="16384" width="10.83203125" style="21"/>
  </cols>
  <sheetData>
    <row r="1" spans="1:12" x14ac:dyDescent="0.2">
      <c r="A1" s="51"/>
      <c r="B1" s="58" t="s">
        <v>152</v>
      </c>
      <c r="C1" s="45"/>
      <c r="D1" s="58" t="s">
        <v>136</v>
      </c>
      <c r="E1" s="65" t="s">
        <v>137</v>
      </c>
      <c r="F1" s="67" t="s">
        <v>138</v>
      </c>
      <c r="G1" s="67"/>
    </row>
    <row r="2" spans="1:12" ht="19" x14ac:dyDescent="0.25">
      <c r="A2" s="83" t="s">
        <v>75</v>
      </c>
      <c r="B2" s="84"/>
      <c r="D2" s="59"/>
      <c r="F2" s="68"/>
      <c r="L2" s="21"/>
    </row>
    <row r="3" spans="1:12" x14ac:dyDescent="0.2">
      <c r="D3" s="60"/>
      <c r="L3" s="21"/>
    </row>
    <row r="4" spans="1:12" x14ac:dyDescent="0.2">
      <c r="A4" s="18" t="s">
        <v>76</v>
      </c>
      <c r="B4" s="35">
        <v>48</v>
      </c>
      <c r="D4" s="60" t="s">
        <v>78</v>
      </c>
      <c r="L4" s="21"/>
    </row>
    <row r="5" spans="1:12" x14ac:dyDescent="0.2">
      <c r="A5" s="18"/>
      <c r="D5" s="60"/>
      <c r="L5" s="21"/>
    </row>
    <row r="6" spans="1:12" x14ac:dyDescent="0.2">
      <c r="A6" s="18" t="s">
        <v>77</v>
      </c>
      <c r="B6" s="35">
        <v>80000</v>
      </c>
      <c r="D6" s="60" t="s">
        <v>79</v>
      </c>
      <c r="L6" s="21"/>
    </row>
    <row r="7" spans="1:12" x14ac:dyDescent="0.2">
      <c r="A7" s="18"/>
      <c r="D7" s="60"/>
      <c r="L7" s="21"/>
    </row>
    <row r="8" spans="1:12" x14ac:dyDescent="0.2">
      <c r="A8" s="18" t="s">
        <v>80</v>
      </c>
      <c r="B8" s="35">
        <v>50000</v>
      </c>
      <c r="D8" s="60" t="s">
        <v>81</v>
      </c>
      <c r="L8" s="21"/>
    </row>
    <row r="9" spans="1:12" x14ac:dyDescent="0.2">
      <c r="A9" s="18"/>
      <c r="D9" s="60"/>
      <c r="L9" s="21"/>
    </row>
    <row r="10" spans="1:12" x14ac:dyDescent="0.2">
      <c r="A10" s="18" t="s">
        <v>0</v>
      </c>
      <c r="B10" s="35">
        <v>30000</v>
      </c>
      <c r="D10" s="60" t="s">
        <v>82</v>
      </c>
      <c r="L10" s="21"/>
    </row>
    <row r="11" spans="1:12" x14ac:dyDescent="0.2">
      <c r="A11" s="18"/>
      <c r="D11" s="60"/>
      <c r="L11" s="21"/>
    </row>
    <row r="12" spans="1:12" x14ac:dyDescent="0.2">
      <c r="A12" s="18" t="s">
        <v>30</v>
      </c>
      <c r="B12" s="35">
        <v>600000</v>
      </c>
      <c r="D12" s="60" t="s">
        <v>134</v>
      </c>
      <c r="L12" s="21"/>
    </row>
    <row r="13" spans="1:12" x14ac:dyDescent="0.2">
      <c r="A13" s="18"/>
      <c r="D13" s="60"/>
      <c r="L13" s="21"/>
    </row>
    <row r="14" spans="1:12" x14ac:dyDescent="0.2">
      <c r="A14" s="18" t="s">
        <v>33</v>
      </c>
      <c r="E14" s="66"/>
      <c r="L14" s="21"/>
    </row>
    <row r="15" spans="1:12" x14ac:dyDescent="0.2">
      <c r="A15" s="22" t="s">
        <v>38</v>
      </c>
      <c r="B15" s="35">
        <v>50000</v>
      </c>
      <c r="D15" s="60" t="s">
        <v>135</v>
      </c>
      <c r="F15" s="70" t="s">
        <v>85</v>
      </c>
      <c r="G15" s="71">
        <f>IFERROR(NPER(B16/12,-B17,B15),"")</f>
        <v>68.044528885100064</v>
      </c>
      <c r="L15" s="21"/>
    </row>
    <row r="16" spans="1:12" x14ac:dyDescent="0.2">
      <c r="A16" s="22" t="s">
        <v>83</v>
      </c>
      <c r="B16" s="36">
        <v>0.03</v>
      </c>
      <c r="D16" s="60"/>
      <c r="F16" s="70" t="s">
        <v>86</v>
      </c>
      <c r="G16" s="71">
        <f>IFERROR(G15/12,"")</f>
        <v>5.6703774070916717</v>
      </c>
      <c r="L16" s="21"/>
    </row>
    <row r="17" spans="1:12" x14ac:dyDescent="0.2">
      <c r="A17" s="22" t="s">
        <v>84</v>
      </c>
      <c r="B17" s="35">
        <v>800</v>
      </c>
      <c r="D17" s="60"/>
      <c r="L17" s="21"/>
    </row>
    <row r="18" spans="1:12" x14ac:dyDescent="0.2">
      <c r="A18" s="18"/>
      <c r="D18" s="60"/>
      <c r="L18" s="21"/>
    </row>
    <row r="19" spans="1:12" x14ac:dyDescent="0.2">
      <c r="A19" s="18" t="s">
        <v>89</v>
      </c>
      <c r="B19" s="35">
        <v>65</v>
      </c>
      <c r="D19" s="60" t="s">
        <v>90</v>
      </c>
      <c r="L19" s="21"/>
    </row>
    <row r="20" spans="1:12" x14ac:dyDescent="0.2">
      <c r="A20" s="18"/>
      <c r="B20" s="37"/>
      <c r="D20" s="60"/>
      <c r="L20" s="21"/>
    </row>
    <row r="21" spans="1:12" x14ac:dyDescent="0.2">
      <c r="A21" s="18" t="s">
        <v>87</v>
      </c>
      <c r="B21" s="35">
        <v>16000</v>
      </c>
      <c r="D21" s="60" t="s">
        <v>88</v>
      </c>
      <c r="L21" s="21"/>
    </row>
    <row r="22" spans="1:12" x14ac:dyDescent="0.2">
      <c r="A22" s="18"/>
      <c r="D22" s="60"/>
      <c r="L22" s="21"/>
    </row>
    <row r="23" spans="1:12" x14ac:dyDescent="0.2">
      <c r="A23" s="18" t="s">
        <v>5</v>
      </c>
      <c r="B23" s="35"/>
      <c r="D23" s="60" t="s">
        <v>49</v>
      </c>
      <c r="E23" s="59" t="s">
        <v>146</v>
      </c>
      <c r="L23" s="21"/>
    </row>
    <row r="24" spans="1:12" x14ac:dyDescent="0.2">
      <c r="A24" s="18"/>
      <c r="D24" s="60"/>
      <c r="L24" s="21"/>
    </row>
    <row r="25" spans="1:12" x14ac:dyDescent="0.2">
      <c r="A25" s="18" t="s">
        <v>98</v>
      </c>
      <c r="B25" s="35">
        <v>50000</v>
      </c>
      <c r="D25" s="60"/>
      <c r="L25" s="21"/>
    </row>
    <row r="26" spans="1:12" x14ac:dyDescent="0.2">
      <c r="D26" s="60"/>
      <c r="L26" s="21"/>
    </row>
    <row r="27" spans="1:12" x14ac:dyDescent="0.2">
      <c r="D27" s="60"/>
      <c r="L27" s="21"/>
    </row>
    <row r="28" spans="1:12" ht="19" x14ac:dyDescent="0.25">
      <c r="A28" s="85" t="s">
        <v>91</v>
      </c>
      <c r="B28" s="86"/>
      <c r="D28" s="60"/>
      <c r="E28" s="59" t="s">
        <v>140</v>
      </c>
      <c r="L28" s="21"/>
    </row>
    <row r="29" spans="1:12" x14ac:dyDescent="0.2">
      <c r="D29" s="60"/>
      <c r="L29" s="21"/>
    </row>
    <row r="30" spans="1:12" x14ac:dyDescent="0.2">
      <c r="A30" s="78" t="s">
        <v>32</v>
      </c>
      <c r="B30" s="79"/>
      <c r="D30" s="60"/>
      <c r="L30" s="21"/>
    </row>
    <row r="31" spans="1:12" x14ac:dyDescent="0.2">
      <c r="D31" s="60"/>
      <c r="L31" s="21"/>
    </row>
    <row r="32" spans="1:12" x14ac:dyDescent="0.2">
      <c r="A32" s="22" t="s">
        <v>40</v>
      </c>
      <c r="L32" s="21"/>
    </row>
    <row r="33" spans="1:12" x14ac:dyDescent="0.2">
      <c r="A33" s="53" t="s">
        <v>29</v>
      </c>
      <c r="B33" s="38" t="s">
        <v>155</v>
      </c>
      <c r="D33" s="60" t="s">
        <v>94</v>
      </c>
      <c r="L33" s="21"/>
    </row>
    <row r="34" spans="1:12" x14ac:dyDescent="0.2">
      <c r="A34" s="53" t="s">
        <v>121</v>
      </c>
      <c r="B34" s="35">
        <v>2000</v>
      </c>
      <c r="D34" s="60" t="s">
        <v>120</v>
      </c>
      <c r="E34" s="59" t="s">
        <v>142</v>
      </c>
      <c r="L34" s="21"/>
    </row>
    <row r="35" spans="1:12" x14ac:dyDescent="0.2">
      <c r="A35" s="53" t="s">
        <v>95</v>
      </c>
      <c r="B35" s="35">
        <v>3</v>
      </c>
      <c r="D35" s="60" t="s">
        <v>93</v>
      </c>
      <c r="E35" s="59" t="s">
        <v>142</v>
      </c>
      <c r="L35" s="21"/>
    </row>
    <row r="36" spans="1:12" x14ac:dyDescent="0.2">
      <c r="L36" s="21"/>
    </row>
    <row r="37" spans="1:12" x14ac:dyDescent="0.2">
      <c r="A37" s="22" t="s">
        <v>41</v>
      </c>
      <c r="L37" s="21"/>
    </row>
    <row r="38" spans="1:12" x14ac:dyDescent="0.2">
      <c r="A38" s="53" t="s">
        <v>29</v>
      </c>
      <c r="B38" s="38" t="s">
        <v>156</v>
      </c>
      <c r="D38" s="60" t="s">
        <v>94</v>
      </c>
      <c r="L38" s="21"/>
    </row>
    <row r="39" spans="1:12" x14ac:dyDescent="0.2">
      <c r="A39" s="53" t="s">
        <v>121</v>
      </c>
      <c r="B39" s="35">
        <v>1000</v>
      </c>
      <c r="D39" s="60" t="s">
        <v>120</v>
      </c>
      <c r="E39" s="59" t="s">
        <v>142</v>
      </c>
      <c r="L39" s="21"/>
    </row>
    <row r="40" spans="1:12" x14ac:dyDescent="0.2">
      <c r="A40" s="53" t="s">
        <v>95</v>
      </c>
      <c r="B40" s="35">
        <v>5</v>
      </c>
      <c r="D40" s="60" t="s">
        <v>93</v>
      </c>
      <c r="E40" s="59" t="s">
        <v>142</v>
      </c>
      <c r="L40" s="21"/>
    </row>
    <row r="42" spans="1:12" x14ac:dyDescent="0.2">
      <c r="A42" s="22" t="s">
        <v>42</v>
      </c>
      <c r="L42" s="21"/>
    </row>
    <row r="43" spans="1:12" x14ac:dyDescent="0.2">
      <c r="A43" s="53" t="s">
        <v>29</v>
      </c>
      <c r="B43" s="38" t="s">
        <v>157</v>
      </c>
      <c r="D43" s="60" t="s">
        <v>94</v>
      </c>
      <c r="L43" s="21"/>
    </row>
    <row r="44" spans="1:12" x14ac:dyDescent="0.2">
      <c r="A44" s="53" t="s">
        <v>121</v>
      </c>
      <c r="B44" s="35">
        <v>4000</v>
      </c>
      <c r="D44" s="60" t="s">
        <v>120</v>
      </c>
      <c r="E44" s="59" t="s">
        <v>142</v>
      </c>
      <c r="L44" s="21"/>
    </row>
    <row r="45" spans="1:12" x14ac:dyDescent="0.2">
      <c r="A45" s="53" t="s">
        <v>95</v>
      </c>
      <c r="B45" s="35">
        <v>2</v>
      </c>
      <c r="D45" s="60" t="s">
        <v>93</v>
      </c>
      <c r="E45" s="59" t="s">
        <v>142</v>
      </c>
      <c r="L45" s="21"/>
    </row>
    <row r="46" spans="1:12" x14ac:dyDescent="0.2">
      <c r="A46" s="53"/>
      <c r="B46" s="34"/>
      <c r="D46" s="60"/>
      <c r="L46" s="21"/>
    </row>
    <row r="47" spans="1:12" x14ac:dyDescent="0.2">
      <c r="A47" s="22" t="s">
        <v>164</v>
      </c>
      <c r="L47" s="21"/>
    </row>
    <row r="48" spans="1:12" x14ac:dyDescent="0.2">
      <c r="A48" s="53" t="s">
        <v>29</v>
      </c>
      <c r="B48" s="38" t="s">
        <v>166</v>
      </c>
      <c r="D48" s="60" t="s">
        <v>94</v>
      </c>
      <c r="L48" s="21"/>
    </row>
    <row r="49" spans="1:12" x14ac:dyDescent="0.2">
      <c r="A49" s="53" t="s">
        <v>121</v>
      </c>
      <c r="B49" s="35">
        <v>2500</v>
      </c>
      <c r="D49" s="60" t="s">
        <v>120</v>
      </c>
      <c r="E49" s="59" t="s">
        <v>142</v>
      </c>
      <c r="L49" s="21"/>
    </row>
    <row r="50" spans="1:12" x14ac:dyDescent="0.2">
      <c r="A50" s="53" t="s">
        <v>95</v>
      </c>
      <c r="B50" s="35">
        <v>3</v>
      </c>
      <c r="D50" s="60" t="s">
        <v>93</v>
      </c>
      <c r="E50" s="59" t="s">
        <v>142</v>
      </c>
      <c r="L50" s="21"/>
    </row>
    <row r="52" spans="1:12" x14ac:dyDescent="0.2">
      <c r="A52" s="22" t="s">
        <v>165</v>
      </c>
      <c r="L52" s="21"/>
    </row>
    <row r="53" spans="1:12" x14ac:dyDescent="0.2">
      <c r="A53" s="53" t="s">
        <v>29</v>
      </c>
      <c r="B53" s="38" t="s">
        <v>167</v>
      </c>
      <c r="D53" s="60" t="s">
        <v>94</v>
      </c>
      <c r="L53" s="21"/>
    </row>
    <row r="54" spans="1:12" x14ac:dyDescent="0.2">
      <c r="A54" s="53" t="s">
        <v>121</v>
      </c>
      <c r="B54" s="35">
        <v>2860</v>
      </c>
      <c r="D54" s="60" t="s">
        <v>120</v>
      </c>
      <c r="E54" s="59" t="s">
        <v>142</v>
      </c>
      <c r="L54" s="21"/>
    </row>
    <row r="55" spans="1:12" x14ac:dyDescent="0.2">
      <c r="A55" s="53" t="s">
        <v>95</v>
      </c>
      <c r="B55" s="35">
        <v>6</v>
      </c>
      <c r="D55" s="60" t="s">
        <v>93</v>
      </c>
      <c r="E55" s="59" t="s">
        <v>142</v>
      </c>
      <c r="L55" s="21"/>
    </row>
    <row r="56" spans="1:12" x14ac:dyDescent="0.2">
      <c r="A56" s="53"/>
      <c r="B56" s="34"/>
      <c r="D56" s="60"/>
      <c r="L56" s="21"/>
    </row>
    <row r="57" spans="1:12" x14ac:dyDescent="0.2">
      <c r="A57" s="78" t="s">
        <v>109</v>
      </c>
      <c r="B57" s="79"/>
      <c r="D57" s="60"/>
      <c r="L57" s="21"/>
    </row>
    <row r="58" spans="1:12" x14ac:dyDescent="0.2">
      <c r="A58" s="52"/>
      <c r="D58" s="60"/>
      <c r="L58" s="21"/>
    </row>
    <row r="59" spans="1:12" x14ac:dyDescent="0.2">
      <c r="A59" s="22" t="s">
        <v>43</v>
      </c>
      <c r="D59" s="60"/>
      <c r="L59" s="21"/>
    </row>
    <row r="60" spans="1:12" x14ac:dyDescent="0.2">
      <c r="A60" s="53" t="s">
        <v>29</v>
      </c>
      <c r="B60" s="38" t="s">
        <v>147</v>
      </c>
      <c r="D60" s="60" t="s">
        <v>94</v>
      </c>
      <c r="L60" s="21"/>
    </row>
    <row r="61" spans="1:12" x14ac:dyDescent="0.2">
      <c r="A61" s="53" t="s">
        <v>106</v>
      </c>
      <c r="B61" s="35">
        <v>300000</v>
      </c>
      <c r="D61" s="60"/>
      <c r="E61" s="59" t="s">
        <v>143</v>
      </c>
      <c r="L61" s="21"/>
    </row>
    <row r="62" spans="1:12" x14ac:dyDescent="0.2">
      <c r="A62" s="53" t="s">
        <v>107</v>
      </c>
      <c r="B62" s="35">
        <v>5000</v>
      </c>
      <c r="D62" s="60" t="s">
        <v>108</v>
      </c>
      <c r="E62" s="59" t="s">
        <v>143</v>
      </c>
      <c r="L62" s="21"/>
    </row>
    <row r="63" spans="1:12" x14ac:dyDescent="0.2">
      <c r="D63" s="60"/>
      <c r="L63" s="21"/>
    </row>
    <row r="64" spans="1:12" x14ac:dyDescent="0.2">
      <c r="A64" s="22" t="s">
        <v>44</v>
      </c>
      <c r="D64" s="60"/>
      <c r="L64" s="21"/>
    </row>
    <row r="65" spans="1:12" x14ac:dyDescent="0.2">
      <c r="A65" s="53" t="s">
        <v>29</v>
      </c>
      <c r="B65" s="38" t="s">
        <v>158</v>
      </c>
      <c r="D65" s="60" t="s">
        <v>94</v>
      </c>
      <c r="L65" s="21"/>
    </row>
    <row r="66" spans="1:12" x14ac:dyDescent="0.2">
      <c r="A66" s="53" t="s">
        <v>106</v>
      </c>
      <c r="B66" s="35">
        <v>150000</v>
      </c>
      <c r="D66" s="60"/>
      <c r="E66" s="59" t="s">
        <v>143</v>
      </c>
      <c r="L66" s="21"/>
    </row>
    <row r="67" spans="1:12" x14ac:dyDescent="0.2">
      <c r="A67" s="53" t="s">
        <v>107</v>
      </c>
      <c r="B67" s="35">
        <v>2000</v>
      </c>
      <c r="D67" s="60" t="s">
        <v>108</v>
      </c>
      <c r="E67" s="59" t="s">
        <v>143</v>
      </c>
      <c r="L67" s="21"/>
    </row>
    <row r="68" spans="1:12" x14ac:dyDescent="0.2">
      <c r="D68" s="60"/>
      <c r="L68" s="21"/>
    </row>
    <row r="69" spans="1:12" x14ac:dyDescent="0.2">
      <c r="A69" s="22" t="s">
        <v>45</v>
      </c>
      <c r="D69" s="60"/>
      <c r="L69" s="21"/>
    </row>
    <row r="70" spans="1:12" x14ac:dyDescent="0.2">
      <c r="A70" s="53" t="s">
        <v>29</v>
      </c>
      <c r="B70" s="38" t="s">
        <v>153</v>
      </c>
      <c r="D70" s="60" t="s">
        <v>94</v>
      </c>
      <c r="L70" s="21"/>
    </row>
    <row r="71" spans="1:12" x14ac:dyDescent="0.2">
      <c r="A71" s="53" t="s">
        <v>106</v>
      </c>
      <c r="B71" s="35">
        <v>220000</v>
      </c>
      <c r="D71" s="60"/>
      <c r="E71" s="59" t="s">
        <v>143</v>
      </c>
      <c r="L71" s="21"/>
    </row>
    <row r="72" spans="1:12" x14ac:dyDescent="0.2">
      <c r="A72" s="53" t="s">
        <v>107</v>
      </c>
      <c r="B72" s="35">
        <v>1200</v>
      </c>
      <c r="D72" s="60" t="s">
        <v>108</v>
      </c>
      <c r="E72" s="59" t="s">
        <v>143</v>
      </c>
      <c r="L72" s="21"/>
    </row>
    <row r="73" spans="1:12" x14ac:dyDescent="0.2">
      <c r="A73" s="53"/>
      <c r="D73" s="60"/>
      <c r="L73" s="21"/>
    </row>
    <row r="74" spans="1:12" x14ac:dyDescent="0.2">
      <c r="A74" s="22" t="s">
        <v>168</v>
      </c>
      <c r="D74" s="60"/>
      <c r="L74" s="21"/>
    </row>
    <row r="75" spans="1:12" x14ac:dyDescent="0.2">
      <c r="A75" s="53" t="s">
        <v>29</v>
      </c>
      <c r="B75" s="38" t="s">
        <v>170</v>
      </c>
      <c r="D75" s="60" t="s">
        <v>94</v>
      </c>
      <c r="L75" s="21"/>
    </row>
    <row r="76" spans="1:12" x14ac:dyDescent="0.2">
      <c r="A76" s="53" t="s">
        <v>106</v>
      </c>
      <c r="B76" s="35">
        <v>80000</v>
      </c>
      <c r="D76" s="60"/>
      <c r="E76" s="59" t="s">
        <v>143</v>
      </c>
      <c r="L76" s="21"/>
    </row>
    <row r="77" spans="1:12" x14ac:dyDescent="0.2">
      <c r="A77" s="53" t="s">
        <v>107</v>
      </c>
      <c r="B77" s="35">
        <v>1000</v>
      </c>
      <c r="D77" s="60" t="s">
        <v>108</v>
      </c>
      <c r="E77" s="59" t="s">
        <v>143</v>
      </c>
      <c r="L77" s="21"/>
    </row>
    <row r="78" spans="1:12" x14ac:dyDescent="0.2">
      <c r="D78" s="60"/>
      <c r="L78" s="21"/>
    </row>
    <row r="79" spans="1:12" x14ac:dyDescent="0.2">
      <c r="A79" s="22" t="s">
        <v>169</v>
      </c>
      <c r="D79" s="60"/>
      <c r="L79" s="21"/>
    </row>
    <row r="80" spans="1:12" x14ac:dyDescent="0.2">
      <c r="A80" s="53" t="s">
        <v>29</v>
      </c>
      <c r="B80" s="38" t="s">
        <v>171</v>
      </c>
      <c r="D80" s="60" t="s">
        <v>94</v>
      </c>
      <c r="L80" s="21"/>
    </row>
    <row r="81" spans="1:12" x14ac:dyDescent="0.2">
      <c r="A81" s="53" t="s">
        <v>106</v>
      </c>
      <c r="B81" s="35">
        <v>120000</v>
      </c>
      <c r="D81" s="60"/>
      <c r="E81" s="59" t="s">
        <v>143</v>
      </c>
      <c r="L81" s="21"/>
    </row>
    <row r="82" spans="1:12" x14ac:dyDescent="0.2">
      <c r="A82" s="53" t="s">
        <v>107</v>
      </c>
      <c r="B82" s="35">
        <v>800</v>
      </c>
      <c r="D82" s="60" t="s">
        <v>108</v>
      </c>
      <c r="E82" s="59" t="s">
        <v>143</v>
      </c>
      <c r="L82" s="21"/>
    </row>
    <row r="83" spans="1:12" x14ac:dyDescent="0.2">
      <c r="A83" s="53"/>
      <c r="D83" s="60"/>
      <c r="L83" s="21"/>
    </row>
    <row r="84" spans="1:12" x14ac:dyDescent="0.2">
      <c r="A84" s="78" t="s">
        <v>179</v>
      </c>
      <c r="B84" s="79"/>
      <c r="D84" s="60"/>
      <c r="L84" s="21"/>
    </row>
    <row r="85" spans="1:12" x14ac:dyDescent="0.2">
      <c r="A85" s="53"/>
      <c r="D85" s="60"/>
      <c r="L85" s="21"/>
    </row>
    <row r="86" spans="1:12" x14ac:dyDescent="0.2">
      <c r="A86" s="22" t="s">
        <v>184</v>
      </c>
      <c r="D86" s="60"/>
      <c r="L86" s="21"/>
    </row>
    <row r="87" spans="1:12" x14ac:dyDescent="0.2">
      <c r="A87" s="53" t="s">
        <v>29</v>
      </c>
      <c r="B87" s="38" t="s">
        <v>180</v>
      </c>
      <c r="D87" s="60" t="s">
        <v>94</v>
      </c>
      <c r="L87" s="21"/>
    </row>
    <row r="88" spans="1:12" x14ac:dyDescent="0.2">
      <c r="A88" s="53" t="s">
        <v>106</v>
      </c>
      <c r="B88" s="35">
        <v>50000</v>
      </c>
      <c r="D88" s="60"/>
      <c r="E88" s="59" t="s">
        <v>182</v>
      </c>
      <c r="L88" s="21"/>
    </row>
    <row r="89" spans="1:12" x14ac:dyDescent="0.2">
      <c r="A89" s="53" t="s">
        <v>181</v>
      </c>
      <c r="B89" s="36">
        <v>0.02</v>
      </c>
      <c r="D89" s="60" t="s">
        <v>183</v>
      </c>
      <c r="E89" s="59" t="s">
        <v>182</v>
      </c>
      <c r="L89" s="21"/>
    </row>
    <row r="90" spans="1:12" x14ac:dyDescent="0.2">
      <c r="A90" s="53"/>
      <c r="D90" s="60"/>
      <c r="L90" s="21"/>
    </row>
    <row r="91" spans="1:12" x14ac:dyDescent="0.2">
      <c r="A91" s="22" t="s">
        <v>185</v>
      </c>
      <c r="D91" s="60"/>
      <c r="L91" s="21"/>
    </row>
    <row r="92" spans="1:12" x14ac:dyDescent="0.2">
      <c r="A92" s="53" t="s">
        <v>29</v>
      </c>
      <c r="B92" s="38" t="s">
        <v>189</v>
      </c>
      <c r="D92" s="60" t="s">
        <v>94</v>
      </c>
      <c r="L92" s="21"/>
    </row>
    <row r="93" spans="1:12" x14ac:dyDescent="0.2">
      <c r="A93" s="53" t="s">
        <v>106</v>
      </c>
      <c r="B93" s="35">
        <v>40000</v>
      </c>
      <c r="D93" s="60"/>
      <c r="E93" s="59" t="s">
        <v>182</v>
      </c>
      <c r="L93" s="21"/>
    </row>
    <row r="94" spans="1:12" x14ac:dyDescent="0.2">
      <c r="A94" s="53" t="s">
        <v>181</v>
      </c>
      <c r="B94" s="36">
        <v>-0.05</v>
      </c>
      <c r="D94" s="60" t="s">
        <v>183</v>
      </c>
      <c r="E94" s="59" t="s">
        <v>182</v>
      </c>
      <c r="L94" s="21"/>
    </row>
    <row r="95" spans="1:12" x14ac:dyDescent="0.2">
      <c r="A95" s="53"/>
      <c r="D95" s="60"/>
      <c r="L95" s="21"/>
    </row>
    <row r="96" spans="1:12" x14ac:dyDescent="0.2">
      <c r="A96" s="22" t="s">
        <v>186</v>
      </c>
      <c r="D96" s="60"/>
      <c r="L96" s="21"/>
    </row>
    <row r="97" spans="1:12" x14ac:dyDescent="0.2">
      <c r="A97" s="53" t="s">
        <v>29</v>
      </c>
      <c r="B97" s="38" t="s">
        <v>190</v>
      </c>
      <c r="D97" s="60" t="s">
        <v>94</v>
      </c>
      <c r="L97" s="21"/>
    </row>
    <row r="98" spans="1:12" x14ac:dyDescent="0.2">
      <c r="A98" s="53" t="s">
        <v>106</v>
      </c>
      <c r="B98" s="35">
        <v>20000</v>
      </c>
      <c r="D98" s="60"/>
      <c r="E98" s="59" t="s">
        <v>182</v>
      </c>
      <c r="L98" s="21"/>
    </row>
    <row r="99" spans="1:12" x14ac:dyDescent="0.2">
      <c r="A99" s="53" t="s">
        <v>181</v>
      </c>
      <c r="B99" s="36">
        <v>0.03</v>
      </c>
      <c r="D99" s="60" t="s">
        <v>183</v>
      </c>
      <c r="E99" s="59" t="s">
        <v>182</v>
      </c>
      <c r="L99" s="21"/>
    </row>
    <row r="100" spans="1:12" x14ac:dyDescent="0.2">
      <c r="A100" s="53"/>
      <c r="D100" s="60"/>
      <c r="L100" s="21"/>
    </row>
    <row r="101" spans="1:12" x14ac:dyDescent="0.2">
      <c r="A101" s="22" t="s">
        <v>187</v>
      </c>
      <c r="D101" s="60"/>
      <c r="L101" s="21"/>
    </row>
    <row r="102" spans="1:12" x14ac:dyDescent="0.2">
      <c r="A102" s="53" t="s">
        <v>29</v>
      </c>
      <c r="B102" s="38" t="s">
        <v>191</v>
      </c>
      <c r="D102" s="60" t="s">
        <v>94</v>
      </c>
      <c r="L102" s="21"/>
    </row>
    <row r="103" spans="1:12" x14ac:dyDescent="0.2">
      <c r="A103" s="53" t="s">
        <v>106</v>
      </c>
      <c r="B103" s="35">
        <v>180000</v>
      </c>
      <c r="D103" s="60"/>
      <c r="E103" s="59" t="s">
        <v>182</v>
      </c>
      <c r="L103" s="21"/>
    </row>
    <row r="104" spans="1:12" x14ac:dyDescent="0.2">
      <c r="A104" s="53" t="s">
        <v>181</v>
      </c>
      <c r="B104" s="36">
        <v>-0.05</v>
      </c>
      <c r="D104" s="60" t="s">
        <v>183</v>
      </c>
      <c r="E104" s="59" t="s">
        <v>182</v>
      </c>
      <c r="L104" s="21"/>
    </row>
    <row r="105" spans="1:12" x14ac:dyDescent="0.2">
      <c r="A105" s="53"/>
      <c r="D105" s="60"/>
      <c r="L105" s="21"/>
    </row>
    <row r="106" spans="1:12" x14ac:dyDescent="0.2">
      <c r="A106" s="22" t="s">
        <v>188</v>
      </c>
      <c r="D106" s="60"/>
      <c r="L106" s="21"/>
    </row>
    <row r="107" spans="1:12" x14ac:dyDescent="0.2">
      <c r="A107" s="53" t="s">
        <v>29</v>
      </c>
      <c r="B107" s="38" t="s">
        <v>192</v>
      </c>
      <c r="D107" s="60" t="s">
        <v>94</v>
      </c>
      <c r="L107" s="21"/>
    </row>
    <row r="108" spans="1:12" x14ac:dyDescent="0.2">
      <c r="A108" s="53" t="s">
        <v>106</v>
      </c>
      <c r="B108" s="35">
        <v>82000</v>
      </c>
      <c r="D108" s="60"/>
      <c r="E108" s="59" t="s">
        <v>182</v>
      </c>
      <c r="L108" s="21"/>
    </row>
    <row r="109" spans="1:12" x14ac:dyDescent="0.2">
      <c r="A109" s="53" t="s">
        <v>181</v>
      </c>
      <c r="B109" s="36">
        <v>0.02</v>
      </c>
      <c r="D109" s="60" t="s">
        <v>183</v>
      </c>
      <c r="E109" s="59" t="s">
        <v>182</v>
      </c>
      <c r="L109" s="21"/>
    </row>
    <row r="110" spans="1:12" x14ac:dyDescent="0.2">
      <c r="A110" s="53"/>
      <c r="B110" s="21"/>
      <c r="D110" s="60"/>
      <c r="L110" s="21"/>
    </row>
    <row r="111" spans="1:12" x14ac:dyDescent="0.2">
      <c r="A111" s="78" t="s">
        <v>96</v>
      </c>
      <c r="B111" s="79"/>
      <c r="L111" s="21"/>
    </row>
    <row r="112" spans="1:12" ht="15" customHeight="1" x14ac:dyDescent="0.2">
      <c r="D112" s="60"/>
      <c r="L112" s="21"/>
    </row>
    <row r="113" spans="1:12" x14ac:dyDescent="0.2">
      <c r="A113" s="22" t="str">
        <f>"Rental income: "&amp;B60</f>
        <v>Rental income: Sliema</v>
      </c>
      <c r="B113" s="35">
        <v>12000</v>
      </c>
      <c r="D113" s="60" t="s">
        <v>97</v>
      </c>
      <c r="E113" s="59" t="s">
        <v>144</v>
      </c>
      <c r="L113" s="21"/>
    </row>
    <row r="114" spans="1:12" x14ac:dyDescent="0.2">
      <c r="A114" s="22" t="str">
        <f>"Rental income: "&amp;B65</f>
        <v>Rental income: Gzira</v>
      </c>
      <c r="B114" s="35">
        <v>10000</v>
      </c>
      <c r="D114" s="60" t="s">
        <v>97</v>
      </c>
      <c r="E114" s="59" t="s">
        <v>144</v>
      </c>
      <c r="L114" s="21"/>
    </row>
    <row r="115" spans="1:12" x14ac:dyDescent="0.2">
      <c r="A115" s="22" t="str">
        <f>"Rental income: "&amp;B70</f>
        <v>Rental income: Qormi</v>
      </c>
      <c r="B115" s="35">
        <v>8000</v>
      </c>
      <c r="D115" s="60" t="s">
        <v>97</v>
      </c>
      <c r="E115" s="59" t="s">
        <v>144</v>
      </c>
      <c r="L115" s="21"/>
    </row>
    <row r="116" spans="1:12" x14ac:dyDescent="0.2">
      <c r="A116" s="22" t="str">
        <f>"Rental income: "&amp;B75</f>
        <v>Rental income: Gudja</v>
      </c>
      <c r="B116" s="35">
        <v>5000</v>
      </c>
      <c r="D116" s="60" t="s">
        <v>97</v>
      </c>
      <c r="E116" s="59" t="s">
        <v>144</v>
      </c>
      <c r="L116" s="21"/>
    </row>
    <row r="117" spans="1:12" x14ac:dyDescent="0.2">
      <c r="A117" s="22" t="str">
        <f>"Rental income: "&amp;B80</f>
        <v>Rental income: Marsa</v>
      </c>
      <c r="B117" s="35">
        <v>6500</v>
      </c>
      <c r="D117" s="60" t="s">
        <v>97</v>
      </c>
      <c r="E117" s="59" t="s">
        <v>144</v>
      </c>
      <c r="L117" s="21"/>
    </row>
    <row r="118" spans="1:12" x14ac:dyDescent="0.2">
      <c r="D118" s="60"/>
      <c r="L118" s="21"/>
    </row>
    <row r="119" spans="1:12" x14ac:dyDescent="0.2">
      <c r="A119" s="22" t="s">
        <v>110</v>
      </c>
      <c r="B119" s="35">
        <v>2000</v>
      </c>
      <c r="D119" s="60" t="s">
        <v>132</v>
      </c>
      <c r="L119" s="21"/>
    </row>
    <row r="120" spans="1:12" x14ac:dyDescent="0.2">
      <c r="A120" s="22" t="s">
        <v>15</v>
      </c>
      <c r="B120" s="35">
        <v>58</v>
      </c>
      <c r="D120" s="60"/>
      <c r="E120" s="59" t="s">
        <v>145</v>
      </c>
      <c r="L120" s="21"/>
    </row>
    <row r="121" spans="1:12" x14ac:dyDescent="0.2">
      <c r="D121" s="60"/>
      <c r="L121" s="21"/>
    </row>
    <row r="122" spans="1:12" x14ac:dyDescent="0.2">
      <c r="A122" s="78" t="s">
        <v>199</v>
      </c>
      <c r="B122" s="79"/>
      <c r="D122" s="60"/>
      <c r="L122" s="21"/>
    </row>
    <row r="123" spans="1:12" x14ac:dyDescent="0.2">
      <c r="D123" s="60"/>
      <c r="J123" s="44"/>
      <c r="L123" s="21"/>
    </row>
    <row r="124" spans="1:12" x14ac:dyDescent="0.2">
      <c r="A124" s="22" t="s">
        <v>3</v>
      </c>
      <c r="B124" s="35">
        <v>1000</v>
      </c>
      <c r="D124" s="60" t="s">
        <v>133</v>
      </c>
      <c r="L124" s="21"/>
    </row>
    <row r="125" spans="1:12" x14ac:dyDescent="0.2">
      <c r="D125" s="60"/>
      <c r="L125" s="21"/>
    </row>
    <row r="126" spans="1:12" x14ac:dyDescent="0.2">
      <c r="A126" s="54" t="str">
        <f>B60 &amp; " Property"</f>
        <v>Sliema Property</v>
      </c>
      <c r="F126" s="70"/>
      <c r="G126" s="72"/>
      <c r="J126" s="44"/>
      <c r="L126" s="21"/>
    </row>
    <row r="127" spans="1:12" x14ac:dyDescent="0.2">
      <c r="A127" s="53" t="s">
        <v>38</v>
      </c>
      <c r="B127" s="35">
        <v>50000</v>
      </c>
      <c r="D127" s="60" t="s">
        <v>102</v>
      </c>
      <c r="F127" s="70" t="s">
        <v>85</v>
      </c>
      <c r="G127" s="71">
        <f>IFERROR(NPER(B128/12,-B129,B127),"")</f>
        <v>115.21661015797439</v>
      </c>
      <c r="L127" s="21"/>
    </row>
    <row r="128" spans="1:12" x14ac:dyDescent="0.2">
      <c r="A128" s="53" t="s">
        <v>83</v>
      </c>
      <c r="B128" s="36">
        <v>0.03</v>
      </c>
      <c r="D128" s="60"/>
      <c r="F128" s="70" t="s">
        <v>86</v>
      </c>
      <c r="G128" s="71">
        <f>IFERROR(G127/12,"")</f>
        <v>9.6013841798311983</v>
      </c>
      <c r="L128" s="21"/>
    </row>
    <row r="129" spans="1:12" x14ac:dyDescent="0.2">
      <c r="A129" s="53" t="s">
        <v>84</v>
      </c>
      <c r="B129" s="35">
        <v>500</v>
      </c>
      <c r="D129" s="60"/>
      <c r="G129" s="72"/>
      <c r="J129" s="44"/>
      <c r="L129" s="21"/>
    </row>
    <row r="130" spans="1:12" x14ac:dyDescent="0.2">
      <c r="B130" s="21"/>
      <c r="D130" s="60"/>
      <c r="G130" s="72"/>
      <c r="J130" s="44"/>
      <c r="L130" s="21"/>
    </row>
    <row r="131" spans="1:12" x14ac:dyDescent="0.2">
      <c r="A131" s="54" t="str">
        <f>B65 &amp; " Property"</f>
        <v>Gzira Property</v>
      </c>
      <c r="B131" s="21"/>
      <c r="F131" s="70"/>
      <c r="G131" s="72"/>
      <c r="L131" s="21"/>
    </row>
    <row r="132" spans="1:12" x14ac:dyDescent="0.2">
      <c r="A132" s="53" t="s">
        <v>38</v>
      </c>
      <c r="B132" s="35">
        <v>8500</v>
      </c>
      <c r="D132" s="60" t="s">
        <v>102</v>
      </c>
      <c r="F132" s="70" t="s">
        <v>85</v>
      </c>
      <c r="G132" s="71">
        <f>IFERROR(NPER(B133/12,-B134,B132),"")</f>
        <v>44.117014509786529</v>
      </c>
      <c r="L132" s="21"/>
    </row>
    <row r="133" spans="1:12" x14ac:dyDescent="0.2">
      <c r="A133" s="53" t="s">
        <v>83</v>
      </c>
      <c r="B133" s="36">
        <v>0.02</v>
      </c>
      <c r="D133" s="60"/>
      <c r="F133" s="70" t="s">
        <v>86</v>
      </c>
      <c r="G133" s="71">
        <f>IFERROR(G132/12,"")</f>
        <v>3.6764178758155439</v>
      </c>
      <c r="L133" s="21"/>
    </row>
    <row r="134" spans="1:12" x14ac:dyDescent="0.2">
      <c r="A134" s="53" t="s">
        <v>84</v>
      </c>
      <c r="B134" s="35">
        <v>200</v>
      </c>
      <c r="D134" s="60"/>
      <c r="G134" s="72"/>
      <c r="L134" s="21"/>
    </row>
    <row r="135" spans="1:12" x14ac:dyDescent="0.2">
      <c r="D135" s="60"/>
      <c r="G135" s="72"/>
      <c r="L135" s="21"/>
    </row>
    <row r="136" spans="1:12" x14ac:dyDescent="0.2">
      <c r="A136" s="54" t="str">
        <f>B70&amp; " Property"</f>
        <v>Qormi Property</v>
      </c>
      <c r="B136" s="21"/>
      <c r="F136" s="70"/>
      <c r="G136" s="72"/>
      <c r="L136" s="21"/>
    </row>
    <row r="137" spans="1:12" x14ac:dyDescent="0.2">
      <c r="A137" s="53" t="s">
        <v>38</v>
      </c>
      <c r="B137" s="35">
        <v>15000</v>
      </c>
      <c r="D137" s="60" t="s">
        <v>102</v>
      </c>
      <c r="F137" s="70" t="s">
        <v>85</v>
      </c>
      <c r="G137" s="71">
        <f>IFERROR(NPER(B138/12,-B139,B137),"")</f>
        <v>69.187438742600861</v>
      </c>
      <c r="L137" s="21"/>
    </row>
    <row r="138" spans="1:12" x14ac:dyDescent="0.2">
      <c r="A138" s="53" t="s">
        <v>83</v>
      </c>
      <c r="B138" s="36">
        <v>0.05</v>
      </c>
      <c r="D138" s="60"/>
      <c r="F138" s="70" t="s">
        <v>86</v>
      </c>
      <c r="G138" s="71">
        <f>IFERROR(G137/12,"")</f>
        <v>5.7656198952167381</v>
      </c>
      <c r="J138" s="44"/>
      <c r="L138" s="21"/>
    </row>
    <row r="139" spans="1:12" x14ac:dyDescent="0.2">
      <c r="A139" s="53" t="s">
        <v>84</v>
      </c>
      <c r="B139" s="35">
        <v>250</v>
      </c>
      <c r="D139" s="60"/>
      <c r="G139" s="72"/>
      <c r="J139" s="44"/>
      <c r="L139" s="21"/>
    </row>
    <row r="140" spans="1:12" x14ac:dyDescent="0.2">
      <c r="B140" s="21"/>
      <c r="D140" s="60"/>
      <c r="G140" s="72"/>
      <c r="L140" s="21"/>
    </row>
    <row r="141" spans="1:12" x14ac:dyDescent="0.2">
      <c r="A141" s="54" t="str">
        <f>B75 &amp; " Property"</f>
        <v>Gudja Property</v>
      </c>
      <c r="B141" s="21"/>
      <c r="F141" s="70"/>
      <c r="G141" s="72"/>
      <c r="L141" s="21"/>
    </row>
    <row r="142" spans="1:12" x14ac:dyDescent="0.2">
      <c r="A142" s="53" t="s">
        <v>38</v>
      </c>
      <c r="B142" s="35">
        <v>4680</v>
      </c>
      <c r="D142" s="60" t="s">
        <v>102</v>
      </c>
      <c r="F142" s="70" t="s">
        <v>85</v>
      </c>
      <c r="G142" s="71">
        <f>IFERROR(NPER(B143/12,-B144,B142),"")</f>
        <v>61.603232323170296</v>
      </c>
      <c r="L142" s="21"/>
    </row>
    <row r="143" spans="1:12" x14ac:dyDescent="0.2">
      <c r="A143" s="53" t="s">
        <v>83</v>
      </c>
      <c r="B143" s="36">
        <v>0.02</v>
      </c>
      <c r="D143" s="60"/>
      <c r="F143" s="70" t="s">
        <v>86</v>
      </c>
      <c r="G143" s="71">
        <f>IFERROR(G142/12,"")</f>
        <v>5.133602693597525</v>
      </c>
      <c r="L143" s="21"/>
    </row>
    <row r="144" spans="1:12" x14ac:dyDescent="0.2">
      <c r="A144" s="53" t="s">
        <v>84</v>
      </c>
      <c r="B144" s="35">
        <v>80</v>
      </c>
      <c r="D144" s="60"/>
      <c r="G144" s="72"/>
      <c r="L144" s="21"/>
    </row>
    <row r="145" spans="1:12" x14ac:dyDescent="0.2">
      <c r="D145" s="60"/>
      <c r="G145" s="72"/>
      <c r="L145" s="21"/>
    </row>
    <row r="146" spans="1:12" x14ac:dyDescent="0.2">
      <c r="A146" s="54" t="str">
        <f>B80&amp; " Property"</f>
        <v>Marsa Property</v>
      </c>
      <c r="B146" s="21"/>
      <c r="F146" s="70"/>
      <c r="G146" s="72"/>
      <c r="L146" s="21"/>
    </row>
    <row r="147" spans="1:12" x14ac:dyDescent="0.2">
      <c r="A147" s="53" t="s">
        <v>38</v>
      </c>
      <c r="B147" s="35">
        <v>9524</v>
      </c>
      <c r="D147" s="60" t="s">
        <v>102</v>
      </c>
      <c r="F147" s="70" t="s">
        <v>85</v>
      </c>
      <c r="G147" s="71">
        <f>IFERROR(NPER(B148/12,-B149,B147),"")</f>
        <v>88.577073398502804</v>
      </c>
      <c r="L147" s="21"/>
    </row>
    <row r="148" spans="1:12" x14ac:dyDescent="0.2">
      <c r="A148" s="53" t="s">
        <v>83</v>
      </c>
      <c r="B148" s="36">
        <v>0.03</v>
      </c>
      <c r="D148" s="60"/>
      <c r="F148" s="70" t="s">
        <v>86</v>
      </c>
      <c r="G148" s="71">
        <f>IFERROR(G147/12,"")</f>
        <v>7.381422783208567</v>
      </c>
      <c r="J148" s="44"/>
      <c r="L148" s="21"/>
    </row>
    <row r="149" spans="1:12" x14ac:dyDescent="0.2">
      <c r="A149" s="53" t="s">
        <v>84</v>
      </c>
      <c r="B149" s="35">
        <v>120</v>
      </c>
      <c r="D149" s="60"/>
      <c r="G149" s="72"/>
      <c r="J149" s="44"/>
      <c r="L149" s="21"/>
    </row>
    <row r="150" spans="1:12" x14ac:dyDescent="0.2">
      <c r="B150" s="21"/>
      <c r="D150" s="60"/>
      <c r="G150" s="72"/>
      <c r="L150" s="21"/>
    </row>
    <row r="151" spans="1:12" x14ac:dyDescent="0.2">
      <c r="A151" s="54" t="str">
        <f>B87</f>
        <v>Jewelry</v>
      </c>
      <c r="F151" s="70"/>
      <c r="G151" s="72"/>
      <c r="J151" s="44"/>
      <c r="L151" s="21"/>
    </row>
    <row r="152" spans="1:12" x14ac:dyDescent="0.2">
      <c r="A152" s="53" t="s">
        <v>38</v>
      </c>
      <c r="B152" s="35">
        <v>2500</v>
      </c>
      <c r="D152" s="60" t="s">
        <v>102</v>
      </c>
      <c r="F152" s="70" t="s">
        <v>85</v>
      </c>
      <c r="G152" s="71">
        <f>IFERROR(NPER(B153/12,-B154,B152),"")</f>
        <v>34.848038379600631</v>
      </c>
      <c r="L152" s="21"/>
    </row>
    <row r="153" spans="1:12" x14ac:dyDescent="0.2">
      <c r="A153" s="53" t="s">
        <v>83</v>
      </c>
      <c r="B153" s="36">
        <v>0.03</v>
      </c>
      <c r="D153" s="60"/>
      <c r="F153" s="70" t="s">
        <v>86</v>
      </c>
      <c r="G153" s="71">
        <f>IFERROR(G152/12,"")</f>
        <v>2.9040031983000527</v>
      </c>
      <c r="L153" s="21"/>
    </row>
    <row r="154" spans="1:12" x14ac:dyDescent="0.2">
      <c r="A154" s="53" t="s">
        <v>84</v>
      </c>
      <c r="B154" s="35">
        <v>75</v>
      </c>
      <c r="D154" s="60"/>
      <c r="G154" s="72"/>
      <c r="J154" s="44"/>
      <c r="L154" s="21"/>
    </row>
    <row r="155" spans="1:12" x14ac:dyDescent="0.2">
      <c r="B155" s="21"/>
      <c r="D155" s="60"/>
      <c r="G155" s="72"/>
      <c r="J155" s="44"/>
      <c r="L155" s="21"/>
    </row>
    <row r="156" spans="1:12" x14ac:dyDescent="0.2">
      <c r="A156" s="54" t="str">
        <f>B92</f>
        <v>Car</v>
      </c>
      <c r="B156" s="21"/>
      <c r="F156" s="70"/>
      <c r="G156" s="72"/>
      <c r="L156" s="21"/>
    </row>
    <row r="157" spans="1:12" x14ac:dyDescent="0.2">
      <c r="A157" s="53" t="s">
        <v>38</v>
      </c>
      <c r="B157" s="35">
        <v>6000</v>
      </c>
      <c r="D157" s="60" t="s">
        <v>102</v>
      </c>
      <c r="F157" s="70" t="s">
        <v>85</v>
      </c>
      <c r="G157" s="71">
        <f>IFERROR(NPER(B158/12,-B159,B157),"")</f>
        <v>74.230163403974942</v>
      </c>
      <c r="L157" s="21"/>
    </row>
    <row r="158" spans="1:12" x14ac:dyDescent="0.2">
      <c r="A158" s="53" t="s">
        <v>83</v>
      </c>
      <c r="B158" s="36">
        <v>0.02</v>
      </c>
      <c r="D158" s="60"/>
      <c r="F158" s="70" t="s">
        <v>86</v>
      </c>
      <c r="G158" s="71">
        <f>IFERROR(G157/12,"")</f>
        <v>6.1858469503312454</v>
      </c>
      <c r="L158" s="21"/>
    </row>
    <row r="159" spans="1:12" x14ac:dyDescent="0.2">
      <c r="A159" s="53" t="s">
        <v>84</v>
      </c>
      <c r="B159" s="35">
        <v>86</v>
      </c>
      <c r="D159" s="60"/>
      <c r="G159" s="72"/>
      <c r="L159" s="21"/>
    </row>
    <row r="160" spans="1:12" x14ac:dyDescent="0.2">
      <c r="D160" s="60"/>
      <c r="G160" s="72"/>
      <c r="L160" s="21"/>
    </row>
    <row r="161" spans="1:12" x14ac:dyDescent="0.2">
      <c r="A161" s="54" t="str">
        <f>B97</f>
        <v>Painting</v>
      </c>
      <c r="B161" s="21"/>
      <c r="F161" s="70"/>
      <c r="G161" s="72"/>
      <c r="L161" s="21"/>
    </row>
    <row r="162" spans="1:12" x14ac:dyDescent="0.2">
      <c r="A162" s="53" t="s">
        <v>38</v>
      </c>
      <c r="B162" s="35">
        <v>7500</v>
      </c>
      <c r="D162" s="60" t="s">
        <v>102</v>
      </c>
      <c r="F162" s="70" t="s">
        <v>85</v>
      </c>
      <c r="G162" s="71">
        <f>IFERROR(NPER(B163/12,-B164,B162),"")</f>
        <v>69.187438742600861</v>
      </c>
      <c r="L162" s="21"/>
    </row>
    <row r="163" spans="1:12" x14ac:dyDescent="0.2">
      <c r="A163" s="53" t="s">
        <v>83</v>
      </c>
      <c r="B163" s="36">
        <v>0.05</v>
      </c>
      <c r="D163" s="60"/>
      <c r="F163" s="70" t="s">
        <v>86</v>
      </c>
      <c r="G163" s="71">
        <f>IFERROR(G162/12,"")</f>
        <v>5.7656198952167381</v>
      </c>
      <c r="J163" s="44"/>
      <c r="L163" s="21"/>
    </row>
    <row r="164" spans="1:12" x14ac:dyDescent="0.2">
      <c r="A164" s="53" t="s">
        <v>84</v>
      </c>
      <c r="B164" s="35">
        <v>125</v>
      </c>
      <c r="D164" s="60"/>
      <c r="G164" s="72"/>
      <c r="J164" s="44"/>
      <c r="L164" s="21"/>
    </row>
    <row r="165" spans="1:12" x14ac:dyDescent="0.2">
      <c r="B165" s="21"/>
      <c r="D165" s="60"/>
      <c r="G165" s="72"/>
      <c r="L165" s="21"/>
    </row>
    <row r="166" spans="1:12" x14ac:dyDescent="0.2">
      <c r="A166" s="54" t="str">
        <f>B102</f>
        <v>Boat</v>
      </c>
      <c r="B166" s="21"/>
      <c r="F166" s="70"/>
      <c r="G166" s="72"/>
      <c r="L166" s="21"/>
    </row>
    <row r="167" spans="1:12" x14ac:dyDescent="0.2">
      <c r="A167" s="53" t="s">
        <v>38</v>
      </c>
      <c r="B167" s="35">
        <v>40000</v>
      </c>
      <c r="D167" s="60" t="s">
        <v>102</v>
      </c>
      <c r="F167" s="70" t="s">
        <v>85</v>
      </c>
      <c r="G167" s="71">
        <f>IFERROR(NPER(B168/12,-B169,B167),"")</f>
        <v>77.476430478264689</v>
      </c>
      <c r="L167" s="21"/>
    </row>
    <row r="168" spans="1:12" x14ac:dyDescent="0.2">
      <c r="A168" s="53" t="s">
        <v>83</v>
      </c>
      <c r="B168" s="36">
        <v>0.06</v>
      </c>
      <c r="D168" s="60"/>
      <c r="F168" s="70" t="s">
        <v>86</v>
      </c>
      <c r="G168" s="71">
        <f>IFERROR(G167/12,"")</f>
        <v>6.4563692065220577</v>
      </c>
      <c r="L168" s="21"/>
    </row>
    <row r="169" spans="1:12" x14ac:dyDescent="0.2">
      <c r="A169" s="53" t="s">
        <v>84</v>
      </c>
      <c r="B169" s="35">
        <v>624</v>
      </c>
      <c r="D169" s="60"/>
      <c r="G169" s="72"/>
      <c r="L169" s="21"/>
    </row>
    <row r="170" spans="1:12" x14ac:dyDescent="0.2">
      <c r="D170" s="60"/>
      <c r="G170" s="72"/>
      <c r="L170" s="21"/>
    </row>
    <row r="171" spans="1:12" x14ac:dyDescent="0.2">
      <c r="A171" s="54" t="str">
        <f>B107</f>
        <v>Antiques</v>
      </c>
      <c r="B171" s="21"/>
      <c r="F171" s="70"/>
      <c r="G171" s="72"/>
      <c r="L171" s="21"/>
    </row>
    <row r="172" spans="1:12" x14ac:dyDescent="0.2">
      <c r="A172" s="53" t="s">
        <v>38</v>
      </c>
      <c r="B172" s="35">
        <v>3800</v>
      </c>
      <c r="D172" s="60" t="s">
        <v>102</v>
      </c>
      <c r="F172" s="70" t="s">
        <v>85</v>
      </c>
      <c r="G172" s="71">
        <f>IFERROR(NPER(B173/12,-B174,B172),"")</f>
        <v>36.174197842729725</v>
      </c>
      <c r="L172" s="21"/>
    </row>
    <row r="173" spans="1:12" x14ac:dyDescent="0.2">
      <c r="A173" s="53" t="s">
        <v>83</v>
      </c>
      <c r="B173" s="36">
        <v>0.03</v>
      </c>
      <c r="D173" s="60"/>
      <c r="F173" s="70" t="s">
        <v>86</v>
      </c>
      <c r="G173" s="71">
        <f>IFERROR(G172/12,"")</f>
        <v>3.0145164868941436</v>
      </c>
      <c r="J173" s="44"/>
      <c r="L173" s="21"/>
    </row>
    <row r="174" spans="1:12" x14ac:dyDescent="0.2">
      <c r="A174" s="53" t="s">
        <v>84</v>
      </c>
      <c r="B174" s="35">
        <v>110</v>
      </c>
      <c r="D174" s="60"/>
      <c r="G174" s="72"/>
      <c r="J174" s="44"/>
      <c r="L174" s="21"/>
    </row>
    <row r="175" spans="1:12" x14ac:dyDescent="0.2">
      <c r="B175" s="21"/>
      <c r="D175" s="60"/>
      <c r="G175" s="72"/>
      <c r="L175" s="21"/>
    </row>
    <row r="176" spans="1:12" x14ac:dyDescent="0.2">
      <c r="A176" s="22" t="s">
        <v>34</v>
      </c>
      <c r="D176" s="60"/>
      <c r="F176" s="70"/>
      <c r="G176" s="71"/>
      <c r="L176" s="21"/>
    </row>
    <row r="177" spans="1:12" x14ac:dyDescent="0.2">
      <c r="A177" s="53" t="s">
        <v>38</v>
      </c>
      <c r="B177" s="35">
        <v>4000</v>
      </c>
      <c r="D177" s="60" t="s">
        <v>94</v>
      </c>
      <c r="F177" s="70" t="s">
        <v>85</v>
      </c>
      <c r="G177" s="71">
        <f>IFERROR(NPER(B178/12,-B179,B177),"")</f>
        <v>102.42032525150438</v>
      </c>
      <c r="L177" s="21"/>
    </row>
    <row r="178" spans="1:12" x14ac:dyDescent="0.2">
      <c r="A178" s="53" t="s">
        <v>83</v>
      </c>
      <c r="B178" s="36">
        <v>0.06</v>
      </c>
      <c r="D178" s="60"/>
      <c r="F178" s="70" t="s">
        <v>86</v>
      </c>
      <c r="G178" s="71">
        <f>IFERROR(G177/12,"")</f>
        <v>8.5350271042920323</v>
      </c>
      <c r="L178" s="21"/>
    </row>
    <row r="179" spans="1:12" x14ac:dyDescent="0.2">
      <c r="A179" s="53" t="s">
        <v>84</v>
      </c>
      <c r="B179" s="35">
        <v>50</v>
      </c>
      <c r="D179" s="60"/>
      <c r="E179" s="66"/>
      <c r="L179" s="21"/>
    </row>
    <row r="180" spans="1:12" x14ac:dyDescent="0.2">
      <c r="D180" s="60"/>
      <c r="E180" s="66"/>
      <c r="L180" s="21"/>
    </row>
    <row r="181" spans="1:12" x14ac:dyDescent="0.2">
      <c r="A181" s="78" t="s">
        <v>130</v>
      </c>
      <c r="B181" s="79"/>
      <c r="D181" s="60"/>
      <c r="L181" s="21"/>
    </row>
    <row r="182" spans="1:12" x14ac:dyDescent="0.2">
      <c r="B182" s="34"/>
      <c r="L182" s="21"/>
    </row>
    <row r="183" spans="1:12" s="19" customFormat="1" x14ac:dyDescent="0.2">
      <c r="A183" s="22" t="s">
        <v>99</v>
      </c>
      <c r="B183" s="34"/>
      <c r="D183" s="61"/>
      <c r="E183" s="59"/>
      <c r="F183" s="69"/>
      <c r="G183" s="73"/>
    </row>
    <row r="184" spans="1:12" s="19" customFormat="1" x14ac:dyDescent="0.2">
      <c r="A184" s="53" t="s">
        <v>29</v>
      </c>
      <c r="B184" s="39" t="s">
        <v>159</v>
      </c>
      <c r="D184" s="60" t="s">
        <v>94</v>
      </c>
      <c r="E184" s="59"/>
      <c r="F184" s="69"/>
      <c r="G184" s="73"/>
    </row>
    <row r="185" spans="1:12" s="19" customFormat="1" x14ac:dyDescent="0.2">
      <c r="A185" s="53" t="s">
        <v>46</v>
      </c>
      <c r="B185" s="35">
        <v>50000</v>
      </c>
      <c r="D185" s="60" t="s">
        <v>102</v>
      </c>
      <c r="E185" s="59"/>
      <c r="F185" s="69"/>
      <c r="G185" s="73"/>
    </row>
    <row r="186" spans="1:12" s="19" customFormat="1" x14ac:dyDescent="0.2">
      <c r="A186" s="53" t="s">
        <v>6</v>
      </c>
      <c r="B186" s="38">
        <v>2035</v>
      </c>
      <c r="D186" s="61"/>
      <c r="E186" s="59"/>
      <c r="F186" s="69"/>
      <c r="G186" s="73"/>
    </row>
    <row r="187" spans="1:12" s="19" customFormat="1" x14ac:dyDescent="0.2">
      <c r="A187" s="22"/>
      <c r="B187" s="34"/>
      <c r="D187" s="61"/>
      <c r="E187" s="59"/>
      <c r="F187" s="69"/>
      <c r="G187" s="73"/>
    </row>
    <row r="188" spans="1:12" s="19" customFormat="1" x14ac:dyDescent="0.2">
      <c r="A188" s="22" t="s">
        <v>100</v>
      </c>
      <c r="B188" s="34"/>
      <c r="D188" s="61"/>
      <c r="E188" s="59"/>
      <c r="F188" s="69"/>
      <c r="G188" s="73"/>
    </row>
    <row r="189" spans="1:12" s="19" customFormat="1" x14ac:dyDescent="0.2">
      <c r="A189" s="53" t="s">
        <v>29</v>
      </c>
      <c r="B189" s="39" t="s">
        <v>160</v>
      </c>
      <c r="D189" s="60" t="s">
        <v>94</v>
      </c>
      <c r="E189" s="59"/>
      <c r="F189" s="69"/>
      <c r="G189" s="73"/>
    </row>
    <row r="190" spans="1:12" s="19" customFormat="1" x14ac:dyDescent="0.2">
      <c r="A190" s="53" t="s">
        <v>46</v>
      </c>
      <c r="B190" s="35">
        <v>10000</v>
      </c>
      <c r="D190" s="60" t="s">
        <v>102</v>
      </c>
      <c r="E190" s="59"/>
      <c r="F190" s="69"/>
      <c r="G190" s="73"/>
    </row>
    <row r="191" spans="1:12" s="19" customFormat="1" x14ac:dyDescent="0.2">
      <c r="A191" s="53" t="s">
        <v>6</v>
      </c>
      <c r="B191" s="38">
        <v>2029</v>
      </c>
      <c r="D191" s="61"/>
      <c r="E191" s="59"/>
      <c r="F191" s="69"/>
      <c r="G191" s="73"/>
    </row>
    <row r="192" spans="1:12" s="19" customFormat="1" x14ac:dyDescent="0.2">
      <c r="A192" s="22"/>
      <c r="B192" s="34"/>
      <c r="D192" s="61"/>
      <c r="E192" s="59"/>
      <c r="F192" s="69"/>
      <c r="G192" s="73"/>
    </row>
    <row r="193" spans="1:12" s="19" customFormat="1" x14ac:dyDescent="0.2">
      <c r="A193" s="22" t="s">
        <v>101</v>
      </c>
      <c r="B193" s="34"/>
      <c r="D193" s="61"/>
      <c r="E193" s="59"/>
      <c r="F193" s="69"/>
      <c r="G193" s="73"/>
    </row>
    <row r="194" spans="1:12" s="19" customFormat="1" x14ac:dyDescent="0.2">
      <c r="A194" s="53" t="s">
        <v>29</v>
      </c>
      <c r="B194" s="39" t="s">
        <v>161</v>
      </c>
      <c r="D194" s="60" t="s">
        <v>94</v>
      </c>
      <c r="E194" s="59"/>
      <c r="F194" s="69"/>
      <c r="G194" s="73"/>
    </row>
    <row r="195" spans="1:12" s="19" customFormat="1" x14ac:dyDescent="0.2">
      <c r="A195" s="53" t="s">
        <v>46</v>
      </c>
      <c r="B195" s="35">
        <v>5000</v>
      </c>
      <c r="D195" s="60" t="s">
        <v>102</v>
      </c>
      <c r="E195" s="59"/>
      <c r="F195" s="69"/>
      <c r="G195" s="73"/>
    </row>
    <row r="196" spans="1:12" s="19" customFormat="1" x14ac:dyDescent="0.2">
      <c r="A196" s="53" t="s">
        <v>6</v>
      </c>
      <c r="B196" s="38">
        <v>2032</v>
      </c>
      <c r="D196" s="61"/>
      <c r="E196" s="59"/>
      <c r="F196" s="69"/>
      <c r="G196" s="73"/>
    </row>
    <row r="197" spans="1:12" s="19" customFormat="1" x14ac:dyDescent="0.2">
      <c r="A197" s="22"/>
      <c r="B197" s="34"/>
      <c r="D197" s="61"/>
      <c r="E197" s="59"/>
      <c r="F197" s="69"/>
      <c r="G197" s="73"/>
    </row>
    <row r="198" spans="1:12" x14ac:dyDescent="0.2">
      <c r="A198" s="78" t="s">
        <v>129</v>
      </c>
      <c r="B198" s="80"/>
      <c r="L198" s="21"/>
    </row>
    <row r="199" spans="1:12" x14ac:dyDescent="0.2">
      <c r="A199" s="53"/>
      <c r="B199" s="34"/>
      <c r="L199" s="21"/>
    </row>
    <row r="200" spans="1:12" s="19" customFormat="1" x14ac:dyDescent="0.2">
      <c r="A200" s="22" t="s">
        <v>103</v>
      </c>
      <c r="B200" s="34"/>
      <c r="D200" s="61"/>
      <c r="E200" s="59"/>
      <c r="F200" s="69"/>
      <c r="G200" s="73"/>
    </row>
    <row r="201" spans="1:12" s="19" customFormat="1" x14ac:dyDescent="0.2">
      <c r="A201" s="53" t="s">
        <v>29</v>
      </c>
      <c r="B201" s="39" t="s">
        <v>154</v>
      </c>
      <c r="D201" s="60" t="s">
        <v>94</v>
      </c>
      <c r="E201" s="59"/>
      <c r="F201" s="69"/>
      <c r="G201" s="73"/>
    </row>
    <row r="202" spans="1:12" s="19" customFormat="1" x14ac:dyDescent="0.2">
      <c r="A202" s="53" t="s">
        <v>46</v>
      </c>
      <c r="B202" s="35">
        <v>40000</v>
      </c>
      <c r="D202" s="60" t="s">
        <v>102</v>
      </c>
      <c r="E202" s="59"/>
      <c r="F202" s="69"/>
      <c r="G202" s="73"/>
    </row>
    <row r="203" spans="1:12" s="19" customFormat="1" x14ac:dyDescent="0.2">
      <c r="A203" s="53" t="s">
        <v>6</v>
      </c>
      <c r="B203" s="38">
        <v>2036</v>
      </c>
      <c r="D203" s="61"/>
      <c r="E203" s="59"/>
      <c r="F203" s="69"/>
      <c r="G203" s="73"/>
    </row>
    <row r="204" spans="1:12" s="19" customFormat="1" x14ac:dyDescent="0.2">
      <c r="A204" s="22"/>
      <c r="B204" s="34"/>
      <c r="D204" s="61"/>
      <c r="E204" s="59"/>
      <c r="F204" s="69"/>
      <c r="G204" s="73"/>
    </row>
    <row r="205" spans="1:12" s="19" customFormat="1" x14ac:dyDescent="0.2">
      <c r="A205" s="22" t="s">
        <v>104</v>
      </c>
      <c r="B205" s="34"/>
      <c r="D205" s="61"/>
      <c r="E205" s="59"/>
      <c r="F205" s="69"/>
      <c r="G205" s="73"/>
    </row>
    <row r="206" spans="1:12" s="19" customFormat="1" x14ac:dyDescent="0.2">
      <c r="A206" s="53" t="s">
        <v>29</v>
      </c>
      <c r="B206" s="39" t="s">
        <v>162</v>
      </c>
      <c r="D206" s="60" t="s">
        <v>94</v>
      </c>
      <c r="E206" s="59"/>
      <c r="F206" s="69"/>
      <c r="G206" s="73"/>
    </row>
    <row r="207" spans="1:12" s="19" customFormat="1" x14ac:dyDescent="0.2">
      <c r="A207" s="53" t="s">
        <v>46</v>
      </c>
      <c r="B207" s="35">
        <v>35000</v>
      </c>
      <c r="D207" s="60" t="s">
        <v>102</v>
      </c>
      <c r="E207" s="59"/>
      <c r="F207" s="69"/>
      <c r="G207" s="73"/>
    </row>
    <row r="208" spans="1:12" s="19" customFormat="1" x14ac:dyDescent="0.2">
      <c r="A208" s="53" t="s">
        <v>6</v>
      </c>
      <c r="B208" s="38">
        <v>2029</v>
      </c>
      <c r="D208" s="61"/>
      <c r="E208" s="59"/>
      <c r="F208" s="69"/>
      <c r="G208" s="73"/>
    </row>
    <row r="209" spans="1:12" x14ac:dyDescent="0.2">
      <c r="B209" s="34"/>
      <c r="L209" s="21"/>
    </row>
    <row r="210" spans="1:12" x14ac:dyDescent="0.2">
      <c r="A210" s="22" t="s">
        <v>105</v>
      </c>
      <c r="B210" s="34"/>
      <c r="L210" s="21"/>
    </row>
    <row r="211" spans="1:12" x14ac:dyDescent="0.2">
      <c r="A211" s="53" t="s">
        <v>29</v>
      </c>
      <c r="B211" s="39" t="s">
        <v>163</v>
      </c>
      <c r="D211" s="60" t="s">
        <v>94</v>
      </c>
      <c r="L211" s="21"/>
    </row>
    <row r="212" spans="1:12" x14ac:dyDescent="0.2">
      <c r="A212" s="53" t="s">
        <v>46</v>
      </c>
      <c r="B212" s="35">
        <v>15000</v>
      </c>
      <c r="D212" s="60" t="s">
        <v>102</v>
      </c>
      <c r="L212" s="21"/>
    </row>
    <row r="213" spans="1:12" x14ac:dyDescent="0.2">
      <c r="A213" s="53" t="s">
        <v>6</v>
      </c>
      <c r="B213" s="38">
        <v>2034</v>
      </c>
      <c r="L213" s="21"/>
    </row>
    <row r="214" spans="1:12" x14ac:dyDescent="0.2">
      <c r="A214" s="53"/>
      <c r="D214" s="60"/>
      <c r="L214" s="21"/>
    </row>
    <row r="215" spans="1:12" x14ac:dyDescent="0.2">
      <c r="A215" s="78" t="s">
        <v>206</v>
      </c>
      <c r="B215" s="80"/>
      <c r="D215" s="60"/>
      <c r="L215" s="21"/>
    </row>
    <row r="216" spans="1:12" x14ac:dyDescent="0.2">
      <c r="A216" s="53"/>
      <c r="D216" s="60"/>
      <c r="L216" s="21"/>
    </row>
    <row r="217" spans="1:12" x14ac:dyDescent="0.2">
      <c r="A217" s="22" t="s">
        <v>207</v>
      </c>
      <c r="B217" s="34"/>
      <c r="D217" s="60"/>
      <c r="L217" s="21"/>
    </row>
    <row r="218" spans="1:12" x14ac:dyDescent="0.2">
      <c r="A218" s="53" t="s">
        <v>6</v>
      </c>
      <c r="B218" s="39">
        <v>2027</v>
      </c>
      <c r="D218" s="60"/>
      <c r="L218" s="21"/>
    </row>
    <row r="219" spans="1:12" x14ac:dyDescent="0.2">
      <c r="A219" s="53" t="s">
        <v>208</v>
      </c>
      <c r="B219" s="36">
        <v>0.15</v>
      </c>
      <c r="D219" s="60"/>
      <c r="E219" s="59" t="s">
        <v>212</v>
      </c>
      <c r="L219" s="21"/>
    </row>
    <row r="220" spans="1:12" x14ac:dyDescent="0.2">
      <c r="A220" s="53" t="s">
        <v>209</v>
      </c>
      <c r="B220" s="38">
        <v>1</v>
      </c>
      <c r="D220" s="60" t="s">
        <v>215</v>
      </c>
      <c r="L220" s="21"/>
    </row>
    <row r="221" spans="1:12" x14ac:dyDescent="0.2">
      <c r="A221" s="53"/>
      <c r="D221" s="60"/>
      <c r="L221" s="21"/>
    </row>
    <row r="222" spans="1:12" x14ac:dyDescent="0.2">
      <c r="A222" s="22" t="s">
        <v>210</v>
      </c>
      <c r="B222" s="34"/>
      <c r="D222" s="60"/>
      <c r="L222" s="21"/>
    </row>
    <row r="223" spans="1:12" x14ac:dyDescent="0.2">
      <c r="A223" s="53" t="s">
        <v>6</v>
      </c>
      <c r="B223" s="39">
        <v>2032</v>
      </c>
      <c r="D223" s="60"/>
      <c r="L223" s="21"/>
    </row>
    <row r="224" spans="1:12" x14ac:dyDescent="0.2">
      <c r="A224" s="53" t="s">
        <v>208</v>
      </c>
      <c r="B224" s="36">
        <v>0.2</v>
      </c>
      <c r="D224" s="60"/>
      <c r="E224" s="59" t="s">
        <v>212</v>
      </c>
      <c r="L224" s="21"/>
    </row>
    <row r="225" spans="1:12" x14ac:dyDescent="0.2">
      <c r="A225" s="53" t="s">
        <v>209</v>
      </c>
      <c r="B225" s="38">
        <v>3</v>
      </c>
      <c r="D225" s="60" t="s">
        <v>215</v>
      </c>
      <c r="L225" s="21"/>
    </row>
    <row r="226" spans="1:12" x14ac:dyDescent="0.2">
      <c r="A226" s="53"/>
      <c r="D226" s="60"/>
      <c r="L226" s="21"/>
    </row>
    <row r="227" spans="1:12" x14ac:dyDescent="0.2">
      <c r="A227" s="22" t="s">
        <v>211</v>
      </c>
      <c r="B227" s="34"/>
      <c r="D227" s="60"/>
      <c r="L227" s="21"/>
    </row>
    <row r="228" spans="1:12" x14ac:dyDescent="0.2">
      <c r="A228" s="53" t="s">
        <v>6</v>
      </c>
      <c r="B228" s="39">
        <v>2037</v>
      </c>
      <c r="D228" s="60"/>
      <c r="L228" s="21"/>
    </row>
    <row r="229" spans="1:12" x14ac:dyDescent="0.2">
      <c r="A229" s="53" t="s">
        <v>208</v>
      </c>
      <c r="B229" s="36">
        <v>0.08</v>
      </c>
      <c r="D229" s="60"/>
      <c r="E229" s="59" t="s">
        <v>212</v>
      </c>
      <c r="L229" s="21"/>
    </row>
    <row r="230" spans="1:12" x14ac:dyDescent="0.2">
      <c r="A230" s="53" t="s">
        <v>209</v>
      </c>
      <c r="B230" s="38">
        <v>3</v>
      </c>
      <c r="D230" s="60" t="s">
        <v>215</v>
      </c>
      <c r="L230" s="21"/>
    </row>
    <row r="231" spans="1:12" x14ac:dyDescent="0.2">
      <c r="A231" s="53"/>
      <c r="D231" s="60"/>
      <c r="L231" s="21"/>
    </row>
    <row r="232" spans="1:12" x14ac:dyDescent="0.2">
      <c r="A232" s="22" t="s">
        <v>213</v>
      </c>
      <c r="B232" s="34"/>
      <c r="D232" s="60"/>
      <c r="L232" s="21"/>
    </row>
    <row r="233" spans="1:12" x14ac:dyDescent="0.2">
      <c r="A233" s="53" t="s">
        <v>6</v>
      </c>
      <c r="B233" s="39">
        <v>2045</v>
      </c>
      <c r="D233" s="60"/>
      <c r="L233" s="21"/>
    </row>
    <row r="234" spans="1:12" x14ac:dyDescent="0.2">
      <c r="A234" s="53" t="s">
        <v>208</v>
      </c>
      <c r="B234" s="36">
        <v>0.18</v>
      </c>
      <c r="D234" s="60"/>
      <c r="E234" s="59" t="s">
        <v>212</v>
      </c>
      <c r="L234" s="21"/>
    </row>
    <row r="235" spans="1:12" x14ac:dyDescent="0.2">
      <c r="A235" s="53" t="s">
        <v>209</v>
      </c>
      <c r="B235" s="38">
        <v>2</v>
      </c>
      <c r="D235" s="60" t="s">
        <v>215</v>
      </c>
      <c r="L235" s="21"/>
    </row>
    <row r="236" spans="1:12" x14ac:dyDescent="0.2">
      <c r="A236" s="53"/>
      <c r="D236" s="60"/>
      <c r="L236" s="21"/>
    </row>
    <row r="237" spans="1:12" x14ac:dyDescent="0.2">
      <c r="A237" s="22" t="s">
        <v>214</v>
      </c>
      <c r="B237" s="34"/>
      <c r="D237" s="60"/>
      <c r="L237" s="21"/>
    </row>
    <row r="238" spans="1:12" x14ac:dyDescent="0.2">
      <c r="A238" s="53" t="s">
        <v>6</v>
      </c>
      <c r="B238" s="39">
        <v>2050</v>
      </c>
      <c r="D238" s="60"/>
      <c r="L238" s="21"/>
    </row>
    <row r="239" spans="1:12" x14ac:dyDescent="0.2">
      <c r="A239" s="53" t="s">
        <v>208</v>
      </c>
      <c r="B239" s="36">
        <v>0.28000000000000003</v>
      </c>
      <c r="D239" s="60"/>
      <c r="E239" s="59" t="s">
        <v>212</v>
      </c>
      <c r="L239" s="21"/>
    </row>
    <row r="240" spans="1:12" x14ac:dyDescent="0.2">
      <c r="A240" s="53" t="s">
        <v>209</v>
      </c>
      <c r="B240" s="38">
        <v>6</v>
      </c>
      <c r="D240" s="60" t="s">
        <v>215</v>
      </c>
      <c r="L240" s="21"/>
    </row>
    <row r="241" spans="1:12" x14ac:dyDescent="0.2">
      <c r="A241" s="53"/>
      <c r="D241" s="60"/>
      <c r="L241" s="21"/>
    </row>
    <row r="242" spans="1:12" ht="19" x14ac:dyDescent="0.25">
      <c r="A242" s="81" t="s">
        <v>111</v>
      </c>
      <c r="B242" s="82"/>
      <c r="C242" s="87" t="s">
        <v>139</v>
      </c>
      <c r="D242" s="60"/>
      <c r="E242" s="59" t="s">
        <v>141</v>
      </c>
      <c r="L242" s="21"/>
    </row>
    <row r="243" spans="1:12" x14ac:dyDescent="0.2">
      <c r="D243" s="60"/>
      <c r="L243" s="21"/>
    </row>
    <row r="244" spans="1:12" x14ac:dyDescent="0.2">
      <c r="A244" s="18" t="s">
        <v>39</v>
      </c>
      <c r="B244" s="35">
        <v>85</v>
      </c>
      <c r="C244" s="46">
        <v>85</v>
      </c>
      <c r="L244" s="21"/>
    </row>
    <row r="245" spans="1:12" x14ac:dyDescent="0.2">
      <c r="A245" s="18"/>
      <c r="C245" s="19"/>
      <c r="D245" s="60"/>
      <c r="L245" s="21"/>
    </row>
    <row r="246" spans="1:12" s="19" customFormat="1" x14ac:dyDescent="0.2">
      <c r="A246" s="18" t="s">
        <v>57</v>
      </c>
      <c r="D246" s="61"/>
      <c r="E246" s="59"/>
      <c r="F246" s="69"/>
      <c r="G246" s="73"/>
    </row>
    <row r="247" spans="1:12" s="19" customFormat="1" x14ac:dyDescent="0.2">
      <c r="A247" s="22" t="s">
        <v>67</v>
      </c>
      <c r="B247" s="40">
        <v>0</v>
      </c>
      <c r="C247" s="47">
        <v>0</v>
      </c>
      <c r="D247" s="62" t="s">
        <v>4</v>
      </c>
      <c r="E247" s="59"/>
      <c r="F247" s="69"/>
      <c r="G247" s="73"/>
    </row>
    <row r="248" spans="1:12" s="19" customFormat="1" x14ac:dyDescent="0.2">
      <c r="A248" s="22" t="s">
        <v>55</v>
      </c>
      <c r="B248" s="40">
        <v>-0.1</v>
      </c>
      <c r="C248" s="47">
        <v>-0.1</v>
      </c>
      <c r="D248" s="62" t="s">
        <v>4</v>
      </c>
      <c r="E248" s="59"/>
      <c r="F248" s="69"/>
      <c r="G248" s="73"/>
    </row>
    <row r="249" spans="1:12" s="19" customFormat="1" x14ac:dyDescent="0.2">
      <c r="A249" s="22" t="s">
        <v>56</v>
      </c>
      <c r="B249" s="40">
        <v>-0.2</v>
      </c>
      <c r="C249" s="47">
        <v>-0.2</v>
      </c>
      <c r="D249" s="62" t="s">
        <v>4</v>
      </c>
      <c r="E249" s="59"/>
      <c r="F249" s="69"/>
      <c r="G249" s="73"/>
    </row>
    <row r="250" spans="1:12" x14ac:dyDescent="0.2">
      <c r="C250" s="19"/>
      <c r="L250" s="21"/>
    </row>
    <row r="251" spans="1:12" x14ac:dyDescent="0.2">
      <c r="A251" s="18" t="s">
        <v>48</v>
      </c>
      <c r="B251" s="35">
        <v>12000</v>
      </c>
      <c r="C251" s="46"/>
      <c r="D251" s="60" t="s">
        <v>102</v>
      </c>
      <c r="L251" s="21"/>
    </row>
    <row r="252" spans="1:12" x14ac:dyDescent="0.2">
      <c r="A252" s="22" t="s">
        <v>118</v>
      </c>
      <c r="B252" s="35">
        <v>58</v>
      </c>
      <c r="C252" s="46"/>
      <c r="D252" s="60"/>
      <c r="L252" s="21"/>
    </row>
    <row r="253" spans="1:12" x14ac:dyDescent="0.2">
      <c r="A253" s="22" t="s">
        <v>119</v>
      </c>
      <c r="B253" s="35">
        <v>69</v>
      </c>
      <c r="C253" s="46"/>
      <c r="D253" s="60"/>
      <c r="E253" s="59" t="s">
        <v>151</v>
      </c>
      <c r="L253" s="21"/>
    </row>
    <row r="254" spans="1:12" x14ac:dyDescent="0.2">
      <c r="C254" s="19"/>
      <c r="D254" s="60"/>
      <c r="L254" s="21"/>
    </row>
    <row r="255" spans="1:12" x14ac:dyDescent="0.2">
      <c r="A255" s="18" t="s">
        <v>172</v>
      </c>
      <c r="B255" s="36">
        <v>2.5000000000000001E-2</v>
      </c>
      <c r="C255" s="48">
        <v>2.5000000000000001E-2</v>
      </c>
      <c r="L255" s="21"/>
    </row>
    <row r="256" spans="1:12" x14ac:dyDescent="0.2">
      <c r="C256" s="19"/>
      <c r="D256" s="60"/>
      <c r="L256" s="21"/>
    </row>
    <row r="257" spans="1:12" x14ac:dyDescent="0.2">
      <c r="A257" s="18" t="s">
        <v>116</v>
      </c>
      <c r="B257" s="36">
        <v>0.03</v>
      </c>
      <c r="C257" s="48">
        <v>0.03</v>
      </c>
      <c r="D257" s="60" t="s">
        <v>92</v>
      </c>
      <c r="L257" s="21"/>
    </row>
    <row r="258" spans="1:12" x14ac:dyDescent="0.2">
      <c r="C258" s="19"/>
      <c r="D258" s="60"/>
      <c r="L258" s="21"/>
    </row>
    <row r="259" spans="1:12" x14ac:dyDescent="0.2">
      <c r="A259" s="18" t="s">
        <v>112</v>
      </c>
      <c r="B259" s="41">
        <v>2.5000000000000001E-2</v>
      </c>
      <c r="C259" s="49">
        <v>2.5000000000000001E-2</v>
      </c>
      <c r="D259" s="60" t="s">
        <v>92</v>
      </c>
      <c r="L259" s="21"/>
    </row>
    <row r="260" spans="1:12" x14ac:dyDescent="0.2">
      <c r="C260" s="19"/>
      <c r="D260" s="60"/>
      <c r="L260" s="21"/>
    </row>
    <row r="261" spans="1:12" x14ac:dyDescent="0.2">
      <c r="A261" s="18" t="s">
        <v>113</v>
      </c>
      <c r="B261" s="42">
        <v>0.08</v>
      </c>
      <c r="C261" s="50">
        <v>0.08</v>
      </c>
      <c r="D261" s="60" t="s">
        <v>92</v>
      </c>
      <c r="L261" s="21"/>
    </row>
    <row r="262" spans="1:12" x14ac:dyDescent="0.2">
      <c r="C262" s="19"/>
      <c r="D262" s="60"/>
      <c r="L262" s="21"/>
    </row>
    <row r="263" spans="1:12" x14ac:dyDescent="0.2">
      <c r="A263" s="18" t="s">
        <v>115</v>
      </c>
      <c r="B263" s="40">
        <v>0.03</v>
      </c>
      <c r="C263" s="47">
        <v>0.03</v>
      </c>
      <c r="D263" s="60" t="s">
        <v>92</v>
      </c>
      <c r="L263" s="21"/>
    </row>
    <row r="264" spans="1:12" x14ac:dyDescent="0.2">
      <c r="C264" s="19"/>
      <c r="D264" s="60"/>
      <c r="L264" s="21"/>
    </row>
    <row r="265" spans="1:12" x14ac:dyDescent="0.2">
      <c r="A265" s="18" t="s">
        <v>114</v>
      </c>
      <c r="B265" s="40">
        <v>0.03</v>
      </c>
      <c r="C265" s="47">
        <v>0.03</v>
      </c>
      <c r="L265" s="21"/>
    </row>
    <row r="266" spans="1:12" x14ac:dyDescent="0.2">
      <c r="C266" s="19"/>
      <c r="D266" s="60"/>
      <c r="L266" s="21"/>
    </row>
    <row r="267" spans="1:12" ht="17" x14ac:dyDescent="0.2">
      <c r="A267" s="55" t="s">
        <v>117</v>
      </c>
      <c r="B267" s="35">
        <v>300</v>
      </c>
      <c r="C267" s="46">
        <v>300</v>
      </c>
      <c r="D267" s="60" t="s">
        <v>123</v>
      </c>
      <c r="L267" s="21"/>
    </row>
    <row r="268" spans="1:12" x14ac:dyDescent="0.2">
      <c r="A268" s="18"/>
      <c r="C268" s="19"/>
      <c r="D268" s="60"/>
      <c r="L268" s="21"/>
    </row>
    <row r="269" spans="1:12" x14ac:dyDescent="0.2">
      <c r="A269" s="18" t="s">
        <v>70</v>
      </c>
      <c r="B269" s="35">
        <v>50000</v>
      </c>
      <c r="C269" s="46">
        <v>20000</v>
      </c>
      <c r="D269" s="60" t="s">
        <v>122</v>
      </c>
      <c r="L269" s="21"/>
    </row>
    <row r="270" spans="1:12" x14ac:dyDescent="0.2">
      <c r="C270" s="19"/>
      <c r="D270" s="60"/>
      <c r="L270" s="21"/>
    </row>
    <row r="271" spans="1:12" x14ac:dyDescent="0.2">
      <c r="A271" s="18" t="s">
        <v>176</v>
      </c>
      <c r="B271" s="35">
        <v>1000000</v>
      </c>
      <c r="C271" s="46">
        <v>0</v>
      </c>
      <c r="D271" s="60" t="s">
        <v>177</v>
      </c>
      <c r="L271" s="21"/>
    </row>
    <row r="272" spans="1:12" x14ac:dyDescent="0.2">
      <c r="C272" s="19"/>
      <c r="D272" s="60"/>
      <c r="L272" s="21"/>
    </row>
    <row r="273" spans="1:13" x14ac:dyDescent="0.2">
      <c r="A273" s="18" t="s">
        <v>125</v>
      </c>
      <c r="B273" s="40">
        <v>0.05</v>
      </c>
      <c r="C273" s="47">
        <v>0.05</v>
      </c>
      <c r="D273" s="60" t="s">
        <v>124</v>
      </c>
      <c r="L273" s="21"/>
    </row>
    <row r="274" spans="1:13" x14ac:dyDescent="0.2">
      <c r="A274" s="53"/>
      <c r="C274" s="19"/>
      <c r="L274" s="21"/>
    </row>
    <row r="275" spans="1:13" x14ac:dyDescent="0.2">
      <c r="A275" s="18" t="s">
        <v>126</v>
      </c>
      <c r="B275" s="40">
        <v>0.15</v>
      </c>
      <c r="C275" s="47">
        <v>0.15</v>
      </c>
      <c r="D275" s="60" t="s">
        <v>127</v>
      </c>
      <c r="L275" s="21"/>
    </row>
    <row r="276" spans="1:13" x14ac:dyDescent="0.2">
      <c r="C276" s="19"/>
      <c r="L276" s="21"/>
      <c r="M276" s="19"/>
    </row>
    <row r="277" spans="1:13" x14ac:dyDescent="0.2">
      <c r="A277" s="18" t="s">
        <v>201</v>
      </c>
      <c r="B277" s="40">
        <v>0.02</v>
      </c>
      <c r="C277" s="47">
        <v>0.02</v>
      </c>
      <c r="D277" s="60" t="s">
        <v>202</v>
      </c>
      <c r="L277" s="21"/>
      <c r="M277" s="19"/>
    </row>
    <row r="278" spans="1:13" x14ac:dyDescent="0.2">
      <c r="C278" s="19"/>
      <c r="L278" s="21"/>
      <c r="M278" s="19"/>
    </row>
    <row r="279" spans="1:13" ht="17" x14ac:dyDescent="0.2">
      <c r="A279" s="55" t="s">
        <v>193</v>
      </c>
      <c r="C279" s="19"/>
      <c r="D279" s="63"/>
      <c r="L279" s="21"/>
      <c r="M279" s="19"/>
    </row>
    <row r="280" spans="1:13" x14ac:dyDescent="0.2">
      <c r="A280" s="56" t="str">
        <f>B60</f>
        <v>Sliema</v>
      </c>
      <c r="B280" s="43">
        <v>10</v>
      </c>
      <c r="C280" s="19">
        <f>IF(F280&lt;=0,"",_xlfn.RANK.EQ(F280,$F$280:$F$289,1)-COUNTIF($F$280:$F$289,0))</f>
        <v>10</v>
      </c>
      <c r="D280" s="60" t="s">
        <v>128</v>
      </c>
      <c r="F280" s="73">
        <f>B61</f>
        <v>300000</v>
      </c>
      <c r="L280" s="21"/>
    </row>
    <row r="281" spans="1:13" x14ac:dyDescent="0.2">
      <c r="A281" s="56" t="str">
        <f>B65</f>
        <v>Gzira</v>
      </c>
      <c r="B281" s="43">
        <v>7</v>
      </c>
      <c r="C281" s="19">
        <f t="shared" ref="C281:C289" si="0">IF(F281&lt;=0,"",_xlfn.RANK.EQ(F281,$F$280:$F$289,1)-COUNTIF($F$280:$F$289,0))</f>
        <v>7</v>
      </c>
      <c r="D281" s="64"/>
      <c r="F281" s="73">
        <f>B66</f>
        <v>150000</v>
      </c>
      <c r="L281" s="21"/>
    </row>
    <row r="282" spans="1:13" x14ac:dyDescent="0.2">
      <c r="A282" s="56" t="str">
        <f>B70</f>
        <v>Qormi</v>
      </c>
      <c r="B282" s="43">
        <v>9</v>
      </c>
      <c r="C282" s="19">
        <f t="shared" si="0"/>
        <v>9</v>
      </c>
      <c r="D282" s="64"/>
      <c r="F282" s="73">
        <f>B71</f>
        <v>220000</v>
      </c>
      <c r="L282" s="21"/>
    </row>
    <row r="283" spans="1:13" x14ac:dyDescent="0.2">
      <c r="A283" s="56" t="str">
        <f>B75</f>
        <v>Gudja</v>
      </c>
      <c r="B283" s="43">
        <v>4</v>
      </c>
      <c r="C283" s="19">
        <f t="shared" si="0"/>
        <v>4</v>
      </c>
      <c r="D283" s="64"/>
      <c r="F283" s="74">
        <f>B76</f>
        <v>80000</v>
      </c>
      <c r="L283" s="21"/>
    </row>
    <row r="284" spans="1:13" x14ac:dyDescent="0.2">
      <c r="A284" s="56" t="str">
        <f>B80</f>
        <v>Marsa</v>
      </c>
      <c r="B284" s="43">
        <v>6</v>
      </c>
      <c r="C284" s="19">
        <f t="shared" si="0"/>
        <v>6</v>
      </c>
      <c r="D284" s="64"/>
      <c r="F284" s="74">
        <f>B81</f>
        <v>120000</v>
      </c>
      <c r="L284" s="21"/>
    </row>
    <row r="285" spans="1:13" x14ac:dyDescent="0.2">
      <c r="A285" s="56" t="str">
        <f>B87</f>
        <v>Jewelry</v>
      </c>
      <c r="B285" s="43">
        <v>3</v>
      </c>
      <c r="C285" s="19">
        <f t="shared" si="0"/>
        <v>3</v>
      </c>
      <c r="D285" s="64"/>
      <c r="F285" s="74">
        <f>B88</f>
        <v>50000</v>
      </c>
      <c r="L285" s="21"/>
    </row>
    <row r="286" spans="1:13" x14ac:dyDescent="0.2">
      <c r="A286" s="56" t="str">
        <f>B92</f>
        <v>Car</v>
      </c>
      <c r="B286" s="43">
        <v>2</v>
      </c>
      <c r="C286" s="19">
        <f t="shared" si="0"/>
        <v>2</v>
      </c>
      <c r="D286" s="64"/>
      <c r="F286" s="74">
        <f>B93</f>
        <v>40000</v>
      </c>
      <c r="L286" s="21"/>
    </row>
    <row r="287" spans="1:13" x14ac:dyDescent="0.2">
      <c r="A287" s="56" t="str">
        <f>B97</f>
        <v>Painting</v>
      </c>
      <c r="B287" s="43">
        <v>1</v>
      </c>
      <c r="C287" s="19">
        <f t="shared" si="0"/>
        <v>1</v>
      </c>
      <c r="D287" s="64"/>
      <c r="F287" s="74">
        <f>B98</f>
        <v>20000</v>
      </c>
      <c r="L287" s="21"/>
    </row>
    <row r="288" spans="1:13" x14ac:dyDescent="0.2">
      <c r="A288" s="56" t="str">
        <f>B102</f>
        <v>Boat</v>
      </c>
      <c r="B288" s="43">
        <v>8</v>
      </c>
      <c r="C288" s="19">
        <f t="shared" si="0"/>
        <v>8</v>
      </c>
      <c r="D288" s="64"/>
      <c r="F288" s="74">
        <f>B103</f>
        <v>180000</v>
      </c>
      <c r="L288" s="21"/>
    </row>
    <row r="289" spans="1:12" x14ac:dyDescent="0.2">
      <c r="A289" s="56" t="str">
        <f>B107</f>
        <v>Antiques</v>
      </c>
      <c r="B289" s="43">
        <v>5</v>
      </c>
      <c r="C289" s="19">
        <f t="shared" si="0"/>
        <v>5</v>
      </c>
      <c r="D289" s="64"/>
      <c r="F289" s="74">
        <f>B108</f>
        <v>82000</v>
      </c>
      <c r="L289" s="21"/>
    </row>
    <row r="290" spans="1:12" x14ac:dyDescent="0.2">
      <c r="A290" s="75"/>
      <c r="B290" s="33"/>
      <c r="C290" s="76"/>
      <c r="L290" s="21"/>
    </row>
    <row r="291" spans="1:12" x14ac:dyDescent="0.2">
      <c r="L291" s="21"/>
    </row>
    <row r="292" spans="1:12" x14ac:dyDescent="0.2">
      <c r="A292" s="34" t="s">
        <v>173</v>
      </c>
      <c r="B292" s="19">
        <f ca="1">13-MONTH(TODAY())</f>
        <v>10</v>
      </c>
      <c r="D292" s="21"/>
      <c r="L292" s="21"/>
    </row>
    <row r="293" spans="1:12" x14ac:dyDescent="0.2">
      <c r="A293" s="34" t="s">
        <v>174</v>
      </c>
      <c r="B293" s="19">
        <f ca="1">B292-12</f>
        <v>-2</v>
      </c>
      <c r="L293" s="21"/>
    </row>
    <row r="294" spans="1:12" x14ac:dyDescent="0.2">
      <c r="A294" s="34" t="s">
        <v>175</v>
      </c>
      <c r="B294" s="77">
        <f ca="1">B292/12</f>
        <v>0.83333333333333337</v>
      </c>
      <c r="L294" s="21"/>
    </row>
    <row r="295" spans="1:12" x14ac:dyDescent="0.2">
      <c r="A295" s="34"/>
      <c r="L295" s="21"/>
    </row>
    <row r="296" spans="1:12" x14ac:dyDescent="0.2">
      <c r="A296" s="34" t="s">
        <v>203</v>
      </c>
      <c r="B296" s="19" t="s">
        <v>24</v>
      </c>
      <c r="C296" s="19" t="s">
        <v>204</v>
      </c>
    </row>
    <row r="297" spans="1:12" x14ac:dyDescent="0.2">
      <c r="A297" s="90" t="str">
        <f>A280</f>
        <v>Sliema</v>
      </c>
      <c r="B297" s="89">
        <f>princ</f>
        <v>0.03</v>
      </c>
      <c r="C297" s="89" cm="1">
        <f t="array" ref="C297">DCprop</f>
        <v>0.15</v>
      </c>
    </row>
    <row r="298" spans="1:12" x14ac:dyDescent="0.2">
      <c r="A298" s="90" t="str">
        <f t="shared" ref="A298:A306" si="1">A281</f>
        <v>Gzira</v>
      </c>
      <c r="B298" s="89">
        <f>princ</f>
        <v>0.03</v>
      </c>
      <c r="C298" s="89" cm="1">
        <f t="array" ref="C298">DCprop</f>
        <v>0.15</v>
      </c>
    </row>
    <row r="299" spans="1:12" x14ac:dyDescent="0.2">
      <c r="A299" s="90" t="str">
        <f t="shared" si="1"/>
        <v>Qormi</v>
      </c>
      <c r="B299" s="89">
        <f>princ</f>
        <v>0.03</v>
      </c>
      <c r="C299" s="89" cm="1">
        <f t="array" ref="C299">DCprop</f>
        <v>0.15</v>
      </c>
    </row>
    <row r="300" spans="1:12" x14ac:dyDescent="0.2">
      <c r="A300" s="90" t="str">
        <f t="shared" si="1"/>
        <v>Gudja</v>
      </c>
      <c r="B300" s="89">
        <f>princ</f>
        <v>0.03</v>
      </c>
      <c r="C300" s="89" cm="1">
        <f t="array" ref="C300">DCprop</f>
        <v>0.15</v>
      </c>
    </row>
    <row r="301" spans="1:12" x14ac:dyDescent="0.2">
      <c r="A301" s="90" t="str">
        <f t="shared" si="1"/>
        <v>Marsa</v>
      </c>
      <c r="B301" s="89">
        <f>princ</f>
        <v>0.03</v>
      </c>
      <c r="C301" s="89" cm="1">
        <f t="array" ref="C301">DCprop</f>
        <v>0.15</v>
      </c>
    </row>
    <row r="302" spans="1:12" x14ac:dyDescent="0.2">
      <c r="A302" s="90" t="str">
        <f t="shared" si="1"/>
        <v>Jewelry</v>
      </c>
      <c r="B302" s="89">
        <f>A1inc</f>
        <v>0.02</v>
      </c>
      <c r="C302" s="89">
        <f>DCoth</f>
        <v>0.02</v>
      </c>
    </row>
    <row r="303" spans="1:12" x14ac:dyDescent="0.2">
      <c r="A303" s="90" t="str">
        <f t="shared" si="1"/>
        <v>Car</v>
      </c>
      <c r="B303" s="89">
        <f>A2inc</f>
        <v>-0.05</v>
      </c>
      <c r="C303" s="89">
        <f>DCoth</f>
        <v>0.02</v>
      </c>
    </row>
    <row r="304" spans="1:12" x14ac:dyDescent="0.2">
      <c r="A304" s="90" t="str">
        <f t="shared" si="1"/>
        <v>Painting</v>
      </c>
      <c r="B304" s="89">
        <f>A3inc</f>
        <v>0.03</v>
      </c>
      <c r="C304" s="89">
        <f>DCoth</f>
        <v>0.02</v>
      </c>
    </row>
    <row r="305" spans="1:3" x14ac:dyDescent="0.2">
      <c r="A305" s="90" t="str">
        <f t="shared" si="1"/>
        <v>Boat</v>
      </c>
      <c r="B305" s="89">
        <f>A4inc</f>
        <v>-0.05</v>
      </c>
      <c r="C305" s="89">
        <f>DCoth</f>
        <v>0.02</v>
      </c>
    </row>
    <row r="306" spans="1:3" x14ac:dyDescent="0.2">
      <c r="A306" s="90" t="str">
        <f t="shared" si="1"/>
        <v>Antiques</v>
      </c>
      <c r="B306" s="89">
        <f>A5inc</f>
        <v>0.02</v>
      </c>
      <c r="C306" s="89">
        <f>DCoth</f>
        <v>0.02</v>
      </c>
    </row>
    <row r="307" spans="1:3" x14ac:dyDescent="0.2">
      <c r="A307" s="88"/>
    </row>
    <row r="308" spans="1:3" x14ac:dyDescent="0.2">
      <c r="A308" s="88"/>
    </row>
    <row r="309" spans="1:3" x14ac:dyDescent="0.2">
      <c r="A309" s="88"/>
    </row>
  </sheetData>
  <phoneticPr fontId="4" type="noConversion"/>
  <dataValidations disablePrompts="1" count="6">
    <dataValidation type="list" allowBlank="1" showInputMessage="1" showErrorMessage="1" sqref="B280:B289" xr:uid="{1C76E72A-4A74-9342-9CD6-96E686486B37}">
      <formula1>"0,1,2,3"</formula1>
    </dataValidation>
    <dataValidation type="whole" allowBlank="1" showInputMessage="1" showErrorMessage="1" sqref="B4:C4" xr:uid="{CEBCBBEB-61E4-314B-B9D6-B93D3329E6F5}">
      <formula1>18</formula1>
      <formula2>100</formula2>
    </dataValidation>
    <dataValidation type="decimal" allowBlank="1" showInputMessage="1" showErrorMessage="1" sqref="B257:C257" xr:uid="{A76CC167-ADB1-954D-BA8F-57DA6856622B}">
      <formula1>0</formula1>
      <formula2>0.5</formula2>
    </dataValidation>
    <dataValidation type="whole" allowBlank="1" showInputMessage="1" showErrorMessage="1" sqref="B35:C35 B40:C40 B45:C45 B50:C50 B55:C55" xr:uid="{A3B04CD6-6A0C-9D4A-960A-19DFAACFBC84}">
      <formula1>1</formula1>
      <formula2>99</formula2>
    </dataValidation>
    <dataValidation type="custom" allowBlank="1" showInputMessage="1" showErrorMessage="1" sqref="C244" xr:uid="{78711C78-86C7-AC4E-B0D1-FA577F555676}">
      <formula1>AND(C244&gt;I4,C244&lt;=100)</formula1>
    </dataValidation>
    <dataValidation type="custom" allowBlank="1" showInputMessage="1" showErrorMessage="1" sqref="B244" xr:uid="{CFCAF581-183B-7347-97B6-0AC7B0FFD5E6}">
      <formula1>AND(B244&gt;B4,B244&lt;=100)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8C7B-D167-A641-8E52-8DBE60839A73}">
  <sheetPr codeName="Sheet6">
    <tabColor theme="7" tint="0.79998168889431442"/>
  </sheetPr>
  <dimension ref="J2:AA13"/>
  <sheetViews>
    <sheetView showGridLines="0" topLeftCell="A2" zoomScale="111" zoomScaleNormal="110" workbookViewId="0"/>
  </sheetViews>
  <sheetFormatPr baseColWidth="10" defaultColWidth="11.1640625" defaultRowHeight="16" x14ac:dyDescent="0.2"/>
  <cols>
    <col min="21" max="21" width="11.5" customWidth="1"/>
    <col min="22" max="22" width="8.6640625" customWidth="1"/>
    <col min="23" max="27" width="0" hidden="1" customWidth="1"/>
  </cols>
  <sheetData>
    <row r="2" spans="10:27" ht="19" x14ac:dyDescent="0.25">
      <c r="V2" s="57" t="s">
        <v>149</v>
      </c>
      <c r="AA2" s="2" t="str">
        <f>"Retire at  "&amp;RetEarly_Engine!B3</f>
        <v>Retire at  51</v>
      </c>
    </row>
    <row r="3" spans="10:27" x14ac:dyDescent="0.2">
      <c r="V3" s="94">
        <f>RetEarly_Engine!B3</f>
        <v>51</v>
      </c>
      <c r="AA3" s="2" t="str">
        <f>"Retire at  "&amp;RetAge</f>
        <v>Retire at  65</v>
      </c>
    </row>
    <row r="4" spans="10:27" x14ac:dyDescent="0.2">
      <c r="K4" s="2"/>
      <c r="V4" s="94"/>
    </row>
    <row r="13" spans="10:27" x14ac:dyDescent="0.2">
      <c r="J13" s="13"/>
    </row>
  </sheetData>
  <mergeCells count="1">
    <mergeCell ref="V3:V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21</xdr:col>
                    <xdr:colOff>38100</xdr:colOff>
                    <xdr:row>4</xdr:row>
                    <xdr:rowOff>63500</xdr:rowOff>
                  </from>
                  <to>
                    <xdr:col>21</xdr:col>
                    <xdr:colOff>660400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D27E-B873-BD4B-AD92-1E837389CA3B}">
  <sheetPr codeName="Sheet2"/>
  <dimension ref="A1:AR525"/>
  <sheetViews>
    <sheetView zoomScale="120" zoomScaleNormal="120" workbookViewId="0">
      <pane xSplit="1" ySplit="3" topLeftCell="U360" activePane="bottomRight" state="frozen"/>
      <selection activeCell="A246" sqref="A246:XFD253"/>
      <selection pane="topRight" activeCell="A246" sqref="A246:XFD253"/>
      <selection pane="bottomLeft" activeCell="A246" sqref="A246:XFD253"/>
      <selection pane="bottomRight" activeCell="AM379" sqref="AM379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2605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I2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si="0"/>
        <v>7</v>
      </c>
      <c r="J1" s="2">
        <f t="shared" ref="J1:J3" si="1">I1+1</f>
        <v>8</v>
      </c>
      <c r="K1" s="2">
        <f t="shared" ref="K1:K3" si="2">J1+1</f>
        <v>9</v>
      </c>
      <c r="L1" s="2">
        <f t="shared" ref="L1:L3" si="3">K1+1</f>
        <v>10</v>
      </c>
      <c r="M1" s="2">
        <f t="shared" ref="M1:M3" si="4">L1+1</f>
        <v>11</v>
      </c>
      <c r="N1" s="2">
        <f t="shared" ref="N1:N3" si="5">M1+1</f>
        <v>12</v>
      </c>
      <c r="O1" s="2">
        <f t="shared" ref="O1:O3" si="6">N1+1</f>
        <v>13</v>
      </c>
      <c r="P1" s="2">
        <f t="shared" ref="P1:P3" si="7">O1+1</f>
        <v>14</v>
      </c>
      <c r="Q1" s="2">
        <f t="shared" ref="Q1:Q3" si="8">P1+1</f>
        <v>15</v>
      </c>
      <c r="R1" s="2">
        <f t="shared" ref="R1:R3" si="9">Q1+1</f>
        <v>16</v>
      </c>
      <c r="S1" s="2">
        <f t="shared" ref="S1:S3" si="10">R1+1</f>
        <v>17</v>
      </c>
      <c r="T1" s="2">
        <f t="shared" ref="T1:T3" si="11">S1+1</f>
        <v>18</v>
      </c>
      <c r="U1" s="2">
        <f t="shared" ref="U1:U3" si="12">T1+1</f>
        <v>19</v>
      </c>
      <c r="V1" s="2">
        <f t="shared" ref="V1:V3" si="13">U1+1</f>
        <v>20</v>
      </c>
      <c r="W1" s="2">
        <f t="shared" ref="W1:W3" si="14">V1+1</f>
        <v>21</v>
      </c>
      <c r="X1" s="2">
        <f t="shared" ref="X1:X3" si="15">W1+1</f>
        <v>22</v>
      </c>
      <c r="Y1" s="2">
        <f t="shared" ref="Y1:Y3" si="16">X1+1</f>
        <v>23</v>
      </c>
      <c r="Z1" s="2">
        <f t="shared" ref="Z1:Z3" si="17">Y1+1</f>
        <v>24</v>
      </c>
      <c r="AA1" s="2">
        <f t="shared" ref="AA1:AA3" si="18">Z1+1</f>
        <v>25</v>
      </c>
      <c r="AB1" s="2">
        <f t="shared" ref="AB1:AB3" si="19">AA1+1</f>
        <v>26</v>
      </c>
      <c r="AC1" s="2">
        <f t="shared" ref="AC1:AC3" si="20">AB1+1</f>
        <v>27</v>
      </c>
      <c r="AD1" s="2">
        <f t="shared" ref="AD1:AD3" si="21">AC1+1</f>
        <v>28</v>
      </c>
      <c r="AE1" s="2">
        <f t="shared" ref="AE1:AE3" si="22">AD1+1</f>
        <v>29</v>
      </c>
      <c r="AF1" s="2">
        <f t="shared" ref="AF1:AF3" si="23">AE1+1</f>
        <v>30</v>
      </c>
      <c r="AG1" s="2">
        <f t="shared" ref="AG1:AG3" si="24">AF1+1</f>
        <v>31</v>
      </c>
      <c r="AH1" s="2">
        <f t="shared" ref="AH1:AH3" si="25">AG1+1</f>
        <v>32</v>
      </c>
      <c r="AI1" s="2">
        <f t="shared" ref="AI1:AI3" si="26">AH1+1</f>
        <v>33</v>
      </c>
      <c r="AJ1" s="2">
        <f t="shared" ref="AJ1:AJ3" si="27">AI1+1</f>
        <v>34</v>
      </c>
      <c r="AK1" s="2">
        <f t="shared" ref="AK1:AK3" si="28">AJ1+1</f>
        <v>35</v>
      </c>
      <c r="AL1" s="2">
        <f t="shared" ref="AL1:AL3" si="29">AK1+1</f>
        <v>36</v>
      </c>
      <c r="AM1" s="2">
        <f t="shared" ref="AM1:AM3" si="30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0"/>
        <v>2032</v>
      </c>
      <c r="J2" s="2">
        <f t="shared" ca="1" si="1"/>
        <v>2033</v>
      </c>
      <c r="K2" s="2">
        <f t="shared" ca="1" si="2"/>
        <v>2034</v>
      </c>
      <c r="L2" s="2">
        <f t="shared" ca="1" si="3"/>
        <v>2035</v>
      </c>
      <c r="M2" s="2">
        <f t="shared" ca="1" si="4"/>
        <v>2036</v>
      </c>
      <c r="N2" s="2">
        <f t="shared" ca="1" si="5"/>
        <v>2037</v>
      </c>
      <c r="O2" s="2">
        <f t="shared" ca="1" si="6"/>
        <v>2038</v>
      </c>
      <c r="P2" s="2">
        <f t="shared" ca="1" si="7"/>
        <v>2039</v>
      </c>
      <c r="Q2" s="2">
        <f t="shared" ca="1" si="8"/>
        <v>2040</v>
      </c>
      <c r="R2" s="2">
        <f t="shared" ca="1" si="9"/>
        <v>2041</v>
      </c>
      <c r="S2" s="2">
        <f t="shared" ca="1" si="10"/>
        <v>2042</v>
      </c>
      <c r="T2" s="2">
        <f t="shared" ca="1" si="11"/>
        <v>2043</v>
      </c>
      <c r="U2" s="2">
        <f t="shared" ca="1" si="12"/>
        <v>2044</v>
      </c>
      <c r="V2" s="2">
        <f t="shared" ca="1" si="13"/>
        <v>2045</v>
      </c>
      <c r="W2" s="2">
        <f t="shared" ca="1" si="14"/>
        <v>2046</v>
      </c>
      <c r="X2" s="2">
        <f t="shared" ca="1" si="15"/>
        <v>2047</v>
      </c>
      <c r="Y2" s="2">
        <f t="shared" ca="1" si="16"/>
        <v>2048</v>
      </c>
      <c r="Z2" s="2">
        <f t="shared" ca="1" si="17"/>
        <v>2049</v>
      </c>
      <c r="AA2" s="2">
        <f t="shared" ca="1" si="18"/>
        <v>2050</v>
      </c>
      <c r="AB2" s="2">
        <f t="shared" ca="1" si="19"/>
        <v>2051</v>
      </c>
      <c r="AC2" s="2">
        <f t="shared" ca="1" si="20"/>
        <v>2052</v>
      </c>
      <c r="AD2" s="2">
        <f t="shared" ca="1" si="21"/>
        <v>2053</v>
      </c>
      <c r="AE2" s="2">
        <f t="shared" ca="1" si="22"/>
        <v>2054</v>
      </c>
      <c r="AF2" s="2">
        <f t="shared" ca="1" si="23"/>
        <v>2055</v>
      </c>
      <c r="AG2" s="2">
        <f t="shared" ca="1" si="24"/>
        <v>2056</v>
      </c>
      <c r="AH2" s="2">
        <f t="shared" ca="1" si="25"/>
        <v>2057</v>
      </c>
      <c r="AI2" s="2">
        <f t="shared" ca="1" si="26"/>
        <v>2058</v>
      </c>
      <c r="AJ2" s="2">
        <f t="shared" ca="1" si="27"/>
        <v>2059</v>
      </c>
      <c r="AK2" s="2">
        <f t="shared" ca="1" si="28"/>
        <v>2060</v>
      </c>
      <c r="AL2" s="2">
        <f t="shared" ca="1" si="29"/>
        <v>2061</v>
      </c>
      <c r="AM2" s="2">
        <f t="shared" ca="1" si="30"/>
        <v>2062</v>
      </c>
    </row>
    <row r="3" spans="1:39" x14ac:dyDescent="0.2">
      <c r="A3" s="31"/>
      <c r="B3" s="32">
        <f>Inputs!B19</f>
        <v>65</v>
      </c>
      <c r="C3" s="2">
        <f>Inputs!B4</f>
        <v>48</v>
      </c>
      <c r="D3" s="2">
        <f>C3+1</f>
        <v>49</v>
      </c>
      <c r="E3" s="2">
        <f t="shared" ref="E3:I3" si="31">D3+1</f>
        <v>50</v>
      </c>
      <c r="F3" s="2">
        <f t="shared" si="31"/>
        <v>51</v>
      </c>
      <c r="G3" s="2">
        <f t="shared" si="31"/>
        <v>52</v>
      </c>
      <c r="H3" s="2">
        <f t="shared" si="31"/>
        <v>53</v>
      </c>
      <c r="I3" s="2">
        <f t="shared" si="31"/>
        <v>54</v>
      </c>
      <c r="J3" s="2">
        <f t="shared" si="1"/>
        <v>55</v>
      </c>
      <c r="K3" s="2">
        <f t="shared" si="2"/>
        <v>56</v>
      </c>
      <c r="L3" s="2">
        <f t="shared" si="3"/>
        <v>57</v>
      </c>
      <c r="M3" s="2">
        <f t="shared" si="4"/>
        <v>58</v>
      </c>
      <c r="N3" s="2">
        <f t="shared" si="5"/>
        <v>59</v>
      </c>
      <c r="O3" s="2">
        <f t="shared" si="6"/>
        <v>60</v>
      </c>
      <c r="P3" s="2">
        <f t="shared" si="7"/>
        <v>61</v>
      </c>
      <c r="Q3" s="2">
        <f t="shared" si="8"/>
        <v>62</v>
      </c>
      <c r="R3" s="2">
        <f t="shared" si="9"/>
        <v>63</v>
      </c>
      <c r="S3" s="2">
        <f t="shared" si="10"/>
        <v>64</v>
      </c>
      <c r="T3" s="2">
        <f t="shared" si="11"/>
        <v>65</v>
      </c>
      <c r="U3" s="2">
        <f t="shared" si="12"/>
        <v>66</v>
      </c>
      <c r="V3" s="2">
        <f t="shared" si="13"/>
        <v>67</v>
      </c>
      <c r="W3" s="2">
        <f t="shared" si="14"/>
        <v>68</v>
      </c>
      <c r="X3" s="2">
        <f t="shared" si="15"/>
        <v>69</v>
      </c>
      <c r="Y3" s="2">
        <f t="shared" si="16"/>
        <v>70</v>
      </c>
      <c r="Z3" s="2">
        <f t="shared" si="17"/>
        <v>71</v>
      </c>
      <c r="AA3" s="2">
        <f t="shared" si="18"/>
        <v>72</v>
      </c>
      <c r="AB3" s="2">
        <f t="shared" si="19"/>
        <v>73</v>
      </c>
      <c r="AC3" s="2">
        <f t="shared" si="20"/>
        <v>74</v>
      </c>
      <c r="AD3" s="2">
        <f t="shared" si="21"/>
        <v>75</v>
      </c>
      <c r="AE3" s="2">
        <f t="shared" si="22"/>
        <v>76</v>
      </c>
      <c r="AF3" s="2">
        <f t="shared" si="23"/>
        <v>77</v>
      </c>
      <c r="AG3" s="2">
        <f t="shared" si="24"/>
        <v>78</v>
      </c>
      <c r="AH3" s="2">
        <f t="shared" si="25"/>
        <v>79</v>
      </c>
      <c r="AI3" s="2">
        <f t="shared" si="26"/>
        <v>80</v>
      </c>
      <c r="AJ3" s="2">
        <f t="shared" si="27"/>
        <v>81</v>
      </c>
      <c r="AK3" s="2">
        <f t="shared" si="28"/>
        <v>82</v>
      </c>
      <c r="AL3" s="2">
        <f t="shared" si="29"/>
        <v>83</v>
      </c>
      <c r="AM3" s="2">
        <f t="shared" si="30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87418.16</v>
      </c>
      <c r="G5" s="7">
        <f>IF(AND(Inputs!$B$19&gt;G3,$B$3&gt;G3),Inputs!$B$6*(1+sincr)^F1,0)</f>
        <v>90040.704799999992</v>
      </c>
      <c r="H5" s="7">
        <f>IF(AND(Inputs!$B$19&gt;H3,$B$3&gt;H3),Inputs!$B$6*(1+sincr)^G1,0)</f>
        <v>92741.925943999988</v>
      </c>
      <c r="I5" s="7">
        <f>IF(AND(Inputs!$B$19&gt;I3,$B$3&gt;I3),Inputs!$B$6*(1+sincr)^H1,0)</f>
        <v>95524.183722319998</v>
      </c>
      <c r="J5" s="7">
        <f>IF(AND(Inputs!$B$19&gt;J3,$B$3&gt;J3),Inputs!$B$6*(1+sincr)^I1,0)</f>
        <v>98389.909233989601</v>
      </c>
      <c r="K5" s="7">
        <f>IF(AND(Inputs!$B$19&gt;K3,$B$3&gt;K3),Inputs!$B$6*(1+sincr)^J1,0)</f>
        <v>101341.60651100927</v>
      </c>
      <c r="L5" s="7">
        <f>IF(AND(Inputs!$B$19&gt;L3,$B$3&gt;L3),Inputs!$B$6*(1+sincr)^K1,0)</f>
        <v>104381.85470633955</v>
      </c>
      <c r="M5" s="7">
        <f>IF(AND(Inputs!$B$19&gt;M3,$B$3&gt;M3),Inputs!$B$6*(1+sincr)^L1,0)</f>
        <v>107513.31034752974</v>
      </c>
      <c r="N5" s="7">
        <f>IF(AND(Inputs!$B$19&gt;N3,$B$3&gt;N3),Inputs!$B$6*(1+sincr)^M1,0)</f>
        <v>110738.70965795564</v>
      </c>
      <c r="O5" s="7">
        <f>IF(AND(Inputs!$B$19&gt;O3,$B$3&gt;O3),Inputs!$B$6*(1+sincr)^N1,0)</f>
        <v>114060.87094769429</v>
      </c>
      <c r="P5" s="7">
        <f>IF(AND(Inputs!$B$19&gt;P3,$B$3&gt;P3),Inputs!$B$6*(1+sincr)^O1,0)</f>
        <v>117482.69707612511</v>
      </c>
      <c r="Q5" s="7">
        <f>IF(AND(Inputs!$B$19&gt;Q3,$B$3&gt;Q3),Inputs!$B$6*(1+sincr)^P1,0)</f>
        <v>121007.17798840888</v>
      </c>
      <c r="R5" s="7">
        <f>IF(AND(Inputs!$B$19&gt;R3,$B$3&gt;R3),Inputs!$B$6*(1+sincr)^Q1,0)</f>
        <v>124637.39332806115</v>
      </c>
      <c r="S5" s="7">
        <f>IF(AND(Inputs!$B$19&gt;S3,$B$3&gt;S3),Inputs!$B$6*(1+sincr)^R1,0)</f>
        <v>128376.51512790297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IF(C$3&lt;=Inputs!$B$120,Inputs!$B$119,0)*(1+inf)^B$1*ProRate</f>
        <v>1666.6666666666667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64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Inputs!B114*ProRate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Inputs!B115*ProRate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Inputs!B116*ProRate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Inputs!B117*ProRate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73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74</v>
      </c>
      <c r="B14" s="8"/>
      <c r="C14" s="7">
        <f ca="1">MIN(0,MAX(-IF(C13=0,0,(Inputs!$B$19-INDEX(3:3,MATCH(0,5:5,0))))*Inputs!$B$267*(1+inf)^B$1*ProRate,-C13))</f>
        <v>0</v>
      </c>
      <c r="D14" s="7">
        <f>MIN(0,MAX(-IF(D13=0,0,(Inputs!$B$19-INDEX(3:3,MATCH(0,5:5,0))))*Inputs!$B$267*(1+inf)^C$1,-D13))</f>
        <v>0</v>
      </c>
      <c r="E14" s="7">
        <f>MIN(0,MAX(-IF(E13=0,0,(Inputs!$B$19-INDEX(3:3,MATCH(0,5:5,0))))*Inputs!$B$267*(1+inf)^D$1,-E13))</f>
        <v>0</v>
      </c>
      <c r="F14" s="7">
        <f>MIN(0,MAX(-IF(F13=0,0,(Inputs!$B$19-INDEX(3:3,MATCH(0,5:5,0))))*Inputs!$B$267*(1+inf)^E$1,-F13))</f>
        <v>0</v>
      </c>
      <c r="G14" s="7">
        <f>MIN(0,MAX(-IF(G13=0,0,(Inputs!$B$19-INDEX(3:3,MATCH(0,5:5,0))))*Inputs!$B$267*(1+inf)^F$1,-G13))</f>
        <v>0</v>
      </c>
      <c r="H14" s="7">
        <f>MIN(0,MAX(-IF(H13=0,0,(Inputs!$B$19-INDEX(3:3,MATCH(0,5:5,0))))*Inputs!$B$267*(1+inf)^G$1,-H13))</f>
        <v>0</v>
      </c>
      <c r="I14" s="7">
        <f>MIN(0,MAX(-IF(I13=0,0,(Inputs!$B$19-INDEX(3:3,MATCH(0,5:5,0))))*Inputs!$B$267*(1+inf)^H$1,-I13))</f>
        <v>0</v>
      </c>
      <c r="J14" s="7">
        <f>MIN(0,MAX(-IF(J13=0,0,(Inputs!$B$19-INDEX(3:3,MATCH(0,5:5,0))))*Inputs!$B$267*(1+inf)^I$1,-J13))</f>
        <v>0</v>
      </c>
      <c r="K14" s="7">
        <f>MIN(0,MAX(-IF(K13=0,0,(Inputs!$B$19-INDEX(3:3,MATCH(0,5:5,0))))*Inputs!$B$267*(1+inf)^J$1,-K13))</f>
        <v>0</v>
      </c>
      <c r="L14" s="7">
        <f>MIN(0,MAX(-IF(L13=0,0,(Inputs!$B$19-INDEX(3:3,MATCH(0,5:5,0))))*Inputs!$B$267*(1+inf)^K$1,-L13))</f>
        <v>0</v>
      </c>
      <c r="M14" s="7">
        <f>MIN(0,MAX(-IF(M13=0,0,(Inputs!$B$19-INDEX(3:3,MATCH(0,5:5,0))))*Inputs!$B$267*(1+inf)^L$1,-M13))</f>
        <v>0</v>
      </c>
      <c r="N14" s="7">
        <f>MIN(0,MAX(-IF(N13=0,0,(Inputs!$B$19-INDEX(3:3,MATCH(0,5:5,0))))*Inputs!$B$267*(1+inf)^M$1,-N13))</f>
        <v>0</v>
      </c>
      <c r="O14" s="7">
        <f>MIN(0,MAX(-IF(O13=0,0,(Inputs!$B$19-INDEX(3:3,MATCH(0,5:5,0))))*Inputs!$B$267*(1+inf)^N$1,-O13))</f>
        <v>0</v>
      </c>
      <c r="P14" s="7">
        <f>MIN(0,MAX(-IF(P13=0,0,(Inputs!$B$19-INDEX(3:3,MATCH(0,5:5,0))))*Inputs!$B$267*(1+inf)^O$1,-P13))</f>
        <v>0</v>
      </c>
      <c r="Q14" s="7">
        <f>MIN(0,MAX(-IF(Q13=0,0,(Inputs!$B$19-INDEX(3:3,MATCH(0,5:5,0))))*Inputs!$B$267*(1+inf)^P$1,-Q13))</f>
        <v>0</v>
      </c>
      <c r="R14" s="7">
        <f>MIN(0,MAX(-IF(R13=0,0,(Inputs!$B$19-INDEX(3:3,MATCH(0,5:5,0))))*Inputs!$B$267*(1+inf)^Q$1,-R13))</f>
        <v>0</v>
      </c>
      <c r="S14" s="7">
        <f>MIN(0,MAX(-IF(S13=0,0,(Inputs!$B$19-INDEX(3:3,MATCH(0,5:5,0))))*Inputs!$B$267*(1+inf)^R$1,-S13))</f>
        <v>0</v>
      </c>
      <c r="T14" s="7">
        <f ca="1">MIN(0,MAX(-IF(T13=0,0,(Inputs!$B$19-INDEX(3:3,MATCH(0,5:5,0))))*Inputs!$B$267*(1+inf)^S$1,-T13))</f>
        <v>0</v>
      </c>
      <c r="U14" s="7">
        <f ca="1">MIN(0,MAX(-IF(U13=0,0,(Inputs!$B$19-INDEX(3:3,MATCH(0,5:5,0))))*Inputs!$B$267*(1+inf)^T$1,-U13))</f>
        <v>0</v>
      </c>
      <c r="V14" s="7">
        <f ca="1">MIN(0,MAX(-IF(V13=0,0,(Inputs!$B$19-INDEX(3:3,MATCH(0,5:5,0))))*Inputs!$B$267*(1+inf)^U$1,-V13))</f>
        <v>0</v>
      </c>
      <c r="W14" s="7">
        <f ca="1">MIN(0,MAX(-IF(W13=0,0,(Inputs!$B$19-INDEX(3:3,MATCH(0,5:5,0))))*Inputs!$B$267*(1+inf)^V$1,-W13))</f>
        <v>0</v>
      </c>
      <c r="X14" s="7">
        <f ca="1">MIN(0,MAX(-IF(X13=0,0,(Inputs!$B$19-INDEX(3:3,MATCH(0,5:5,0))))*Inputs!$B$267*(1+inf)^W$1,-X13))</f>
        <v>0</v>
      </c>
      <c r="Y14" s="7">
        <f ca="1">MIN(0,MAX(-IF(Y13=0,0,(Inputs!$B$19-INDEX(3:3,MATCH(0,5:5,0))))*Inputs!$B$267*(1+inf)^X$1,-Y13))</f>
        <v>0</v>
      </c>
      <c r="Z14" s="7">
        <f ca="1">MIN(0,MAX(-IF(Z13=0,0,(Inputs!$B$19-INDEX(3:3,MATCH(0,5:5,0))))*Inputs!$B$267*(1+inf)^Y$1,-Z13))</f>
        <v>0</v>
      </c>
      <c r="AA14" s="7">
        <f ca="1">MIN(0,MAX(-IF(AA13=0,0,(Inputs!$B$19-INDEX(3:3,MATCH(0,5:5,0))))*Inputs!$B$267*(1+inf)^Z$1,-AA13))</f>
        <v>0</v>
      </c>
      <c r="AB14" s="7">
        <f ca="1">MIN(0,MAX(-IF(AB13=0,0,(Inputs!$B$19-INDEX(3:3,MATCH(0,5:5,0))))*Inputs!$B$267*(1+inf)^AA$1,-AB13))</f>
        <v>0</v>
      </c>
      <c r="AC14" s="7">
        <f ca="1">MIN(0,MAX(-IF(AC13=0,0,(Inputs!$B$19-INDEX(3:3,MATCH(0,5:5,0))))*Inputs!$B$267*(1+inf)^AB$1,-AC13))</f>
        <v>0</v>
      </c>
      <c r="AD14" s="7">
        <f ca="1">MIN(0,MAX(-IF(AD13=0,0,(Inputs!$B$19-INDEX(3:3,MATCH(0,5:5,0))))*Inputs!$B$267*(1+inf)^AC$1,-AD13))</f>
        <v>0</v>
      </c>
      <c r="AE14" s="7">
        <f ca="1">MIN(0,MAX(-IF(AE13=0,0,(Inputs!$B$19-INDEX(3:3,MATCH(0,5:5,0))))*Inputs!$B$267*(1+inf)^AD$1,-AE13))</f>
        <v>0</v>
      </c>
      <c r="AF14" s="7">
        <f ca="1">MIN(0,MAX(-IF(AF13=0,0,(Inputs!$B$19-INDEX(3:3,MATCH(0,5:5,0))))*Inputs!$B$267*(1+inf)^AE$1,-AF13))</f>
        <v>0</v>
      </c>
      <c r="AG14" s="7">
        <f ca="1">MIN(0,MAX(-IF(AG13=0,0,(Inputs!$B$19-INDEX(3:3,MATCH(0,5:5,0))))*Inputs!$B$267*(1+inf)^AF$1,-AG13))</f>
        <v>0</v>
      </c>
      <c r="AH14" s="7">
        <f ca="1">MIN(0,MAX(-IF(AH13=0,0,(Inputs!$B$19-INDEX(3:3,MATCH(0,5:5,0))))*Inputs!$B$267*(1+inf)^AG$1,-AH13))</f>
        <v>0</v>
      </c>
      <c r="AI14" s="7">
        <f ca="1">MIN(0,MAX(-IF(AI13=0,0,(Inputs!$B$19-INDEX(3:3,MATCH(0,5:5,0))))*Inputs!$B$267*(1+inf)^AH$1,-AI13))</f>
        <v>0</v>
      </c>
      <c r="AJ14" s="7">
        <f ca="1">MIN(0,MAX(-IF(AJ13=0,0,(Inputs!$B$19-INDEX(3:3,MATCH(0,5:5,0))))*Inputs!$B$267*(1+inf)^AI$1,-AJ13))</f>
        <v>0</v>
      </c>
      <c r="AK14" s="7">
        <f ca="1">MIN(0,MAX(-IF(AK13=0,0,(Inputs!$B$19-INDEX(3:3,MATCH(0,5:5,0))))*Inputs!$B$267*(1+inf)^AJ$1,-AK13))</f>
        <v>0</v>
      </c>
      <c r="AL14" s="7">
        <f ca="1">MIN(0,MAX(-IF(AL13=0,0,(Inputs!$B$19-INDEX(3:3,MATCH(0,5:5,0))))*Inputs!$B$267*(1+inf)^AK$1,-AL13))</f>
        <v>0</v>
      </c>
      <c r="AM14" s="7">
        <f ca="1">MIN(0,MAX(-IF(AM13=0,0,(Inputs!$B$19-INDEX(3:3,MATCH(0,5:5,0))))*Inputs!$B$267*(1+inf)^AL$1,-AM13))</f>
        <v>0</v>
      </c>
    </row>
    <row r="15" spans="1:39" x14ac:dyDescent="0.2">
      <c r="A15" s="4" t="s">
        <v>48</v>
      </c>
      <c r="B15" s="8"/>
      <c r="C15" s="7">
        <f ca="1">IF(AND(C$3&gt;=Inputs!$B$252,C$3&lt;=Inputs!$B$253),Inputs!$B$251*(1+inf)^B$1,0)*ProRate</f>
        <v>0</v>
      </c>
      <c r="D15" s="7">
        <f>IF(AND(D$3&gt;=Inputs!$B$252,D$3&lt;=Inputs!$B$253),Inputs!$B$251*(1+inf)^C$1,0)</f>
        <v>0</v>
      </c>
      <c r="E15" s="7">
        <f>IF(AND(E$3&gt;=Inputs!$B$252,E$3&lt;=Inputs!$B$253),Inputs!$B$251*(1+inf)^D$1,0)</f>
        <v>0</v>
      </c>
      <c r="F15" s="7">
        <f>IF(AND(F$3&gt;=Inputs!$B$252,F$3&lt;=Inputs!$B$253),Inputs!$B$251*(1+inf)^E$1,0)</f>
        <v>0</v>
      </c>
      <c r="G15" s="7">
        <f>IF(AND(G$3&gt;=Inputs!$B$252,G$3&lt;=Inputs!$B$253),Inputs!$B$251*(1+inf)^F$1,0)</f>
        <v>0</v>
      </c>
      <c r="H15" s="7">
        <f>IF(AND(H$3&gt;=Inputs!$B$252,H$3&lt;=Inputs!$B$253),Inputs!$B$251*(1+inf)^G$1,0)</f>
        <v>0</v>
      </c>
      <c r="I15" s="7">
        <f>IF(AND(I$3&gt;=Inputs!$B$252,I$3&lt;=Inputs!$B$253),Inputs!$B$251*(1+inf)^H$1,0)</f>
        <v>0</v>
      </c>
      <c r="J15" s="7">
        <f>IF(AND(J$3&gt;=Inputs!$B$252,J$3&lt;=Inputs!$B$253),Inputs!$B$251*(1+inf)^I$1,0)</f>
        <v>0</v>
      </c>
      <c r="K15" s="7">
        <f>IF(AND(K$3&gt;=Inputs!$B$252,K$3&lt;=Inputs!$B$253),Inputs!$B$251*(1+inf)^J$1,0)</f>
        <v>0</v>
      </c>
      <c r="L15" s="7">
        <f>IF(AND(L$3&gt;=Inputs!$B$252,L$3&lt;=Inputs!$B$253),Inputs!$B$251*(1+inf)^K$1,0)</f>
        <v>0</v>
      </c>
      <c r="M15" s="7">
        <f>IF(AND(M$3&gt;=Inputs!$B$252,M$3&lt;=Inputs!$B$253),Inputs!$B$251*(1+inf)^L$1,0)</f>
        <v>15361.014530356286</v>
      </c>
      <c r="N15" s="7">
        <f>IF(AND(N$3&gt;=Inputs!$B$252,N$3&lt;=Inputs!$B$253),Inputs!$B$251*(1+inf)^M$1,0)</f>
        <v>15745.039893615192</v>
      </c>
      <c r="O15" s="7">
        <f>IF(AND(O$3&gt;=Inputs!$B$252,O$3&lt;=Inputs!$B$253),Inputs!$B$251*(1+inf)^N$1,0)</f>
        <v>16138.66589095557</v>
      </c>
      <c r="P15" s="7">
        <f>IF(AND(P$3&gt;=Inputs!$B$252,P$3&lt;=Inputs!$B$253),Inputs!$B$251*(1+inf)^O$1,0)</f>
        <v>16542.13253822946</v>
      </c>
      <c r="Q15" s="7">
        <f>IF(AND(Q$3&gt;=Inputs!$B$252,Q$3&lt;=Inputs!$B$253),Inputs!$B$251*(1+inf)^P$1,0)</f>
        <v>16955.685851685193</v>
      </c>
      <c r="R15" s="7">
        <f>IF(AND(R$3&gt;=Inputs!$B$252,R$3&lt;=Inputs!$B$253),Inputs!$B$251*(1+inf)^Q$1,0)</f>
        <v>17379.577997977325</v>
      </c>
      <c r="S15" s="7">
        <f>IF(AND(S$3&gt;=Inputs!$B$252,S$3&lt;=Inputs!$B$253),Inputs!$B$251*(1+inf)^R$1,0)</f>
        <v>17814.067447926758</v>
      </c>
      <c r="T15" s="7">
        <f>IF(AND(T$3&gt;=Inputs!$B$252,T$3&lt;=Inputs!$B$253),Inputs!$B$251*(1+inf)^S$1,0)</f>
        <v>18259.419134124924</v>
      </c>
      <c r="U15" s="7">
        <f>IF(AND(U$3&gt;=Inputs!$B$252,U$3&lt;=Inputs!$B$253),Inputs!$B$251*(1+inf)^T$1,0)</f>
        <v>18715.904612478047</v>
      </c>
      <c r="V15" s="7">
        <f>IF(AND(V$3&gt;=Inputs!$B$252,V$3&lt;=Inputs!$B$253),Inputs!$B$251*(1+inf)^U$1,0)</f>
        <v>19183.802227789998</v>
      </c>
      <c r="W15" s="7">
        <f>IF(AND(W$3&gt;=Inputs!$B$252,W$3&lt;=Inputs!$B$253),Inputs!$B$251*(1+inf)^V$1,0)</f>
        <v>19663.397283484748</v>
      </c>
      <c r="X15" s="7">
        <f>IF(AND(X$3&gt;=Inputs!$B$252,X$3&lt;=Inputs!$B$253),Inputs!$B$251*(1+inf)^W$1,0)</f>
        <v>20154.982215571865</v>
      </c>
      <c r="Y15" s="7">
        <f>IF(AND(Y$3&gt;=Inputs!$B$252,Y$3&lt;=Inputs!$B$253),Inputs!$B$251*(1+inf)^X$1,0)</f>
        <v>0</v>
      </c>
      <c r="Z15" s="7">
        <f>IF(AND(Z$3&gt;=Inputs!$B$252,Z$3&lt;=Inputs!$B$253),Inputs!$B$251*(1+inf)^Y$1,0)</f>
        <v>0</v>
      </c>
      <c r="AA15" s="7">
        <f>IF(AND(AA$3&gt;=Inputs!$B$252,AA$3&lt;=Inputs!$B$253),Inputs!$B$251*(1+inf)^Z$1,0)</f>
        <v>0</v>
      </c>
      <c r="AB15" s="7">
        <f>IF(AND(AB$3&gt;=Inputs!$B$252,AB$3&lt;=Inputs!$B$253),Inputs!$B$251*(1+inf)^AA$1,0)</f>
        <v>0</v>
      </c>
      <c r="AC15" s="7">
        <f>IF(AND(AC$3&gt;=Inputs!$B$252,AC$3&lt;=Inputs!$B$253),Inputs!$B$251*(1+inf)^AB$1,0)</f>
        <v>0</v>
      </c>
      <c r="AD15" s="7">
        <f>IF(AND(AD$3&gt;=Inputs!$B$252,AD$3&lt;=Inputs!$B$253),Inputs!$B$251*(1+inf)^AC$1,0)</f>
        <v>0</v>
      </c>
      <c r="AE15" s="7">
        <f>IF(AND(AE$3&gt;=Inputs!$B$252,AE$3&lt;=Inputs!$B$253),Inputs!$B$251*(1+inf)^AD$1,0)</f>
        <v>0</v>
      </c>
      <c r="AF15" s="7">
        <f>IF(AND(AF$3&gt;=Inputs!$B$252,AF$3&lt;=Inputs!$B$253),Inputs!$B$251*(1+inf)^AE$1,0)</f>
        <v>0</v>
      </c>
      <c r="AG15" s="7">
        <f>IF(AND(AG$3&gt;=Inputs!$B$252,AG$3&lt;=Inputs!$B$253),Inputs!$B$251*(1+inf)^AF$1,0)</f>
        <v>0</v>
      </c>
      <c r="AH15" s="7">
        <f>IF(AND(AH$3&gt;=Inputs!$B$252,AH$3&lt;=Inputs!$B$253),Inputs!$B$251*(1+inf)^AG$1,0)</f>
        <v>0</v>
      </c>
      <c r="AI15" s="7">
        <f>IF(AND(AI$3&gt;=Inputs!$B$252,AI$3&lt;=Inputs!$B$253),Inputs!$B$251*(1+inf)^AH$1,0)</f>
        <v>0</v>
      </c>
      <c r="AJ15" s="7">
        <f>IF(AND(AJ$3&gt;=Inputs!$B$252,AJ$3&lt;=Inputs!$B$253),Inputs!$B$251*(1+inf)^AI$1,0)</f>
        <v>0</v>
      </c>
      <c r="AK15" s="7">
        <f>IF(AND(AK$3&gt;=Inputs!$B$252,AK$3&lt;=Inputs!$B$253),Inputs!$B$251*(1+inf)^AJ$1,0)</f>
        <v>0</v>
      </c>
      <c r="AL15" s="7">
        <f>IF(AND(AL$3&gt;=Inputs!$B$252,AL$3&lt;=Inputs!$B$253),Inputs!$B$251*(1+inf)^AK$1,0)</f>
        <v>0</v>
      </c>
      <c r="AM15" s="7">
        <f>IF(AND(AM$3&gt;=Inputs!$B$252,AM$3&lt;=Inputs!$B$253),Inputs!$B$251*(1+inf)^AL$1,0)</f>
        <v>0</v>
      </c>
    </row>
    <row r="16" spans="1:39" x14ac:dyDescent="0.2">
      <c r="A16" s="4" t="s">
        <v>131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8</v>
      </c>
      <c r="C20" s="7">
        <f ca="1">MAX(AVERAGE(C62,C62+SUM(C5:C19)-C59)*Inputs!$B$259,0)</f>
        <v>1392.7083333333337</v>
      </c>
      <c r="D20" s="7">
        <f ca="1">MAX(AVERAGE(D62,D62+SUM(D5:D19)-D59)*Inputs!$B$259,0)</f>
        <v>1691.0072916666672</v>
      </c>
      <c r="E20" s="7">
        <f ca="1">MAX(AVERAGE(E62,E62+SUM(E5:E19)-E59)*Inputs!$B$259,0)</f>
        <v>2049.0801822916678</v>
      </c>
      <c r="F20" s="7">
        <f ca="1">MAX(AVERAGE(F62,F62+SUM(F5:F19)-F59)*Inputs!$B$259,0)</f>
        <v>2266.8746641744474</v>
      </c>
      <c r="G20" s="7">
        <f ca="1">MAX(AVERAGE(G62,G62+SUM(G5:G19)-G59)*Inputs!$B$259,0)</f>
        <v>2658.3727880847655</v>
      </c>
      <c r="H20" s="7">
        <f ca="1">MAX(AVERAGE(H62,H62+SUM(H5:H19)-H59)*Inputs!$B$259,0)</f>
        <v>3524.3258371999691</v>
      </c>
      <c r="I20" s="7">
        <f ca="1">MAX(AVERAGE(I62,I62+SUM(I5:I19)-I59)*Inputs!$B$259,0)</f>
        <v>4827.2148218228222</v>
      </c>
      <c r="J20" s="7">
        <f ca="1">MAX(AVERAGE(J62,J62+SUM(J5:J19)-J59)*Inputs!$B$259,0)</f>
        <v>6533.8411802872524</v>
      </c>
      <c r="K20" s="7">
        <f ca="1">MAX(AVERAGE(K62,K62+SUM(K5:K19)-K59)*Inputs!$B$259,0)</f>
        <v>8126.8914006805353</v>
      </c>
      <c r="L20" s="7">
        <f ca="1">MAX(AVERAGE(L62,L62+SUM(L5:L19)-L59)*Inputs!$B$259,0)</f>
        <v>10638.718217198351</v>
      </c>
      <c r="M20" s="7">
        <f ca="1">MAX(AVERAGE(M62,M62+SUM(M5:M19)-M59)*Inputs!$B$259,0)</f>
        <v>13139.801166055306</v>
      </c>
      <c r="N20" s="7">
        <f ca="1">MAX(AVERAGE(N62,N62+SUM(N5:N19)-N59)*Inputs!$B$259,0)</f>
        <v>15212.460184102634</v>
      </c>
      <c r="O20" s="7">
        <f ca="1">MAX(AVERAGE(O62,O62+SUM(O5:O19)-O59)*Inputs!$B$259,0)</f>
        <v>18023.31847412209</v>
      </c>
      <c r="P20" s="7">
        <f ca="1">MAX(AVERAGE(P62,P62+SUM(P5:P19)-P59)*Inputs!$B$259,0)</f>
        <v>20985.33555140068</v>
      </c>
      <c r="Q20" s="7">
        <f ca="1">MAX(AVERAGE(Q62,Q62+SUM(Q5:Q19)-Q59)*Inputs!$B$259,0)</f>
        <v>24104.916278681296</v>
      </c>
      <c r="R20" s="7">
        <f ca="1">MAX(AVERAGE(R62,R62+SUM(R5:R19)-R59)*Inputs!$B$259,0)</f>
        <v>27388.709398896273</v>
      </c>
      <c r="S20" s="7">
        <f ca="1">MAX(AVERAGE(S62,S62+SUM(S5:S19)-S59)*Inputs!$B$259,0)</f>
        <v>30843.616269476479</v>
      </c>
      <c r="T20" s="7">
        <f ca="1">MAX(AVERAGE(T62,T62+SUM(T5:T19)-T59)*Inputs!$B$259,0)</f>
        <v>33128.275917214567</v>
      </c>
      <c r="U20" s="7">
        <f ca="1">MAX(AVERAGE(U62,U62+SUM(U5:U19)-U59)*Inputs!$B$259,0)</f>
        <v>34271.910576580791</v>
      </c>
      <c r="V20" s="7">
        <f ca="1">MAX(AVERAGE(V62,V62+SUM(V5:V19)-V59)*Inputs!$B$259,0)</f>
        <v>35556.752765739395</v>
      </c>
      <c r="W20" s="7">
        <f ca="1">MAX(AVERAGE(W62,W62+SUM(W5:W19)-W59)*Inputs!$B$259,0)</f>
        <v>36891.886988643702</v>
      </c>
      <c r="X20" s="7">
        <f ca="1">MAX(AVERAGE(X62,X62+SUM(X5:X19)-X59)*Inputs!$B$259,0)</f>
        <v>38279.248916664706</v>
      </c>
      <c r="Y20" s="7">
        <f ca="1">MAX(AVERAGE(Y62,Y62+SUM(Y5:Y19)-Y59)*Inputs!$B$259,0)</f>
        <v>39462.610585465438</v>
      </c>
      <c r="Z20" s="7">
        <f ca="1">MAX(AVERAGE(Z62,Z62+SUM(Z5:Z19)-Z59)*Inputs!$B$259,0)</f>
        <v>40431.142624381348</v>
      </c>
      <c r="AA20" s="7">
        <f ca="1">MAX(AVERAGE(AA62,AA62+SUM(AA5:AA19)-AA59)*Inputs!$B$259,0)</f>
        <v>41431.844536318786</v>
      </c>
      <c r="AB20" s="7">
        <f ca="1">MAX(AVERAGE(AB62,AB62+SUM(AB5:AB19)-AB59)*Inputs!$B$259,0)</f>
        <v>42465.971704485244</v>
      </c>
      <c r="AC20" s="7">
        <f ca="1">MAX(AVERAGE(AC62,AC62+SUM(AC5:AC19)-AC59)*Inputs!$B$259,0)</f>
        <v>43534.829741740381</v>
      </c>
      <c r="AD20" s="7">
        <f ca="1">MAX(AVERAGE(AD62,AD62+SUM(AD5:AD19)-AD59)*Inputs!$B$259,0)</f>
        <v>44639.776444464005</v>
      </c>
      <c r="AE20" s="7">
        <f ca="1">MAX(AVERAGE(AE62,AE62+SUM(AE5:AE19)-AE59)*Inputs!$B$259,0)</f>
        <v>45907.004758206203</v>
      </c>
      <c r="AF20" s="7">
        <f ca="1">MAX(AVERAGE(AF62,AF62+SUM(AF5:AF19)-AF59)*Inputs!$B$259,0)</f>
        <v>47344.22205000266</v>
      </c>
      <c r="AG20" s="7">
        <f ca="1">MAX(AVERAGE(AG62,AG62+SUM(AG5:AG19)-AG59)*Inputs!$B$259,0)</f>
        <v>48834.64720690687</v>
      </c>
      <c r="AH20" s="7">
        <f ca="1">MAX(AVERAGE(AH62,AH62+SUM(AH5:AH19)-AH59)*Inputs!$B$259,0)</f>
        <v>50380.343527721583</v>
      </c>
      <c r="AI20" s="7">
        <f ca="1">MAX(AVERAGE(AI62,AI62+SUM(AI5:AI19)-AI59)*Inputs!$B$259,0)</f>
        <v>51983.453256264656</v>
      </c>
      <c r="AJ20" s="7">
        <f ca="1">MAX(AVERAGE(AJ62,AJ62+SUM(AJ5:AJ19)-AJ59)*Inputs!$B$259,0)</f>
        <v>53646.200510107767</v>
      </c>
      <c r="AK20" s="7">
        <f ca="1">MAX(AVERAGE(AK62,AK62+SUM(AK5:AK19)-AK59)*Inputs!$B$259,0)</f>
        <v>55370.894314542908</v>
      </c>
      <c r="AL20" s="7">
        <f ca="1">MAX(AVERAGE(AL62,AL62+SUM(AL5:AL19)-AL59)*Inputs!$B$259,0)</f>
        <v>57159.931745451562</v>
      </c>
      <c r="AM20" s="7">
        <f ca="1">MAX(AVERAGE(AM62,AM62+SUM(AM5:AM19)-AM59)*Inputs!$B$259,0)</f>
        <v>59015.801184876778</v>
      </c>
    </row>
    <row r="21" spans="1:39" x14ac:dyDescent="0.2">
      <c r="C21" s="9">
        <f ca="1">SUM(C4:C20)</f>
        <v>104309.37500000001</v>
      </c>
      <c r="D21" s="9">
        <f t="shared" ref="D21:AM21" ca="1" si="35">SUM(D4:D20)</f>
        <v>121761.84062500001</v>
      </c>
      <c r="E21" s="9">
        <f t="shared" ca="1" si="35"/>
        <v>125711.78851562501</v>
      </c>
      <c r="F21" s="9">
        <f t="shared" ca="1" si="35"/>
        <v>140397.86424750776</v>
      </c>
      <c r="G21" s="9">
        <f t="shared" ca="1" si="35"/>
        <v>133830.54971516808</v>
      </c>
      <c r="H21" s="9">
        <f t="shared" ca="1" si="35"/>
        <v>138620.62994318956</v>
      </c>
      <c r="I21" s="9">
        <f t="shared" ca="1" si="35"/>
        <v>149763.56105992766</v>
      </c>
      <c r="J21" s="9">
        <f t="shared" ca="1" si="35"/>
        <v>149834.25976755671</v>
      </c>
      <c r="K21" s="9">
        <f t="shared" ca="1" si="35"/>
        <v>155714.43568803137</v>
      </c>
      <c r="L21" s="9">
        <f t="shared" ca="1" si="35"/>
        <v>225084.85330157788</v>
      </c>
      <c r="M21" s="9">
        <f t="shared" ca="1" si="35"/>
        <v>185051.40325131826</v>
      </c>
      <c r="N21" s="9">
        <f t="shared" ca="1" si="35"/>
        <v>189567.63109822726</v>
      </c>
      <c r="O21" s="9">
        <f t="shared" ca="1" si="35"/>
        <v>197530.41931620231</v>
      </c>
      <c r="P21" s="9">
        <f t="shared" ca="1" si="35"/>
        <v>205796.95608928849</v>
      </c>
      <c r="Q21" s="9">
        <f t="shared" ca="1" si="35"/>
        <v>214378.17477001465</v>
      </c>
      <c r="R21" s="9">
        <f t="shared" ca="1" si="35"/>
        <v>223285.38721571118</v>
      </c>
      <c r="S21" s="9">
        <f t="shared" ca="1" si="35"/>
        <v>232530.29653080596</v>
      </c>
      <c r="T21" s="9">
        <f t="shared" ca="1" si="35"/>
        <v>132894.56784623748</v>
      </c>
      <c r="U21" s="9">
        <f t="shared" ca="1" si="35"/>
        <v>136818.16470690959</v>
      </c>
      <c r="V21" s="9">
        <f t="shared" ca="1" si="35"/>
        <v>140961.04229949915</v>
      </c>
      <c r="W21" s="9">
        <f t="shared" ca="1" si="35"/>
        <v>145234.49418242538</v>
      </c>
      <c r="X21" s="9">
        <f t="shared" ca="1" si="35"/>
        <v>149642.72802461917</v>
      </c>
      <c r="Y21" s="9">
        <f t="shared" ca="1" si="35"/>
        <v>133272.99583651571</v>
      </c>
      <c r="Z21" s="9">
        <f t="shared" ca="1" si="35"/>
        <v>136918.11372115673</v>
      </c>
      <c r="AA21" s="9">
        <f t="shared" ca="1" si="35"/>
        <v>140672.25591139586</v>
      </c>
      <c r="AB21" s="9">
        <f t="shared" ca="1" si="35"/>
        <v>144538.89734484802</v>
      </c>
      <c r="AC21" s="9">
        <f t="shared" ca="1" si="35"/>
        <v>148521.62762344826</v>
      </c>
      <c r="AD21" s="9">
        <f t="shared" ca="1" si="35"/>
        <v>152624.1548465607</v>
      </c>
      <c r="AE21" s="9">
        <f t="shared" ca="1" si="35"/>
        <v>156975.09051090182</v>
      </c>
      <c r="AF21" s="9">
        <f t="shared" ca="1" si="35"/>
        <v>161584.63077377857</v>
      </c>
      <c r="AG21" s="9">
        <f t="shared" ca="1" si="35"/>
        <v>166338.55560085797</v>
      </c>
      <c r="AH21" s="9">
        <f t="shared" ca="1" si="35"/>
        <v>171241.56376716468</v>
      </c>
      <c r="AI21" s="9">
        <f t="shared" ca="1" si="35"/>
        <v>176298.50956140633</v>
      </c>
      <c r="AJ21" s="9">
        <f t="shared" ca="1" si="35"/>
        <v>181514.40794938186</v>
      </c>
      <c r="AK21" s="9">
        <f t="shared" ca="1" si="35"/>
        <v>186894.43990809785</v>
      </c>
      <c r="AL21" s="9">
        <f t="shared" ca="1" si="35"/>
        <v>192443.95793619336</v>
      </c>
      <c r="AM21" s="9">
        <f t="shared" ca="1" si="35"/>
        <v>198168.49174645555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65</v>
      </c>
      <c r="C23" s="7">
        <f>Inputs!B124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200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MAX(Inputs!$G$127-IF(B$1=0,0,B$1*12+MthOff), 0))*Inputs!$B$129</f>
        <v>5000</v>
      </c>
      <c r="D26" s="7">
        <f ca="1">MIN(IF(C$1=0,MthRem,12), MAX(Inputs!$G$127-IF(C$1=0,0,C$1*12+MthOff), 0))*Inputs!$B$129</f>
        <v>6000</v>
      </c>
      <c r="E26" s="7">
        <f ca="1">MIN(IF(D$1=0,MthRem,12), MAX(Inputs!$G$127-IF(D$1=0,0,D$1*12+MthOff), 0))*Inputs!$B$129</f>
        <v>6000</v>
      </c>
      <c r="F26" s="7">
        <f ca="1">MIN(IF(E$1=0,MthRem,12), MAX(Inputs!$G$127-IF(E$1=0,0,E$1*12+MthOff), 0))*Inputs!$B$129</f>
        <v>6000</v>
      </c>
      <c r="G26" s="7">
        <f ca="1">MIN(IF(F$1=0,MthRem,12), MAX(Inputs!$G$127-IF(F$1=0,0,F$1*12+MthOff), 0))*Inputs!$B$129</f>
        <v>6000</v>
      </c>
      <c r="H26" s="7">
        <f ca="1">MIN(IF(G$1=0,MthRem,12), MAX(Inputs!$G$127-IF(G$1=0,0,G$1*12+MthOff), 0))*Inputs!$B$129</f>
        <v>6000</v>
      </c>
      <c r="I26" s="7">
        <f ca="1">MIN(IF(H$1=0,MthRem,12), MAX(Inputs!$G$127-IF(H$1=0,0,H$1*12+MthOff), 0))*Inputs!$B$129</f>
        <v>6000</v>
      </c>
      <c r="J26" s="7">
        <f ca="1">MIN(IF(I$1=0,MthRem,12), MAX(Inputs!$G$127-IF(I$1=0,0,I$1*12+MthOff), 0))*Inputs!$B$129</f>
        <v>6000</v>
      </c>
      <c r="K26" s="7">
        <f ca="1">MIN(IF(J$1=0,MthRem,12), MAX(Inputs!$G$127-IF(J$1=0,0,J$1*12+MthOff), 0))*Inputs!$B$129</f>
        <v>6000</v>
      </c>
      <c r="L26" s="7">
        <f ca="1">MIN(IF(K$1=0,MthRem,12), MAX(Inputs!$G$127-IF(K$1=0,0,K$1*12+MthOff), 0))*Inputs!$B$129</f>
        <v>4608.3050789871932</v>
      </c>
      <c r="M26" s="7">
        <f ca="1">MIN(IF(L$1=0,MthRem,12), MAX(Inputs!$G$127-IF(L$1=0,0,L$1*12+MthOff), 0))*Inputs!$B$129</f>
        <v>0</v>
      </c>
      <c r="N26" s="7">
        <f ca="1">MIN(IF(M$1=0,MthRem,12), MAX(Inputs!$G$127-IF(M$1=0,0,M$1*12+MthOff), 0))*Inputs!$B$129</f>
        <v>0</v>
      </c>
      <c r="O26" s="7">
        <f ca="1">MIN(IF(N$1=0,MthRem,12), MAX(Inputs!$G$127-IF(N$1=0,0,N$1*12+MthOff), 0))*Inputs!$B$129</f>
        <v>0</v>
      </c>
      <c r="P26" s="7">
        <f ca="1">MIN(IF(O$1=0,MthRem,12), MAX(Inputs!$G$127-IF(O$1=0,0,O$1*12+MthOff), 0))*Inputs!$B$129</f>
        <v>0</v>
      </c>
      <c r="Q26" s="7">
        <f ca="1">MIN(IF(P$1=0,MthRem,12), MAX(Inputs!$G$127-IF(P$1=0,0,P$1*12+MthOff), 0))*Inputs!$B$129</f>
        <v>0</v>
      </c>
      <c r="R26" s="7">
        <f ca="1">MIN(IF(Q$1=0,MthRem,12), MAX(Inputs!$G$127-IF(Q$1=0,0,Q$1*12+MthOff), 0))*Inputs!$B$129</f>
        <v>0</v>
      </c>
      <c r="S26" s="7">
        <f ca="1">MIN(IF(R$1=0,MthRem,12), MAX(Inputs!$G$127-IF(R$1=0,0,R$1*12+MthOff), 0))*Inputs!$B$129</f>
        <v>0</v>
      </c>
      <c r="T26" s="7">
        <f ca="1">MIN(IF(S$1=0,MthRem,12), MAX(Inputs!$G$127-IF(S$1=0,0,S$1*12+MthOff), 0))*Inputs!$B$129</f>
        <v>0</v>
      </c>
      <c r="U26" s="7">
        <f ca="1">MIN(IF(T$1=0,MthRem,12), MAX(Inputs!$G$127-IF(T$1=0,0,T$1*12+MthOff), 0))*Inputs!$B$129</f>
        <v>0</v>
      </c>
      <c r="V26" s="7">
        <f ca="1">MIN(IF(U$1=0,MthRem,12), MAX(Inputs!$G$127-IF(U$1=0,0,U$1*12+MthOff), 0))*Inputs!$B$129</f>
        <v>0</v>
      </c>
      <c r="W26" s="7">
        <f ca="1">MIN(IF(V$1=0,MthRem,12), MAX(Inputs!$G$127-IF(V$1=0,0,V$1*12+MthOff), 0))*Inputs!$B$129</f>
        <v>0</v>
      </c>
      <c r="X26" s="7">
        <f ca="1">MIN(IF(W$1=0,MthRem,12), MAX(Inputs!$G$127-IF(W$1=0,0,W$1*12+MthOff), 0))*Inputs!$B$129</f>
        <v>0</v>
      </c>
      <c r="Y26" s="7">
        <f ca="1">MIN(IF(X$1=0,MthRem,12), MAX(Inputs!$G$127-IF(X$1=0,0,X$1*12+MthOff), 0))*Inputs!$B$129</f>
        <v>0</v>
      </c>
      <c r="Z26" s="7">
        <f ca="1">MIN(IF(Y$1=0,MthRem,12), MAX(Inputs!$G$127-IF(Y$1=0,0,Y$1*12+MthOff), 0))*Inputs!$B$129</f>
        <v>0</v>
      </c>
      <c r="AA26" s="7">
        <f ca="1">MIN(IF(Z$1=0,MthRem,12), MAX(Inputs!$G$127-IF(Z$1=0,0,Z$1*12+MthOff), 0))*Inputs!$B$129</f>
        <v>0</v>
      </c>
      <c r="AB26" s="7">
        <f ca="1">MIN(IF(AA$1=0,MthRem,12), MAX(Inputs!$G$127-IF(AA$1=0,0,AA$1*12+MthOff), 0))*Inputs!$B$129</f>
        <v>0</v>
      </c>
      <c r="AC26" s="7">
        <f ca="1">MIN(IF(AB$1=0,MthRem,12), MAX(Inputs!$G$127-IF(AB$1=0,0,AB$1*12+MthOff), 0))*Inputs!$B$129</f>
        <v>0</v>
      </c>
      <c r="AD26" s="7">
        <f ca="1">MIN(IF(AC$1=0,MthRem,12), MAX(Inputs!$G$127-IF(AC$1=0,0,AC$1*12+MthOff), 0))*Inputs!$B$129</f>
        <v>0</v>
      </c>
      <c r="AE26" s="7">
        <f ca="1">MIN(IF(AD$1=0,MthRem,12), MAX(Inputs!$G$127-IF(AD$1=0,0,AD$1*12+MthOff), 0))*Inputs!$B$129</f>
        <v>0</v>
      </c>
      <c r="AF26" s="7">
        <f ca="1">MIN(IF(AE$1=0,MthRem,12), MAX(Inputs!$G$127-IF(AE$1=0,0,AE$1*12+MthOff), 0))*Inputs!$B$129</f>
        <v>0</v>
      </c>
      <c r="AG26" s="7">
        <f ca="1">MIN(IF(AF$1=0,MthRem,12), MAX(Inputs!$G$127-IF(AF$1=0,0,AF$1*12+MthOff), 0))*Inputs!$B$129</f>
        <v>0</v>
      </c>
      <c r="AH26" s="7">
        <f ca="1">MIN(IF(AG$1=0,MthRem,12), MAX(Inputs!$G$127-IF(AG$1=0,0,AG$1*12+MthOff), 0))*Inputs!$B$129</f>
        <v>0</v>
      </c>
      <c r="AI26" s="7">
        <f ca="1">MIN(IF(AH$1=0,MthRem,12), MAX(Inputs!$G$127-IF(AH$1=0,0,AH$1*12+MthOff), 0))*Inputs!$B$129</f>
        <v>0</v>
      </c>
      <c r="AJ26" s="7">
        <f ca="1">MIN(IF(AI$1=0,MthRem,12), MAX(Inputs!$G$127-IF(AI$1=0,0,AI$1*12+MthOff), 0))*Inputs!$B$129</f>
        <v>0</v>
      </c>
      <c r="AK26" s="7">
        <f ca="1">MIN(IF(AJ$1=0,MthRem,12), MAX(Inputs!$G$127-IF(AJ$1=0,0,AJ$1*12+MthOff), 0))*Inputs!$B$129</f>
        <v>0</v>
      </c>
      <c r="AL26" s="7">
        <f ca="1">MIN(IF(AK$1=0,MthRem,12), MAX(Inputs!$G$127-IF(AK$1=0,0,AK$1*12+MthOff), 0))*Inputs!$B$129</f>
        <v>0</v>
      </c>
      <c r="AM26" s="7">
        <f ca="1">MIN(IF(AL$1=0,MthRem,12), MAX(Inputs!$G$127-IF(AL$1=0,0,AL$1*12+MthOff), 0))*Inputs!$B$129</f>
        <v>0</v>
      </c>
    </row>
    <row r="27" spans="1:39" x14ac:dyDescent="0.2">
      <c r="A27" s="3" t="str">
        <f>TEXT(Inputs!$B$65,"")</f>
        <v>Gzira</v>
      </c>
      <c r="C27" s="7">
        <f ca="1">MIN(IF(B$1=0,MthRem,12), MAX(Inputs!$G$132-IF(B$1=0,0,B$1*12+MthOff), 0))*Inputs!$B$134</f>
        <v>2000</v>
      </c>
      <c r="D27" s="7">
        <f ca="1">MIN(IF(C$1=0,MthRem,12), MAX(Inputs!$G$132-IF(C$1=0,0,C$1*12+MthOff), 0))*Inputs!$B$134</f>
        <v>2400</v>
      </c>
      <c r="E27" s="7">
        <f ca="1">MIN(IF(D$1=0,MthRem,12), MAX(Inputs!$G$132-IF(D$1=0,0,D$1*12+MthOff), 0))*Inputs!$B$134</f>
        <v>2400</v>
      </c>
      <c r="F27" s="7">
        <f ca="1">MIN(IF(E$1=0,MthRem,12), MAX(Inputs!$G$132-IF(E$1=0,0,E$1*12+MthOff), 0))*Inputs!$B$134</f>
        <v>2023.4029019573059</v>
      </c>
      <c r="G27" s="7">
        <f ca="1">MIN(IF(F$1=0,MthRem,12), MAX(Inputs!$G$132-IF(F$1=0,0,F$1*12+MthOff), 0))*Inputs!$B$134</f>
        <v>0</v>
      </c>
      <c r="H27" s="7">
        <f ca="1">MIN(IF(G$1=0,MthRem,12), MAX(Inputs!$G$132-IF(G$1=0,0,G$1*12+MthOff), 0))*Inputs!$B$134</f>
        <v>0</v>
      </c>
      <c r="I27" s="7">
        <f ca="1">MIN(IF(H$1=0,MthRem,12), MAX(Inputs!$G$132-IF(H$1=0,0,H$1*12+MthOff), 0))*Inputs!$B$134</f>
        <v>0</v>
      </c>
      <c r="J27" s="7">
        <f ca="1">MIN(IF(I$1=0,MthRem,12), MAX(Inputs!$G$132-IF(I$1=0,0,I$1*12+MthOff), 0))*Inputs!$B$134</f>
        <v>0</v>
      </c>
      <c r="K27" s="7">
        <f ca="1">MIN(IF(J$1=0,MthRem,12), MAX(Inputs!$G$132-IF(J$1=0,0,J$1*12+MthOff), 0))*Inputs!$B$134</f>
        <v>0</v>
      </c>
      <c r="L27" s="7">
        <f ca="1">MIN(IF(K$1=0,MthRem,12), MAX(Inputs!$G$132-IF(K$1=0,0,K$1*12+MthOff), 0))*Inputs!$B$134</f>
        <v>0</v>
      </c>
      <c r="M27" s="7">
        <f ca="1">MIN(IF(L$1=0,MthRem,12), MAX(Inputs!$G$132-IF(L$1=0,0,L$1*12+MthOff), 0))*Inputs!$B$134</f>
        <v>0</v>
      </c>
      <c r="N27" s="7">
        <f ca="1">MIN(IF(M$1=0,MthRem,12), MAX(Inputs!$G$132-IF(M$1=0,0,M$1*12+MthOff), 0))*Inputs!$B$134</f>
        <v>0</v>
      </c>
      <c r="O27" s="7">
        <f ca="1">MIN(IF(N$1=0,MthRem,12), MAX(Inputs!$G$132-IF(N$1=0,0,N$1*12+MthOff), 0))*Inputs!$B$134</f>
        <v>0</v>
      </c>
      <c r="P27" s="7">
        <f ca="1">MIN(IF(O$1=0,MthRem,12), MAX(Inputs!$G$132-IF(O$1=0,0,O$1*12+MthOff), 0))*Inputs!$B$134</f>
        <v>0</v>
      </c>
      <c r="Q27" s="7">
        <f ca="1">MIN(IF(P$1=0,MthRem,12), MAX(Inputs!$G$132-IF(P$1=0,0,P$1*12+MthOff), 0))*Inputs!$B$134</f>
        <v>0</v>
      </c>
      <c r="R27" s="7">
        <f ca="1">MIN(IF(Q$1=0,MthRem,12), MAX(Inputs!$G$132-IF(Q$1=0,0,Q$1*12+MthOff), 0))*Inputs!$B$134</f>
        <v>0</v>
      </c>
      <c r="S27" s="7">
        <f ca="1">MIN(IF(R$1=0,MthRem,12), MAX(Inputs!$G$132-IF(R$1=0,0,R$1*12+MthOff), 0))*Inputs!$B$134</f>
        <v>0</v>
      </c>
      <c r="T27" s="7">
        <f ca="1">MIN(IF(S$1=0,MthRem,12), MAX(Inputs!$G$132-IF(S$1=0,0,S$1*12+MthOff), 0))*Inputs!$B$134</f>
        <v>0</v>
      </c>
      <c r="U27" s="7">
        <f ca="1">MIN(IF(T$1=0,MthRem,12), MAX(Inputs!$G$132-IF(T$1=0,0,T$1*12+MthOff), 0))*Inputs!$B$134</f>
        <v>0</v>
      </c>
      <c r="V27" s="7">
        <f ca="1">MIN(IF(U$1=0,MthRem,12), MAX(Inputs!$G$132-IF(U$1=0,0,U$1*12+MthOff), 0))*Inputs!$B$134</f>
        <v>0</v>
      </c>
      <c r="W27" s="7">
        <f ca="1">MIN(IF(V$1=0,MthRem,12), MAX(Inputs!$G$132-IF(V$1=0,0,V$1*12+MthOff), 0))*Inputs!$B$134</f>
        <v>0</v>
      </c>
      <c r="X27" s="7">
        <f ca="1">MIN(IF(W$1=0,MthRem,12), MAX(Inputs!$G$132-IF(W$1=0,0,W$1*12+MthOff), 0))*Inputs!$B$134</f>
        <v>0</v>
      </c>
      <c r="Y27" s="7">
        <f ca="1">MIN(IF(X$1=0,MthRem,12), MAX(Inputs!$G$132-IF(X$1=0,0,X$1*12+MthOff), 0))*Inputs!$B$134</f>
        <v>0</v>
      </c>
      <c r="Z27" s="7">
        <f ca="1">MIN(IF(Y$1=0,MthRem,12), MAX(Inputs!$G$132-IF(Y$1=0,0,Y$1*12+MthOff), 0))*Inputs!$B$134</f>
        <v>0</v>
      </c>
      <c r="AA27" s="7">
        <f ca="1">MIN(IF(Z$1=0,MthRem,12), MAX(Inputs!$G$132-IF(Z$1=0,0,Z$1*12+MthOff), 0))*Inputs!$B$134</f>
        <v>0</v>
      </c>
      <c r="AB27" s="7">
        <f ca="1">MIN(IF(AA$1=0,MthRem,12), MAX(Inputs!$G$132-IF(AA$1=0,0,AA$1*12+MthOff), 0))*Inputs!$B$134</f>
        <v>0</v>
      </c>
      <c r="AC27" s="7">
        <f ca="1">MIN(IF(AB$1=0,MthRem,12), MAX(Inputs!$G$132-IF(AB$1=0,0,AB$1*12+MthOff), 0))*Inputs!$B$134</f>
        <v>0</v>
      </c>
      <c r="AD27" s="7">
        <f ca="1">MIN(IF(AC$1=0,MthRem,12), MAX(Inputs!$G$132-IF(AC$1=0,0,AC$1*12+MthOff), 0))*Inputs!$B$134</f>
        <v>0</v>
      </c>
      <c r="AE27" s="7">
        <f ca="1">MIN(IF(AD$1=0,MthRem,12), MAX(Inputs!$G$132-IF(AD$1=0,0,AD$1*12+MthOff), 0))*Inputs!$B$134</f>
        <v>0</v>
      </c>
      <c r="AF27" s="7">
        <f ca="1">MIN(IF(AE$1=0,MthRem,12), MAX(Inputs!$G$132-IF(AE$1=0,0,AE$1*12+MthOff), 0))*Inputs!$B$134</f>
        <v>0</v>
      </c>
      <c r="AG27" s="7">
        <f ca="1">MIN(IF(AF$1=0,MthRem,12), MAX(Inputs!$G$132-IF(AF$1=0,0,AF$1*12+MthOff), 0))*Inputs!$B$134</f>
        <v>0</v>
      </c>
      <c r="AH27" s="7">
        <f ca="1">MIN(IF(AG$1=0,MthRem,12), MAX(Inputs!$G$132-IF(AG$1=0,0,AG$1*12+MthOff), 0))*Inputs!$B$134</f>
        <v>0</v>
      </c>
      <c r="AI27" s="7">
        <f ca="1">MIN(IF(AH$1=0,MthRem,12), MAX(Inputs!$G$132-IF(AH$1=0,0,AH$1*12+MthOff), 0))*Inputs!$B$134</f>
        <v>0</v>
      </c>
      <c r="AJ27" s="7">
        <f ca="1">MIN(IF(AI$1=0,MthRem,12), MAX(Inputs!$G$132-IF(AI$1=0,0,AI$1*12+MthOff), 0))*Inputs!$B$134</f>
        <v>0</v>
      </c>
      <c r="AK27" s="7">
        <f ca="1">MIN(IF(AJ$1=0,MthRem,12), MAX(Inputs!$G$132-IF(AJ$1=0,0,AJ$1*12+MthOff), 0))*Inputs!$B$134</f>
        <v>0</v>
      </c>
      <c r="AL27" s="7">
        <f ca="1">MIN(IF(AK$1=0,MthRem,12), MAX(Inputs!$G$132-IF(AK$1=0,0,AK$1*12+MthOff), 0))*Inputs!$B$134</f>
        <v>0</v>
      </c>
      <c r="AM27" s="7">
        <f ca="1">MIN(IF(AL$1=0,MthRem,12), MAX(Inputs!$G$132-IF(AL$1=0,0,AL$1*12+MthOff), 0))*Inputs!$B$134</f>
        <v>0</v>
      </c>
    </row>
    <row r="28" spans="1:39" x14ac:dyDescent="0.2">
      <c r="A28" s="3" t="str">
        <f>TEXT(Inputs!$B$70,"")</f>
        <v>Qormi</v>
      </c>
      <c r="C28" s="7">
        <f ca="1">MIN(IF(B$1=0,MthRem,12), MAX(Inputs!$G$137-IF(B$1=0,0,B$1*12+MthOff), 0))*Inputs!$B$139</f>
        <v>2500</v>
      </c>
      <c r="D28" s="7">
        <f ca="1">MIN(IF(C$1=0,MthRem,12), MAX(Inputs!$G$137-IF(C$1=0,0,C$1*12+MthOff), 0))*Inputs!$B$139</f>
        <v>3000</v>
      </c>
      <c r="E28" s="7">
        <f ca="1">MIN(IF(D$1=0,MthRem,12), MAX(Inputs!$G$137-IF(D$1=0,0,D$1*12+MthOff), 0))*Inputs!$B$139</f>
        <v>3000</v>
      </c>
      <c r="F28" s="7">
        <f ca="1">MIN(IF(E$1=0,MthRem,12), MAX(Inputs!$G$137-IF(E$1=0,0,E$1*12+MthOff), 0))*Inputs!$B$139</f>
        <v>3000</v>
      </c>
      <c r="G28" s="7">
        <f ca="1">MIN(IF(F$1=0,MthRem,12), MAX(Inputs!$G$137-IF(F$1=0,0,F$1*12+MthOff), 0))*Inputs!$B$139</f>
        <v>3000</v>
      </c>
      <c r="H28" s="7">
        <f ca="1">MIN(IF(G$1=0,MthRem,12), MAX(Inputs!$G$137-IF(G$1=0,0,G$1*12+MthOff), 0))*Inputs!$B$139</f>
        <v>2796.8596856502154</v>
      </c>
      <c r="I28" s="7">
        <f ca="1">MIN(IF(H$1=0,MthRem,12), MAX(Inputs!$G$137-IF(H$1=0,0,H$1*12+MthOff), 0))*Inputs!$B$139</f>
        <v>0</v>
      </c>
      <c r="J28" s="7">
        <f ca="1">MIN(IF(I$1=0,MthRem,12), MAX(Inputs!$G$137-IF(I$1=0,0,I$1*12+MthOff), 0))*Inputs!$B$139</f>
        <v>0</v>
      </c>
      <c r="K28" s="7">
        <f ca="1">MIN(IF(J$1=0,MthRem,12), MAX(Inputs!$G$137-IF(J$1=0,0,J$1*12+MthOff), 0))*Inputs!$B$139</f>
        <v>0</v>
      </c>
      <c r="L28" s="7">
        <f ca="1">MIN(IF(K$1=0,MthRem,12), MAX(Inputs!$G$137-IF(K$1=0,0,K$1*12+MthOff), 0))*Inputs!$B$139</f>
        <v>0</v>
      </c>
      <c r="M28" s="7">
        <f ca="1">MIN(IF(L$1=0,MthRem,12), MAX(Inputs!$G$137-IF(L$1=0,0,L$1*12+MthOff), 0))*Inputs!$B$139</f>
        <v>0</v>
      </c>
      <c r="N28" s="7">
        <f ca="1">MIN(IF(M$1=0,MthRem,12), MAX(Inputs!$G$137-IF(M$1=0,0,M$1*12+MthOff), 0))*Inputs!$B$139</f>
        <v>0</v>
      </c>
      <c r="O28" s="7">
        <f ca="1">MIN(IF(N$1=0,MthRem,12), MAX(Inputs!$G$137-IF(N$1=0,0,N$1*12+MthOff), 0))*Inputs!$B$139</f>
        <v>0</v>
      </c>
      <c r="P28" s="7">
        <f ca="1">MIN(IF(O$1=0,MthRem,12), MAX(Inputs!$G$137-IF(O$1=0,0,O$1*12+MthOff), 0))*Inputs!$B$139</f>
        <v>0</v>
      </c>
      <c r="Q28" s="7">
        <f ca="1">MIN(IF(P$1=0,MthRem,12), MAX(Inputs!$G$137-IF(P$1=0,0,P$1*12+MthOff), 0))*Inputs!$B$139</f>
        <v>0</v>
      </c>
      <c r="R28" s="7">
        <f ca="1">MIN(IF(Q$1=0,MthRem,12), MAX(Inputs!$G$137-IF(Q$1=0,0,Q$1*12+MthOff), 0))*Inputs!$B$139</f>
        <v>0</v>
      </c>
      <c r="S28" s="7">
        <f ca="1">MIN(IF(R$1=0,MthRem,12), MAX(Inputs!$G$137-IF(R$1=0,0,R$1*12+MthOff), 0))*Inputs!$B$139</f>
        <v>0</v>
      </c>
      <c r="T28" s="7">
        <f ca="1">MIN(IF(S$1=0,MthRem,12), MAX(Inputs!$G$137-IF(S$1=0,0,S$1*12+MthOff), 0))*Inputs!$B$139</f>
        <v>0</v>
      </c>
      <c r="U28" s="7">
        <f ca="1">MIN(IF(T$1=0,MthRem,12), MAX(Inputs!$G$137-IF(T$1=0,0,T$1*12+MthOff), 0))*Inputs!$B$139</f>
        <v>0</v>
      </c>
      <c r="V28" s="7">
        <f ca="1">MIN(IF(U$1=0,MthRem,12), MAX(Inputs!$G$137-IF(U$1=0,0,U$1*12+MthOff), 0))*Inputs!$B$139</f>
        <v>0</v>
      </c>
      <c r="W28" s="7">
        <f ca="1">MIN(IF(V$1=0,MthRem,12), MAX(Inputs!$G$137-IF(V$1=0,0,V$1*12+MthOff), 0))*Inputs!$B$139</f>
        <v>0</v>
      </c>
      <c r="X28" s="7">
        <f ca="1">MIN(IF(W$1=0,MthRem,12), MAX(Inputs!$G$137-IF(W$1=0,0,W$1*12+MthOff), 0))*Inputs!$B$139</f>
        <v>0</v>
      </c>
      <c r="Y28" s="7">
        <f ca="1">MIN(IF(X$1=0,MthRem,12), MAX(Inputs!$G$137-IF(X$1=0,0,X$1*12+MthOff), 0))*Inputs!$B$139</f>
        <v>0</v>
      </c>
      <c r="Z28" s="7">
        <f ca="1">MIN(IF(Y$1=0,MthRem,12), MAX(Inputs!$G$137-IF(Y$1=0,0,Y$1*12+MthOff), 0))*Inputs!$B$139</f>
        <v>0</v>
      </c>
      <c r="AA28" s="7">
        <f ca="1">MIN(IF(Z$1=0,MthRem,12), MAX(Inputs!$G$137-IF(Z$1=0,0,Z$1*12+MthOff), 0))*Inputs!$B$139</f>
        <v>0</v>
      </c>
      <c r="AB28" s="7">
        <f ca="1">MIN(IF(AA$1=0,MthRem,12), MAX(Inputs!$G$137-IF(AA$1=0,0,AA$1*12+MthOff), 0))*Inputs!$B$139</f>
        <v>0</v>
      </c>
      <c r="AC28" s="7">
        <f ca="1">MIN(IF(AB$1=0,MthRem,12), MAX(Inputs!$G$137-IF(AB$1=0,0,AB$1*12+MthOff), 0))*Inputs!$B$139</f>
        <v>0</v>
      </c>
      <c r="AD28" s="7">
        <f ca="1">MIN(IF(AC$1=0,MthRem,12), MAX(Inputs!$G$137-IF(AC$1=0,0,AC$1*12+MthOff), 0))*Inputs!$B$139</f>
        <v>0</v>
      </c>
      <c r="AE28" s="7">
        <f ca="1">MIN(IF(AD$1=0,MthRem,12), MAX(Inputs!$G$137-IF(AD$1=0,0,AD$1*12+MthOff), 0))*Inputs!$B$139</f>
        <v>0</v>
      </c>
      <c r="AF28" s="7">
        <f ca="1">MIN(IF(AE$1=0,MthRem,12), MAX(Inputs!$G$137-IF(AE$1=0,0,AE$1*12+MthOff), 0))*Inputs!$B$139</f>
        <v>0</v>
      </c>
      <c r="AG28" s="7">
        <f ca="1">MIN(IF(AF$1=0,MthRem,12), MAX(Inputs!$G$137-IF(AF$1=0,0,AF$1*12+MthOff), 0))*Inputs!$B$139</f>
        <v>0</v>
      </c>
      <c r="AH28" s="7">
        <f ca="1">MIN(IF(AG$1=0,MthRem,12), MAX(Inputs!$G$137-IF(AG$1=0,0,AG$1*12+MthOff), 0))*Inputs!$B$139</f>
        <v>0</v>
      </c>
      <c r="AI28" s="7">
        <f ca="1">MIN(IF(AH$1=0,MthRem,12), MAX(Inputs!$G$137-IF(AH$1=0,0,AH$1*12+MthOff), 0))*Inputs!$B$139</f>
        <v>0</v>
      </c>
      <c r="AJ28" s="7">
        <f ca="1">MIN(IF(AI$1=0,MthRem,12), MAX(Inputs!$G$137-IF(AI$1=0,0,AI$1*12+MthOff), 0))*Inputs!$B$139</f>
        <v>0</v>
      </c>
      <c r="AK28" s="7">
        <f ca="1">MIN(IF(AJ$1=0,MthRem,12), MAX(Inputs!$G$137-IF(AJ$1=0,0,AJ$1*12+MthOff), 0))*Inputs!$B$139</f>
        <v>0</v>
      </c>
      <c r="AL28" s="7">
        <f ca="1">MIN(IF(AK$1=0,MthRem,12), MAX(Inputs!$G$137-IF(AK$1=0,0,AK$1*12+MthOff), 0))*Inputs!$B$139</f>
        <v>0</v>
      </c>
      <c r="AM28" s="7">
        <f ca="1">MIN(IF(AL$1=0,MthRem,12), MAX(Inputs!$G$137-IF(AL$1=0,0,AL$1*12+MthOff), 0))*Inputs!$B$139</f>
        <v>0</v>
      </c>
    </row>
    <row r="29" spans="1:39" x14ac:dyDescent="0.2">
      <c r="A29" s="3" t="str">
        <f>TEXT(Inputs!$B$75,"")</f>
        <v>Gudja</v>
      </c>
      <c r="C29" s="7">
        <f ca="1">MIN(IF(B$1=0,MthRem,12), MAX(Inputs!$G$142-IF(B$1=0,0,B$1*12+MthOff), 0))*Inputs!$B$144</f>
        <v>800</v>
      </c>
      <c r="D29" s="7">
        <f ca="1">MIN(IF(C$1=0,MthRem,12), MAX(Inputs!$G$142-IF(C$1=0,0,C$1*12+MthOff), 0))*Inputs!$B$144</f>
        <v>960</v>
      </c>
      <c r="E29" s="7">
        <f ca="1">MIN(IF(D$1=0,MthRem,12), MAX(Inputs!$G$142-IF(D$1=0,0,D$1*12+MthOff), 0))*Inputs!$B$144</f>
        <v>960</v>
      </c>
      <c r="F29" s="7">
        <f ca="1">MIN(IF(E$1=0,MthRem,12), MAX(Inputs!$G$142-IF(E$1=0,0,E$1*12+MthOff), 0))*Inputs!$B$144</f>
        <v>960</v>
      </c>
      <c r="G29" s="7">
        <f ca="1">MIN(IF(F$1=0,MthRem,12), MAX(Inputs!$G$142-IF(F$1=0,0,F$1*12+MthOff), 0))*Inputs!$B$144</f>
        <v>960</v>
      </c>
      <c r="H29" s="7">
        <f ca="1">MIN(IF(G$1=0,MthRem,12), MAX(Inputs!$G$142-IF(G$1=0,0,G$1*12+MthOff), 0))*Inputs!$B$144</f>
        <v>288.25858585362369</v>
      </c>
      <c r="I29" s="7">
        <f ca="1">MIN(IF(H$1=0,MthRem,12), MAX(Inputs!$G$142-IF(H$1=0,0,H$1*12+MthOff), 0))*Inputs!$B$144</f>
        <v>0</v>
      </c>
      <c r="J29" s="7">
        <f ca="1">MIN(IF(I$1=0,MthRem,12), MAX(Inputs!$G$142-IF(I$1=0,0,I$1*12+MthOff), 0))*Inputs!$B$144</f>
        <v>0</v>
      </c>
      <c r="K29" s="7">
        <f ca="1">MIN(IF(J$1=0,MthRem,12), MAX(Inputs!$G$142-IF(J$1=0,0,J$1*12+MthOff), 0))*Inputs!$B$144</f>
        <v>0</v>
      </c>
      <c r="L29" s="7">
        <f ca="1">MIN(IF(K$1=0,MthRem,12), MAX(Inputs!$G$142-IF(K$1=0,0,K$1*12+MthOff), 0))*Inputs!$B$144</f>
        <v>0</v>
      </c>
      <c r="M29" s="7">
        <f ca="1">MIN(IF(L$1=0,MthRem,12), MAX(Inputs!$G$142-IF(L$1=0,0,L$1*12+MthOff), 0))*Inputs!$B$144</f>
        <v>0</v>
      </c>
      <c r="N29" s="7">
        <f ca="1">MIN(IF(M$1=0,MthRem,12), MAX(Inputs!$G$142-IF(M$1=0,0,M$1*12+MthOff), 0))*Inputs!$B$144</f>
        <v>0</v>
      </c>
      <c r="O29" s="7">
        <f ca="1">MIN(IF(N$1=0,MthRem,12), MAX(Inputs!$G$142-IF(N$1=0,0,N$1*12+MthOff), 0))*Inputs!$B$144</f>
        <v>0</v>
      </c>
      <c r="P29" s="7">
        <f ca="1">MIN(IF(O$1=0,MthRem,12), MAX(Inputs!$G$142-IF(O$1=0,0,O$1*12+MthOff), 0))*Inputs!$B$144</f>
        <v>0</v>
      </c>
      <c r="Q29" s="7">
        <f ca="1">MIN(IF(P$1=0,MthRem,12), MAX(Inputs!$G$142-IF(P$1=0,0,P$1*12+MthOff), 0))*Inputs!$B$144</f>
        <v>0</v>
      </c>
      <c r="R29" s="7">
        <f ca="1">MIN(IF(Q$1=0,MthRem,12), MAX(Inputs!$G$142-IF(Q$1=0,0,Q$1*12+MthOff), 0))*Inputs!$B$144</f>
        <v>0</v>
      </c>
      <c r="S29" s="7">
        <f ca="1">MIN(IF(R$1=0,MthRem,12), MAX(Inputs!$G$142-IF(R$1=0,0,R$1*12+MthOff), 0))*Inputs!$B$144</f>
        <v>0</v>
      </c>
      <c r="T29" s="7">
        <f ca="1">MIN(IF(S$1=0,MthRem,12), MAX(Inputs!$G$142-IF(S$1=0,0,S$1*12+MthOff), 0))*Inputs!$B$144</f>
        <v>0</v>
      </c>
      <c r="U29" s="7">
        <f ca="1">MIN(IF(T$1=0,MthRem,12), MAX(Inputs!$G$142-IF(T$1=0,0,T$1*12+MthOff), 0))*Inputs!$B$144</f>
        <v>0</v>
      </c>
      <c r="V29" s="7">
        <f ca="1">MIN(IF(U$1=0,MthRem,12), MAX(Inputs!$G$142-IF(U$1=0,0,U$1*12+MthOff), 0))*Inputs!$B$144</f>
        <v>0</v>
      </c>
      <c r="W29" s="7">
        <f ca="1">MIN(IF(V$1=0,MthRem,12), MAX(Inputs!$G$142-IF(V$1=0,0,V$1*12+MthOff), 0))*Inputs!$B$144</f>
        <v>0</v>
      </c>
      <c r="X29" s="7">
        <f ca="1">MIN(IF(W$1=0,MthRem,12), MAX(Inputs!$G$142-IF(W$1=0,0,W$1*12+MthOff), 0))*Inputs!$B$144</f>
        <v>0</v>
      </c>
      <c r="Y29" s="7">
        <f ca="1">MIN(IF(X$1=0,MthRem,12), MAX(Inputs!$G$142-IF(X$1=0,0,X$1*12+MthOff), 0))*Inputs!$B$144</f>
        <v>0</v>
      </c>
      <c r="Z29" s="7">
        <f ca="1">MIN(IF(Y$1=0,MthRem,12), MAX(Inputs!$G$142-IF(Y$1=0,0,Y$1*12+MthOff), 0))*Inputs!$B$144</f>
        <v>0</v>
      </c>
      <c r="AA29" s="7">
        <f ca="1">MIN(IF(Z$1=0,MthRem,12), MAX(Inputs!$G$142-IF(Z$1=0,0,Z$1*12+MthOff), 0))*Inputs!$B$144</f>
        <v>0</v>
      </c>
      <c r="AB29" s="7">
        <f ca="1">MIN(IF(AA$1=0,MthRem,12), MAX(Inputs!$G$142-IF(AA$1=0,0,AA$1*12+MthOff), 0))*Inputs!$B$144</f>
        <v>0</v>
      </c>
      <c r="AC29" s="7">
        <f ca="1">MIN(IF(AB$1=0,MthRem,12), MAX(Inputs!$G$142-IF(AB$1=0,0,AB$1*12+MthOff), 0))*Inputs!$B$144</f>
        <v>0</v>
      </c>
      <c r="AD29" s="7">
        <f ca="1">MIN(IF(AC$1=0,MthRem,12), MAX(Inputs!$G$142-IF(AC$1=0,0,AC$1*12+MthOff), 0))*Inputs!$B$144</f>
        <v>0</v>
      </c>
      <c r="AE29" s="7">
        <f ca="1">MIN(IF(AD$1=0,MthRem,12), MAX(Inputs!$G$142-IF(AD$1=0,0,AD$1*12+MthOff), 0))*Inputs!$B$144</f>
        <v>0</v>
      </c>
      <c r="AF29" s="7">
        <f ca="1">MIN(IF(AE$1=0,MthRem,12), MAX(Inputs!$G$142-IF(AE$1=0,0,AE$1*12+MthOff), 0))*Inputs!$B$144</f>
        <v>0</v>
      </c>
      <c r="AG29" s="7">
        <f ca="1">MIN(IF(AF$1=0,MthRem,12), MAX(Inputs!$G$142-IF(AF$1=0,0,AF$1*12+MthOff), 0))*Inputs!$B$144</f>
        <v>0</v>
      </c>
      <c r="AH29" s="7">
        <f ca="1">MIN(IF(AG$1=0,MthRem,12), MAX(Inputs!$G$142-IF(AG$1=0,0,AG$1*12+MthOff), 0))*Inputs!$B$144</f>
        <v>0</v>
      </c>
      <c r="AI29" s="7">
        <f ca="1">MIN(IF(AH$1=0,MthRem,12), MAX(Inputs!$G$142-IF(AH$1=0,0,AH$1*12+MthOff), 0))*Inputs!$B$144</f>
        <v>0</v>
      </c>
      <c r="AJ29" s="7">
        <f ca="1">MIN(IF(AI$1=0,MthRem,12), MAX(Inputs!$G$142-IF(AI$1=0,0,AI$1*12+MthOff), 0))*Inputs!$B$144</f>
        <v>0</v>
      </c>
      <c r="AK29" s="7">
        <f ca="1">MIN(IF(AJ$1=0,MthRem,12), MAX(Inputs!$G$142-IF(AJ$1=0,0,AJ$1*12+MthOff), 0))*Inputs!$B$144</f>
        <v>0</v>
      </c>
      <c r="AL29" s="7">
        <f ca="1">MIN(IF(AK$1=0,MthRem,12), MAX(Inputs!$G$142-IF(AK$1=0,0,AK$1*12+MthOff), 0))*Inputs!$B$144</f>
        <v>0</v>
      </c>
      <c r="AM29" s="7">
        <f ca="1">MIN(IF(AL$1=0,MthRem,12), MAX(Inputs!$G$142-IF(AL$1=0,0,AL$1*12+MthOff), 0))*Inputs!$B$144</f>
        <v>0</v>
      </c>
    </row>
    <row r="30" spans="1:39" x14ac:dyDescent="0.2">
      <c r="A30" s="3" t="str">
        <f>TEXT(Inputs!$B$80,"")</f>
        <v>Marsa</v>
      </c>
      <c r="C30" s="7">
        <f ca="1">MIN(IF(B$1=0,MthRem,12), MAX(Inputs!$G$147-IF(B$1=0,0,B$1*12+MthOff), 0))*Inputs!$B$149</f>
        <v>1200</v>
      </c>
      <c r="D30" s="7">
        <f ca="1">MIN(IF(C$1=0,MthRem,12), MAX(Inputs!$G$147-IF(C$1=0,0,C$1*12+MthOff), 0))*Inputs!$B$149</f>
        <v>1440</v>
      </c>
      <c r="E30" s="7">
        <f ca="1">MIN(IF(D$1=0,MthRem,12), MAX(Inputs!$G$147-IF(D$1=0,0,D$1*12+MthOff), 0))*Inputs!$B$149</f>
        <v>1440</v>
      </c>
      <c r="F30" s="7">
        <f ca="1">MIN(IF(E$1=0,MthRem,12), MAX(Inputs!$G$147-IF(E$1=0,0,E$1*12+MthOff), 0))*Inputs!$B$149</f>
        <v>1440</v>
      </c>
      <c r="G30" s="7">
        <f ca="1">MIN(IF(F$1=0,MthRem,12), MAX(Inputs!$G$147-IF(F$1=0,0,F$1*12+MthOff), 0))*Inputs!$B$149</f>
        <v>1440</v>
      </c>
      <c r="H30" s="7">
        <f ca="1">MIN(IF(G$1=0,MthRem,12), MAX(Inputs!$G$147-IF(G$1=0,0,G$1*12+MthOff), 0))*Inputs!$B$149</f>
        <v>1440</v>
      </c>
      <c r="I30" s="7">
        <f ca="1">MIN(IF(H$1=0,MthRem,12), MAX(Inputs!$G$147-IF(H$1=0,0,H$1*12+MthOff), 0))*Inputs!$B$149</f>
        <v>1440</v>
      </c>
      <c r="J30" s="7">
        <f ca="1">MIN(IF(I$1=0,MthRem,12), MAX(Inputs!$G$147-IF(I$1=0,0,I$1*12+MthOff), 0))*Inputs!$B$149</f>
        <v>789.24880782033654</v>
      </c>
      <c r="K30" s="7">
        <f ca="1">MIN(IF(J$1=0,MthRem,12), MAX(Inputs!$G$147-IF(J$1=0,0,J$1*12+MthOff), 0))*Inputs!$B$149</f>
        <v>0</v>
      </c>
      <c r="L30" s="7">
        <f ca="1">MIN(IF(K$1=0,MthRem,12), MAX(Inputs!$G$147-IF(K$1=0,0,K$1*12+MthOff), 0))*Inputs!$B$149</f>
        <v>0</v>
      </c>
      <c r="M30" s="7">
        <f ca="1">MIN(IF(L$1=0,MthRem,12), MAX(Inputs!$G$147-IF(L$1=0,0,L$1*12+MthOff), 0))*Inputs!$B$149</f>
        <v>0</v>
      </c>
      <c r="N30" s="7">
        <f ca="1">MIN(IF(M$1=0,MthRem,12), MAX(Inputs!$G$147-IF(M$1=0,0,M$1*12+MthOff), 0))*Inputs!$B$149</f>
        <v>0</v>
      </c>
      <c r="O30" s="7">
        <f ca="1">MIN(IF(N$1=0,MthRem,12), MAX(Inputs!$G$147-IF(N$1=0,0,N$1*12+MthOff), 0))*Inputs!$B$149</f>
        <v>0</v>
      </c>
      <c r="P30" s="7">
        <f ca="1">MIN(IF(O$1=0,MthRem,12), MAX(Inputs!$G$147-IF(O$1=0,0,O$1*12+MthOff), 0))*Inputs!$B$149</f>
        <v>0</v>
      </c>
      <c r="Q30" s="7">
        <f ca="1">MIN(IF(P$1=0,MthRem,12), MAX(Inputs!$G$147-IF(P$1=0,0,P$1*12+MthOff), 0))*Inputs!$B$149</f>
        <v>0</v>
      </c>
      <c r="R30" s="7">
        <f ca="1">MIN(IF(Q$1=0,MthRem,12), MAX(Inputs!$G$147-IF(Q$1=0,0,Q$1*12+MthOff), 0))*Inputs!$B$149</f>
        <v>0</v>
      </c>
      <c r="S30" s="7">
        <f ca="1">MIN(IF(R$1=0,MthRem,12), MAX(Inputs!$G$147-IF(R$1=0,0,R$1*12+MthOff), 0))*Inputs!$B$149</f>
        <v>0</v>
      </c>
      <c r="T30" s="7">
        <f ca="1">MIN(IF(S$1=0,MthRem,12), MAX(Inputs!$G$147-IF(S$1=0,0,S$1*12+MthOff), 0))*Inputs!$B$149</f>
        <v>0</v>
      </c>
      <c r="U30" s="7">
        <f ca="1">MIN(IF(T$1=0,MthRem,12), MAX(Inputs!$G$147-IF(T$1=0,0,T$1*12+MthOff), 0))*Inputs!$B$149</f>
        <v>0</v>
      </c>
      <c r="V30" s="7">
        <f ca="1">MIN(IF(U$1=0,MthRem,12), MAX(Inputs!$G$147-IF(U$1=0,0,U$1*12+MthOff), 0))*Inputs!$B$149</f>
        <v>0</v>
      </c>
      <c r="W30" s="7">
        <f ca="1">MIN(IF(V$1=0,MthRem,12), MAX(Inputs!$G$147-IF(V$1=0,0,V$1*12+MthOff), 0))*Inputs!$B$149</f>
        <v>0</v>
      </c>
      <c r="X30" s="7">
        <f ca="1">MIN(IF(W$1=0,MthRem,12), MAX(Inputs!$G$147-IF(W$1=0,0,W$1*12+MthOff), 0))*Inputs!$B$149</f>
        <v>0</v>
      </c>
      <c r="Y30" s="7">
        <f ca="1">MIN(IF(X$1=0,MthRem,12), MAX(Inputs!$G$147-IF(X$1=0,0,X$1*12+MthOff), 0))*Inputs!$B$149</f>
        <v>0</v>
      </c>
      <c r="Z30" s="7">
        <f ca="1">MIN(IF(Y$1=0,MthRem,12), MAX(Inputs!$G$147-IF(Y$1=0,0,Y$1*12+MthOff), 0))*Inputs!$B$149</f>
        <v>0</v>
      </c>
      <c r="AA30" s="7">
        <f ca="1">MIN(IF(Z$1=0,MthRem,12), MAX(Inputs!$G$147-IF(Z$1=0,0,Z$1*12+MthOff), 0))*Inputs!$B$149</f>
        <v>0</v>
      </c>
      <c r="AB30" s="7">
        <f ca="1">MIN(IF(AA$1=0,MthRem,12), MAX(Inputs!$G$147-IF(AA$1=0,0,AA$1*12+MthOff), 0))*Inputs!$B$149</f>
        <v>0</v>
      </c>
      <c r="AC30" s="7">
        <f ca="1">MIN(IF(AB$1=0,MthRem,12), MAX(Inputs!$G$147-IF(AB$1=0,0,AB$1*12+MthOff), 0))*Inputs!$B$149</f>
        <v>0</v>
      </c>
      <c r="AD30" s="7">
        <f ca="1">MIN(IF(AC$1=0,MthRem,12), MAX(Inputs!$G$147-IF(AC$1=0,0,AC$1*12+MthOff), 0))*Inputs!$B$149</f>
        <v>0</v>
      </c>
      <c r="AE30" s="7">
        <f ca="1">MIN(IF(AD$1=0,MthRem,12), MAX(Inputs!$G$147-IF(AD$1=0,0,AD$1*12+MthOff), 0))*Inputs!$B$149</f>
        <v>0</v>
      </c>
      <c r="AF30" s="7">
        <f ca="1">MIN(IF(AE$1=0,MthRem,12), MAX(Inputs!$G$147-IF(AE$1=0,0,AE$1*12+MthOff), 0))*Inputs!$B$149</f>
        <v>0</v>
      </c>
      <c r="AG30" s="7">
        <f ca="1">MIN(IF(AF$1=0,MthRem,12), MAX(Inputs!$G$147-IF(AF$1=0,0,AF$1*12+MthOff), 0))*Inputs!$B$149</f>
        <v>0</v>
      </c>
      <c r="AH30" s="7">
        <f ca="1">MIN(IF(AG$1=0,MthRem,12), MAX(Inputs!$G$147-IF(AG$1=0,0,AG$1*12+MthOff), 0))*Inputs!$B$149</f>
        <v>0</v>
      </c>
      <c r="AI30" s="7">
        <f ca="1">MIN(IF(AH$1=0,MthRem,12), MAX(Inputs!$G$147-IF(AH$1=0,0,AH$1*12+MthOff), 0))*Inputs!$B$149</f>
        <v>0</v>
      </c>
      <c r="AJ30" s="7">
        <f ca="1">MIN(IF(AI$1=0,MthRem,12), MAX(Inputs!$G$147-IF(AI$1=0,0,AI$1*12+MthOff), 0))*Inputs!$B$149</f>
        <v>0</v>
      </c>
      <c r="AK30" s="7">
        <f ca="1">MIN(IF(AJ$1=0,MthRem,12), MAX(Inputs!$G$147-IF(AJ$1=0,0,AJ$1*12+MthOff), 0))*Inputs!$B$149</f>
        <v>0</v>
      </c>
      <c r="AL30" s="7">
        <f ca="1">MIN(IF(AK$1=0,MthRem,12), MAX(Inputs!$G$147-IF(AK$1=0,0,AK$1*12+MthOff), 0))*Inputs!$B$149</f>
        <v>0</v>
      </c>
      <c r="AM30" s="7">
        <f ca="1">MIN(IF(AL$1=0,MthRem,12), MAX(Inputs!$G$147-IF(AL$1=0,0,AL$1*12+MthOff), 0))*Inputs!$B$149</f>
        <v>0</v>
      </c>
    </row>
    <row r="31" spans="1:39" x14ac:dyDescent="0.2">
      <c r="A31" s="3" t="str">
        <f>TEXT(Inputs!$B$87,"")</f>
        <v>Jewelry</v>
      </c>
      <c r="C31" s="7">
        <f ca="1">MIN(IF(B$1=0,MthRem,12), MAX(Inputs!$G$152-IF(B$1=0,0,B$1*12+MthOff), 0))*Inputs!$B$154</f>
        <v>750</v>
      </c>
      <c r="D31" s="7">
        <f ca="1">MIN(IF(C$1=0,MthRem,12), MAX(Inputs!$G$152-IF(C$1=0,0,C$1*12+MthOff), 0))*Inputs!$B$154</f>
        <v>900</v>
      </c>
      <c r="E31" s="7">
        <f ca="1">MIN(IF(D$1=0,MthRem,12), MAX(Inputs!$G$152-IF(D$1=0,0,D$1*12+MthOff), 0))*Inputs!$B$154</f>
        <v>900</v>
      </c>
      <c r="F31" s="7">
        <f ca="1">MIN(IF(E$1=0,MthRem,12), MAX(Inputs!$G$152-IF(E$1=0,0,E$1*12+MthOff), 0))*Inputs!$B$154</f>
        <v>63.602878470047308</v>
      </c>
      <c r="G31" s="7">
        <f ca="1">MIN(IF(F$1=0,MthRem,12), MAX(Inputs!$G$152-IF(F$1=0,0,F$1*12+MthOff), 0))*Inputs!$B$154</f>
        <v>0</v>
      </c>
      <c r="H31" s="7">
        <f ca="1">MIN(IF(G$1=0,MthRem,12), MAX(Inputs!$G$152-IF(G$1=0,0,G$1*12+MthOff), 0))*Inputs!$B$154</f>
        <v>0</v>
      </c>
      <c r="I31" s="7">
        <f ca="1">MIN(IF(H$1=0,MthRem,12), MAX(Inputs!$G$152-IF(H$1=0,0,H$1*12+MthOff), 0))*Inputs!$B$154</f>
        <v>0</v>
      </c>
      <c r="J31" s="7">
        <f ca="1">MIN(IF(I$1=0,MthRem,12), MAX(Inputs!$G$152-IF(I$1=0,0,I$1*12+MthOff), 0))*Inputs!$B$154</f>
        <v>0</v>
      </c>
      <c r="K31" s="7">
        <f ca="1">MIN(IF(J$1=0,MthRem,12), MAX(Inputs!$G$152-IF(J$1=0,0,J$1*12+MthOff), 0))*Inputs!$B$154</f>
        <v>0</v>
      </c>
      <c r="L31" s="7">
        <f ca="1">MIN(IF(K$1=0,MthRem,12), MAX(Inputs!$G$152-IF(K$1=0,0,K$1*12+MthOff), 0))*Inputs!$B$154</f>
        <v>0</v>
      </c>
      <c r="M31" s="7">
        <f ca="1">MIN(IF(L$1=0,MthRem,12), MAX(Inputs!$G$152-IF(L$1=0,0,L$1*12+MthOff), 0))*Inputs!$B$154</f>
        <v>0</v>
      </c>
      <c r="N31" s="7">
        <f ca="1">MIN(IF(M$1=0,MthRem,12), MAX(Inputs!$G$152-IF(M$1=0,0,M$1*12+MthOff), 0))*Inputs!$B$154</f>
        <v>0</v>
      </c>
      <c r="O31" s="7">
        <f ca="1">MIN(IF(N$1=0,MthRem,12), MAX(Inputs!$G$152-IF(N$1=0,0,N$1*12+MthOff), 0))*Inputs!$B$154</f>
        <v>0</v>
      </c>
      <c r="P31" s="7">
        <f ca="1">MIN(IF(O$1=0,MthRem,12), MAX(Inputs!$G$152-IF(O$1=0,0,O$1*12+MthOff), 0))*Inputs!$B$154</f>
        <v>0</v>
      </c>
      <c r="Q31" s="7">
        <f ca="1">MIN(IF(P$1=0,MthRem,12), MAX(Inputs!$G$152-IF(P$1=0,0,P$1*12+MthOff), 0))*Inputs!$B$154</f>
        <v>0</v>
      </c>
      <c r="R31" s="7">
        <f ca="1">MIN(IF(Q$1=0,MthRem,12), MAX(Inputs!$G$152-IF(Q$1=0,0,Q$1*12+MthOff), 0))*Inputs!$B$154</f>
        <v>0</v>
      </c>
      <c r="S31" s="7">
        <f ca="1">MIN(IF(R$1=0,MthRem,12), MAX(Inputs!$G$152-IF(R$1=0,0,R$1*12+MthOff), 0))*Inputs!$B$154</f>
        <v>0</v>
      </c>
      <c r="T31" s="7">
        <f ca="1">MIN(IF(S$1=0,MthRem,12), MAX(Inputs!$G$152-IF(S$1=0,0,S$1*12+MthOff), 0))*Inputs!$B$154</f>
        <v>0</v>
      </c>
      <c r="U31" s="7">
        <f ca="1">MIN(IF(T$1=0,MthRem,12), MAX(Inputs!$G$152-IF(T$1=0,0,T$1*12+MthOff), 0))*Inputs!$B$154</f>
        <v>0</v>
      </c>
      <c r="V31" s="7">
        <f ca="1">MIN(IF(U$1=0,MthRem,12), MAX(Inputs!$G$152-IF(U$1=0,0,U$1*12+MthOff), 0))*Inputs!$B$154</f>
        <v>0</v>
      </c>
      <c r="W31" s="7">
        <f ca="1">MIN(IF(V$1=0,MthRem,12), MAX(Inputs!$G$152-IF(V$1=0,0,V$1*12+MthOff), 0))*Inputs!$B$154</f>
        <v>0</v>
      </c>
      <c r="X31" s="7">
        <f ca="1">MIN(IF(W$1=0,MthRem,12), MAX(Inputs!$G$152-IF(W$1=0,0,W$1*12+MthOff), 0))*Inputs!$B$154</f>
        <v>0</v>
      </c>
      <c r="Y31" s="7">
        <f ca="1">MIN(IF(X$1=0,MthRem,12), MAX(Inputs!$G$152-IF(X$1=0,0,X$1*12+MthOff), 0))*Inputs!$B$154</f>
        <v>0</v>
      </c>
      <c r="Z31" s="7">
        <f ca="1">MIN(IF(Y$1=0,MthRem,12), MAX(Inputs!$G$152-IF(Y$1=0,0,Y$1*12+MthOff), 0))*Inputs!$B$154</f>
        <v>0</v>
      </c>
      <c r="AA31" s="7">
        <f ca="1">MIN(IF(Z$1=0,MthRem,12), MAX(Inputs!$G$152-IF(Z$1=0,0,Z$1*12+MthOff), 0))*Inputs!$B$154</f>
        <v>0</v>
      </c>
      <c r="AB31" s="7">
        <f ca="1">MIN(IF(AA$1=0,MthRem,12), MAX(Inputs!$G$152-IF(AA$1=0,0,AA$1*12+MthOff), 0))*Inputs!$B$154</f>
        <v>0</v>
      </c>
      <c r="AC31" s="7">
        <f ca="1">MIN(IF(AB$1=0,MthRem,12), MAX(Inputs!$G$152-IF(AB$1=0,0,AB$1*12+MthOff), 0))*Inputs!$B$154</f>
        <v>0</v>
      </c>
      <c r="AD31" s="7">
        <f ca="1">MIN(IF(AC$1=0,MthRem,12), MAX(Inputs!$G$152-IF(AC$1=0,0,AC$1*12+MthOff), 0))*Inputs!$B$154</f>
        <v>0</v>
      </c>
      <c r="AE31" s="7">
        <f ca="1">MIN(IF(AD$1=0,MthRem,12), MAX(Inputs!$G$152-IF(AD$1=0,0,AD$1*12+MthOff), 0))*Inputs!$B$154</f>
        <v>0</v>
      </c>
      <c r="AF31" s="7">
        <f ca="1">MIN(IF(AE$1=0,MthRem,12), MAX(Inputs!$G$152-IF(AE$1=0,0,AE$1*12+MthOff), 0))*Inputs!$B$154</f>
        <v>0</v>
      </c>
      <c r="AG31" s="7">
        <f ca="1">MIN(IF(AF$1=0,MthRem,12), MAX(Inputs!$G$152-IF(AF$1=0,0,AF$1*12+MthOff), 0))*Inputs!$B$154</f>
        <v>0</v>
      </c>
      <c r="AH31" s="7">
        <f ca="1">MIN(IF(AG$1=0,MthRem,12), MAX(Inputs!$G$152-IF(AG$1=0,0,AG$1*12+MthOff), 0))*Inputs!$B$154</f>
        <v>0</v>
      </c>
      <c r="AI31" s="7">
        <f ca="1">MIN(IF(AH$1=0,MthRem,12), MAX(Inputs!$G$152-IF(AH$1=0,0,AH$1*12+MthOff), 0))*Inputs!$B$154</f>
        <v>0</v>
      </c>
      <c r="AJ31" s="7">
        <f ca="1">MIN(IF(AI$1=0,MthRem,12), MAX(Inputs!$G$152-IF(AI$1=0,0,AI$1*12+MthOff), 0))*Inputs!$B$154</f>
        <v>0</v>
      </c>
      <c r="AK31" s="7">
        <f ca="1">MIN(IF(AJ$1=0,MthRem,12), MAX(Inputs!$G$152-IF(AJ$1=0,0,AJ$1*12+MthOff), 0))*Inputs!$B$154</f>
        <v>0</v>
      </c>
      <c r="AL31" s="7">
        <f ca="1">MIN(IF(AK$1=0,MthRem,12), MAX(Inputs!$G$152-IF(AK$1=0,0,AK$1*12+MthOff), 0))*Inputs!$B$154</f>
        <v>0</v>
      </c>
      <c r="AM31" s="7">
        <f ca="1">MIN(IF(AL$1=0,MthRem,12), MAX(Inputs!$G$152-IF(AL$1=0,0,AL$1*12+MthOff), 0))*Inputs!$B$154</f>
        <v>0</v>
      </c>
    </row>
    <row r="32" spans="1:39" x14ac:dyDescent="0.2">
      <c r="A32" s="3" t="str">
        <f>TEXT(Inputs!$B$92,"")</f>
        <v>Car</v>
      </c>
      <c r="C32" s="7">
        <f ca="1">MIN(IF(B$1=0,MthRem,12), MAX(Inputs!$G$157-IF(B$1=0,0,B$1*12+MthOff), 0))*Inputs!$B$159</f>
        <v>860</v>
      </c>
      <c r="D32" s="7">
        <f ca="1">MIN(IF(C$1=0,MthRem,12), MAX(Inputs!$G$157-IF(C$1=0,0,C$1*12+MthOff), 0))*Inputs!$B$159</f>
        <v>1032</v>
      </c>
      <c r="E32" s="7">
        <f ca="1">MIN(IF(D$1=0,MthRem,12), MAX(Inputs!$G$157-IF(D$1=0,0,D$1*12+MthOff), 0))*Inputs!$B$159</f>
        <v>1032</v>
      </c>
      <c r="F32" s="7">
        <f ca="1">MIN(IF(E$1=0,MthRem,12), MAX(Inputs!$G$157-IF(E$1=0,0,E$1*12+MthOff), 0))*Inputs!$B$159</f>
        <v>1032</v>
      </c>
      <c r="G32" s="7">
        <f ca="1">MIN(IF(F$1=0,MthRem,12), MAX(Inputs!$G$157-IF(F$1=0,0,F$1*12+MthOff), 0))*Inputs!$B$159</f>
        <v>1032</v>
      </c>
      <c r="H32" s="7">
        <f ca="1">MIN(IF(G$1=0,MthRem,12), MAX(Inputs!$G$157-IF(G$1=0,0,G$1*12+MthOff), 0))*Inputs!$B$159</f>
        <v>1032</v>
      </c>
      <c r="I32" s="7">
        <f ca="1">MIN(IF(H$1=0,MthRem,12), MAX(Inputs!$G$157-IF(H$1=0,0,H$1*12+MthOff), 0))*Inputs!$B$159</f>
        <v>363.79405274184501</v>
      </c>
      <c r="J32" s="7">
        <f ca="1">MIN(IF(I$1=0,MthRem,12), MAX(Inputs!$G$157-IF(I$1=0,0,I$1*12+MthOff), 0))*Inputs!$B$159</f>
        <v>0</v>
      </c>
      <c r="K32" s="7">
        <f ca="1">MIN(IF(J$1=0,MthRem,12), MAX(Inputs!$G$157-IF(J$1=0,0,J$1*12+MthOff), 0))*Inputs!$B$159</f>
        <v>0</v>
      </c>
      <c r="L32" s="7">
        <f ca="1">MIN(IF(K$1=0,MthRem,12), MAX(Inputs!$G$157-IF(K$1=0,0,K$1*12+MthOff), 0))*Inputs!$B$159</f>
        <v>0</v>
      </c>
      <c r="M32" s="7">
        <f ca="1">MIN(IF(L$1=0,MthRem,12), MAX(Inputs!$G$157-IF(L$1=0,0,L$1*12+MthOff), 0))*Inputs!$B$159</f>
        <v>0</v>
      </c>
      <c r="N32" s="7">
        <f ca="1">MIN(IF(M$1=0,MthRem,12), MAX(Inputs!$G$157-IF(M$1=0,0,M$1*12+MthOff), 0))*Inputs!$B$159</f>
        <v>0</v>
      </c>
      <c r="O32" s="7">
        <f ca="1">MIN(IF(N$1=0,MthRem,12), MAX(Inputs!$G$157-IF(N$1=0,0,N$1*12+MthOff), 0))*Inputs!$B$159</f>
        <v>0</v>
      </c>
      <c r="P32" s="7">
        <f ca="1">MIN(IF(O$1=0,MthRem,12), MAX(Inputs!$G$157-IF(O$1=0,0,O$1*12+MthOff), 0))*Inputs!$B$159</f>
        <v>0</v>
      </c>
      <c r="Q32" s="7">
        <f ca="1">MIN(IF(P$1=0,MthRem,12), MAX(Inputs!$G$157-IF(P$1=0,0,P$1*12+MthOff), 0))*Inputs!$B$159</f>
        <v>0</v>
      </c>
      <c r="R32" s="7">
        <f ca="1">MIN(IF(Q$1=0,MthRem,12), MAX(Inputs!$G$157-IF(Q$1=0,0,Q$1*12+MthOff), 0))*Inputs!$B$159</f>
        <v>0</v>
      </c>
      <c r="S32" s="7">
        <f ca="1">MIN(IF(R$1=0,MthRem,12), MAX(Inputs!$G$157-IF(R$1=0,0,R$1*12+MthOff), 0))*Inputs!$B$159</f>
        <v>0</v>
      </c>
      <c r="T32" s="7">
        <f ca="1">MIN(IF(S$1=0,MthRem,12), MAX(Inputs!$G$157-IF(S$1=0,0,S$1*12+MthOff), 0))*Inputs!$B$159</f>
        <v>0</v>
      </c>
      <c r="U32" s="7">
        <f ca="1">MIN(IF(T$1=0,MthRem,12), MAX(Inputs!$G$157-IF(T$1=0,0,T$1*12+MthOff), 0))*Inputs!$B$159</f>
        <v>0</v>
      </c>
      <c r="V32" s="7">
        <f ca="1">MIN(IF(U$1=0,MthRem,12), MAX(Inputs!$G$157-IF(U$1=0,0,U$1*12+MthOff), 0))*Inputs!$B$159</f>
        <v>0</v>
      </c>
      <c r="W32" s="7">
        <f ca="1">MIN(IF(V$1=0,MthRem,12), MAX(Inputs!$G$157-IF(V$1=0,0,V$1*12+MthOff), 0))*Inputs!$B$159</f>
        <v>0</v>
      </c>
      <c r="X32" s="7">
        <f ca="1">MIN(IF(W$1=0,MthRem,12), MAX(Inputs!$G$157-IF(W$1=0,0,W$1*12+MthOff), 0))*Inputs!$B$159</f>
        <v>0</v>
      </c>
      <c r="Y32" s="7">
        <f ca="1">MIN(IF(X$1=0,MthRem,12), MAX(Inputs!$G$157-IF(X$1=0,0,X$1*12+MthOff), 0))*Inputs!$B$159</f>
        <v>0</v>
      </c>
      <c r="Z32" s="7">
        <f ca="1">MIN(IF(Y$1=0,MthRem,12), MAX(Inputs!$G$157-IF(Y$1=0,0,Y$1*12+MthOff), 0))*Inputs!$B$159</f>
        <v>0</v>
      </c>
      <c r="AA32" s="7">
        <f ca="1">MIN(IF(Z$1=0,MthRem,12), MAX(Inputs!$G$157-IF(Z$1=0,0,Z$1*12+MthOff), 0))*Inputs!$B$159</f>
        <v>0</v>
      </c>
      <c r="AB32" s="7">
        <f ca="1">MIN(IF(AA$1=0,MthRem,12), MAX(Inputs!$G$157-IF(AA$1=0,0,AA$1*12+MthOff), 0))*Inputs!$B$159</f>
        <v>0</v>
      </c>
      <c r="AC32" s="7">
        <f ca="1">MIN(IF(AB$1=0,MthRem,12), MAX(Inputs!$G$157-IF(AB$1=0,0,AB$1*12+MthOff), 0))*Inputs!$B$159</f>
        <v>0</v>
      </c>
      <c r="AD32" s="7">
        <f ca="1">MIN(IF(AC$1=0,MthRem,12), MAX(Inputs!$G$157-IF(AC$1=0,0,AC$1*12+MthOff), 0))*Inputs!$B$159</f>
        <v>0</v>
      </c>
      <c r="AE32" s="7">
        <f ca="1">MIN(IF(AD$1=0,MthRem,12), MAX(Inputs!$G$157-IF(AD$1=0,0,AD$1*12+MthOff), 0))*Inputs!$B$159</f>
        <v>0</v>
      </c>
      <c r="AF32" s="7">
        <f ca="1">MIN(IF(AE$1=0,MthRem,12), MAX(Inputs!$G$157-IF(AE$1=0,0,AE$1*12+MthOff), 0))*Inputs!$B$159</f>
        <v>0</v>
      </c>
      <c r="AG32" s="7">
        <f ca="1">MIN(IF(AF$1=0,MthRem,12), MAX(Inputs!$G$157-IF(AF$1=0,0,AF$1*12+MthOff), 0))*Inputs!$B$159</f>
        <v>0</v>
      </c>
      <c r="AH32" s="7">
        <f ca="1">MIN(IF(AG$1=0,MthRem,12), MAX(Inputs!$G$157-IF(AG$1=0,0,AG$1*12+MthOff), 0))*Inputs!$B$159</f>
        <v>0</v>
      </c>
      <c r="AI32" s="7">
        <f ca="1">MIN(IF(AH$1=0,MthRem,12), MAX(Inputs!$G$157-IF(AH$1=0,0,AH$1*12+MthOff), 0))*Inputs!$B$159</f>
        <v>0</v>
      </c>
      <c r="AJ32" s="7">
        <f ca="1">MIN(IF(AI$1=0,MthRem,12), MAX(Inputs!$G$157-IF(AI$1=0,0,AI$1*12+MthOff), 0))*Inputs!$B$159</f>
        <v>0</v>
      </c>
      <c r="AK32" s="7">
        <f ca="1">MIN(IF(AJ$1=0,MthRem,12), MAX(Inputs!$G$157-IF(AJ$1=0,0,AJ$1*12+MthOff), 0))*Inputs!$B$159</f>
        <v>0</v>
      </c>
      <c r="AL32" s="7">
        <f ca="1">MIN(IF(AK$1=0,MthRem,12), MAX(Inputs!$G$157-IF(AK$1=0,0,AK$1*12+MthOff), 0))*Inputs!$B$159</f>
        <v>0</v>
      </c>
      <c r="AM32" s="7">
        <f ca="1">MIN(IF(AL$1=0,MthRem,12), MAX(Inputs!$G$157-IF(AL$1=0,0,AL$1*12+MthOff), 0))*Inputs!$B$159</f>
        <v>0</v>
      </c>
    </row>
    <row r="33" spans="1:39" x14ac:dyDescent="0.2">
      <c r="A33" s="3" t="str">
        <f>TEXT(Inputs!$B$97,"")</f>
        <v>Painting</v>
      </c>
      <c r="C33" s="7">
        <f ca="1">MIN(IF(B$1=0,MthRem,12), MAX(Inputs!$G$162-IF(B$1=0,0,B$1*12+MthOff), 0))*Inputs!$B$164</f>
        <v>1250</v>
      </c>
      <c r="D33" s="7">
        <f ca="1">MIN(IF(C$1=0,MthRem,12), MAX(Inputs!$G$162-IF(C$1=0,0,C$1*12+MthOff), 0))*Inputs!$B$164</f>
        <v>1500</v>
      </c>
      <c r="E33" s="7">
        <f ca="1">MIN(IF(D$1=0,MthRem,12), MAX(Inputs!$G$162-IF(D$1=0,0,D$1*12+MthOff), 0))*Inputs!$B$164</f>
        <v>1500</v>
      </c>
      <c r="F33" s="7">
        <f ca="1">MIN(IF(E$1=0,MthRem,12), MAX(Inputs!$G$162-IF(E$1=0,0,E$1*12+MthOff), 0))*Inputs!$B$164</f>
        <v>1500</v>
      </c>
      <c r="G33" s="7">
        <f ca="1">MIN(IF(F$1=0,MthRem,12), MAX(Inputs!$G$162-IF(F$1=0,0,F$1*12+MthOff), 0))*Inputs!$B$164</f>
        <v>1500</v>
      </c>
      <c r="H33" s="7">
        <f ca="1">MIN(IF(G$1=0,MthRem,12), MAX(Inputs!$G$162-IF(G$1=0,0,G$1*12+MthOff), 0))*Inputs!$B$164</f>
        <v>1398.4298428251077</v>
      </c>
      <c r="I33" s="7">
        <f ca="1">MIN(IF(H$1=0,MthRem,12), MAX(Inputs!$G$162-IF(H$1=0,0,H$1*12+MthOff), 0))*Inputs!$B$164</f>
        <v>0</v>
      </c>
      <c r="J33" s="7">
        <f ca="1">MIN(IF(I$1=0,MthRem,12), MAX(Inputs!$G$162-IF(I$1=0,0,I$1*12+MthOff), 0))*Inputs!$B$164</f>
        <v>0</v>
      </c>
      <c r="K33" s="7">
        <f ca="1">MIN(IF(J$1=0,MthRem,12), MAX(Inputs!$G$162-IF(J$1=0,0,J$1*12+MthOff), 0))*Inputs!$B$164</f>
        <v>0</v>
      </c>
      <c r="L33" s="7">
        <f ca="1">MIN(IF(K$1=0,MthRem,12), MAX(Inputs!$G$162-IF(K$1=0,0,K$1*12+MthOff), 0))*Inputs!$B$164</f>
        <v>0</v>
      </c>
      <c r="M33" s="7">
        <f ca="1">MIN(IF(L$1=0,MthRem,12), MAX(Inputs!$G$162-IF(L$1=0,0,L$1*12+MthOff), 0))*Inputs!$B$164</f>
        <v>0</v>
      </c>
      <c r="N33" s="7">
        <f ca="1">MIN(IF(M$1=0,MthRem,12), MAX(Inputs!$G$162-IF(M$1=0,0,M$1*12+MthOff), 0))*Inputs!$B$164</f>
        <v>0</v>
      </c>
      <c r="O33" s="7">
        <f ca="1">MIN(IF(N$1=0,MthRem,12), MAX(Inputs!$G$162-IF(N$1=0,0,N$1*12+MthOff), 0))*Inputs!$B$164</f>
        <v>0</v>
      </c>
      <c r="P33" s="7">
        <f ca="1">MIN(IF(O$1=0,MthRem,12), MAX(Inputs!$G$162-IF(O$1=0,0,O$1*12+MthOff), 0))*Inputs!$B$164</f>
        <v>0</v>
      </c>
      <c r="Q33" s="7">
        <f ca="1">MIN(IF(P$1=0,MthRem,12), MAX(Inputs!$G$162-IF(P$1=0,0,P$1*12+MthOff), 0))*Inputs!$B$164</f>
        <v>0</v>
      </c>
      <c r="R33" s="7">
        <f ca="1">MIN(IF(Q$1=0,MthRem,12), MAX(Inputs!$G$162-IF(Q$1=0,0,Q$1*12+MthOff), 0))*Inputs!$B$164</f>
        <v>0</v>
      </c>
      <c r="S33" s="7">
        <f ca="1">MIN(IF(R$1=0,MthRem,12), MAX(Inputs!$G$162-IF(R$1=0,0,R$1*12+MthOff), 0))*Inputs!$B$164</f>
        <v>0</v>
      </c>
      <c r="T33" s="7">
        <f ca="1">MIN(IF(S$1=0,MthRem,12), MAX(Inputs!$G$162-IF(S$1=0,0,S$1*12+MthOff), 0))*Inputs!$B$164</f>
        <v>0</v>
      </c>
      <c r="U33" s="7">
        <f ca="1">MIN(IF(T$1=0,MthRem,12), MAX(Inputs!$G$162-IF(T$1=0,0,T$1*12+MthOff), 0))*Inputs!$B$164</f>
        <v>0</v>
      </c>
      <c r="V33" s="7">
        <f ca="1">MIN(IF(U$1=0,MthRem,12), MAX(Inputs!$G$162-IF(U$1=0,0,U$1*12+MthOff), 0))*Inputs!$B$164</f>
        <v>0</v>
      </c>
      <c r="W33" s="7">
        <f ca="1">MIN(IF(V$1=0,MthRem,12), MAX(Inputs!$G$162-IF(V$1=0,0,V$1*12+MthOff), 0))*Inputs!$B$164</f>
        <v>0</v>
      </c>
      <c r="X33" s="7">
        <f ca="1">MIN(IF(W$1=0,MthRem,12), MAX(Inputs!$G$162-IF(W$1=0,0,W$1*12+MthOff), 0))*Inputs!$B$164</f>
        <v>0</v>
      </c>
      <c r="Y33" s="7">
        <f ca="1">MIN(IF(X$1=0,MthRem,12), MAX(Inputs!$G$162-IF(X$1=0,0,X$1*12+MthOff), 0))*Inputs!$B$164</f>
        <v>0</v>
      </c>
      <c r="Z33" s="7">
        <f ca="1">MIN(IF(Y$1=0,MthRem,12), MAX(Inputs!$G$162-IF(Y$1=0,0,Y$1*12+MthOff), 0))*Inputs!$B$164</f>
        <v>0</v>
      </c>
      <c r="AA33" s="7">
        <f ca="1">MIN(IF(Z$1=0,MthRem,12), MAX(Inputs!$G$162-IF(Z$1=0,0,Z$1*12+MthOff), 0))*Inputs!$B$164</f>
        <v>0</v>
      </c>
      <c r="AB33" s="7">
        <f ca="1">MIN(IF(AA$1=0,MthRem,12), MAX(Inputs!$G$162-IF(AA$1=0,0,AA$1*12+MthOff), 0))*Inputs!$B$164</f>
        <v>0</v>
      </c>
      <c r="AC33" s="7">
        <f ca="1">MIN(IF(AB$1=0,MthRem,12), MAX(Inputs!$G$162-IF(AB$1=0,0,AB$1*12+MthOff), 0))*Inputs!$B$164</f>
        <v>0</v>
      </c>
      <c r="AD33" s="7">
        <f ca="1">MIN(IF(AC$1=0,MthRem,12), MAX(Inputs!$G$162-IF(AC$1=0,0,AC$1*12+MthOff), 0))*Inputs!$B$164</f>
        <v>0</v>
      </c>
      <c r="AE33" s="7">
        <f ca="1">MIN(IF(AD$1=0,MthRem,12), MAX(Inputs!$G$162-IF(AD$1=0,0,AD$1*12+MthOff), 0))*Inputs!$B$164</f>
        <v>0</v>
      </c>
      <c r="AF33" s="7">
        <f ca="1">MIN(IF(AE$1=0,MthRem,12), MAX(Inputs!$G$162-IF(AE$1=0,0,AE$1*12+MthOff), 0))*Inputs!$B$164</f>
        <v>0</v>
      </c>
      <c r="AG33" s="7">
        <f ca="1">MIN(IF(AF$1=0,MthRem,12), MAX(Inputs!$G$162-IF(AF$1=0,0,AF$1*12+MthOff), 0))*Inputs!$B$164</f>
        <v>0</v>
      </c>
      <c r="AH33" s="7">
        <f ca="1">MIN(IF(AG$1=0,MthRem,12), MAX(Inputs!$G$162-IF(AG$1=0,0,AG$1*12+MthOff), 0))*Inputs!$B$164</f>
        <v>0</v>
      </c>
      <c r="AI33" s="7">
        <f ca="1">MIN(IF(AH$1=0,MthRem,12), MAX(Inputs!$G$162-IF(AH$1=0,0,AH$1*12+MthOff), 0))*Inputs!$B$164</f>
        <v>0</v>
      </c>
      <c r="AJ33" s="7">
        <f ca="1">MIN(IF(AI$1=0,MthRem,12), MAX(Inputs!$G$162-IF(AI$1=0,0,AI$1*12+MthOff), 0))*Inputs!$B$164</f>
        <v>0</v>
      </c>
      <c r="AK33" s="7">
        <f ca="1">MIN(IF(AJ$1=0,MthRem,12), MAX(Inputs!$G$162-IF(AJ$1=0,0,AJ$1*12+MthOff), 0))*Inputs!$B$164</f>
        <v>0</v>
      </c>
      <c r="AL33" s="7">
        <f ca="1">MIN(IF(AK$1=0,MthRem,12), MAX(Inputs!$G$162-IF(AK$1=0,0,AK$1*12+MthOff), 0))*Inputs!$B$164</f>
        <v>0</v>
      </c>
      <c r="AM33" s="7">
        <f ca="1">MIN(IF(AL$1=0,MthRem,12), MAX(Inputs!$G$162-IF(AL$1=0,0,AL$1*12+MthOff), 0))*Inputs!$B$164</f>
        <v>0</v>
      </c>
    </row>
    <row r="34" spans="1:39" x14ac:dyDescent="0.2">
      <c r="A34" s="3" t="str">
        <f>TEXT(Inputs!$B$102,"")</f>
        <v>Boat</v>
      </c>
      <c r="C34" s="7">
        <f ca="1">MIN(IF(B$1=0,MthRem,12), MAX(Inputs!$G$167-IF(B$1=0,0,B$1*12+MthOff), 0))*Inputs!$B$169</f>
        <v>6240</v>
      </c>
      <c r="D34" s="7">
        <f ca="1">MIN(IF(C$1=0,MthRem,12), MAX(Inputs!$G$167-IF(C$1=0,0,C$1*12+MthOff), 0))*Inputs!$B$169</f>
        <v>7488</v>
      </c>
      <c r="E34" s="7">
        <f ca="1">MIN(IF(D$1=0,MthRem,12), MAX(Inputs!$G$167-IF(D$1=0,0,D$1*12+MthOff), 0))*Inputs!$B$169</f>
        <v>7488</v>
      </c>
      <c r="F34" s="7">
        <f ca="1">MIN(IF(E$1=0,MthRem,12), MAX(Inputs!$G$167-IF(E$1=0,0,E$1*12+MthOff), 0))*Inputs!$B$169</f>
        <v>7488</v>
      </c>
      <c r="G34" s="7">
        <f ca="1">MIN(IF(F$1=0,MthRem,12), MAX(Inputs!$G$167-IF(F$1=0,0,F$1*12+MthOff), 0))*Inputs!$B$169</f>
        <v>7488</v>
      </c>
      <c r="H34" s="7">
        <f ca="1">MIN(IF(G$1=0,MthRem,12), MAX(Inputs!$G$167-IF(G$1=0,0,G$1*12+MthOff), 0))*Inputs!$B$169</f>
        <v>7488</v>
      </c>
      <c r="I34" s="7">
        <f ca="1">MIN(IF(H$1=0,MthRem,12), MAX(Inputs!$G$167-IF(H$1=0,0,H$1*12+MthOff), 0))*Inputs!$B$169</f>
        <v>4665.2926184371663</v>
      </c>
      <c r="J34" s="7">
        <f ca="1">MIN(IF(I$1=0,MthRem,12), MAX(Inputs!$G$167-IF(I$1=0,0,I$1*12+MthOff), 0))*Inputs!$B$169</f>
        <v>0</v>
      </c>
      <c r="K34" s="7">
        <f ca="1">MIN(IF(J$1=0,MthRem,12), MAX(Inputs!$G$167-IF(J$1=0,0,J$1*12+MthOff), 0))*Inputs!$B$169</f>
        <v>0</v>
      </c>
      <c r="L34" s="7">
        <f ca="1">MIN(IF(K$1=0,MthRem,12), MAX(Inputs!$G$167-IF(K$1=0,0,K$1*12+MthOff), 0))*Inputs!$B$169</f>
        <v>0</v>
      </c>
      <c r="M34" s="7">
        <f ca="1">MIN(IF(L$1=0,MthRem,12), MAX(Inputs!$G$167-IF(L$1=0,0,L$1*12+MthOff), 0))*Inputs!$B$169</f>
        <v>0</v>
      </c>
      <c r="N34" s="7">
        <f ca="1">MIN(IF(M$1=0,MthRem,12), MAX(Inputs!$G$167-IF(M$1=0,0,M$1*12+MthOff), 0))*Inputs!$B$169</f>
        <v>0</v>
      </c>
      <c r="O34" s="7">
        <f ca="1">MIN(IF(N$1=0,MthRem,12), MAX(Inputs!$G$167-IF(N$1=0,0,N$1*12+MthOff), 0))*Inputs!$B$169</f>
        <v>0</v>
      </c>
      <c r="P34" s="7">
        <f ca="1">MIN(IF(O$1=0,MthRem,12), MAX(Inputs!$G$167-IF(O$1=0,0,O$1*12+MthOff), 0))*Inputs!$B$169</f>
        <v>0</v>
      </c>
      <c r="Q34" s="7">
        <f ca="1">MIN(IF(P$1=0,MthRem,12), MAX(Inputs!$G$167-IF(P$1=0,0,P$1*12+MthOff), 0))*Inputs!$B$169</f>
        <v>0</v>
      </c>
      <c r="R34" s="7">
        <f ca="1">MIN(IF(Q$1=0,MthRem,12), MAX(Inputs!$G$167-IF(Q$1=0,0,Q$1*12+MthOff), 0))*Inputs!$B$169</f>
        <v>0</v>
      </c>
      <c r="S34" s="7">
        <f ca="1">MIN(IF(R$1=0,MthRem,12), MAX(Inputs!$G$167-IF(R$1=0,0,R$1*12+MthOff), 0))*Inputs!$B$169</f>
        <v>0</v>
      </c>
      <c r="T34" s="7">
        <f ca="1">MIN(IF(S$1=0,MthRem,12), MAX(Inputs!$G$167-IF(S$1=0,0,S$1*12+MthOff), 0))*Inputs!$B$169</f>
        <v>0</v>
      </c>
      <c r="U34" s="7">
        <f ca="1">MIN(IF(T$1=0,MthRem,12), MAX(Inputs!$G$167-IF(T$1=0,0,T$1*12+MthOff), 0))*Inputs!$B$169</f>
        <v>0</v>
      </c>
      <c r="V34" s="7">
        <f ca="1">MIN(IF(U$1=0,MthRem,12), MAX(Inputs!$G$167-IF(U$1=0,0,U$1*12+MthOff), 0))*Inputs!$B$169</f>
        <v>0</v>
      </c>
      <c r="W34" s="7">
        <f ca="1">MIN(IF(V$1=0,MthRem,12), MAX(Inputs!$G$167-IF(V$1=0,0,V$1*12+MthOff), 0))*Inputs!$B$169</f>
        <v>0</v>
      </c>
      <c r="X34" s="7">
        <f ca="1">MIN(IF(W$1=0,MthRem,12), MAX(Inputs!$G$167-IF(W$1=0,0,W$1*12+MthOff), 0))*Inputs!$B$169</f>
        <v>0</v>
      </c>
      <c r="Y34" s="7">
        <f ca="1">MIN(IF(X$1=0,MthRem,12), MAX(Inputs!$G$167-IF(X$1=0,0,X$1*12+MthOff), 0))*Inputs!$B$169</f>
        <v>0</v>
      </c>
      <c r="Z34" s="7">
        <f ca="1">MIN(IF(Y$1=0,MthRem,12), MAX(Inputs!$G$167-IF(Y$1=0,0,Y$1*12+MthOff), 0))*Inputs!$B$169</f>
        <v>0</v>
      </c>
      <c r="AA34" s="7">
        <f ca="1">MIN(IF(Z$1=0,MthRem,12), MAX(Inputs!$G$167-IF(Z$1=0,0,Z$1*12+MthOff), 0))*Inputs!$B$169</f>
        <v>0</v>
      </c>
      <c r="AB34" s="7">
        <f ca="1">MIN(IF(AA$1=0,MthRem,12), MAX(Inputs!$G$167-IF(AA$1=0,0,AA$1*12+MthOff), 0))*Inputs!$B$169</f>
        <v>0</v>
      </c>
      <c r="AC34" s="7">
        <f ca="1">MIN(IF(AB$1=0,MthRem,12), MAX(Inputs!$G$167-IF(AB$1=0,0,AB$1*12+MthOff), 0))*Inputs!$B$169</f>
        <v>0</v>
      </c>
      <c r="AD34" s="7">
        <f ca="1">MIN(IF(AC$1=0,MthRem,12), MAX(Inputs!$G$167-IF(AC$1=0,0,AC$1*12+MthOff), 0))*Inputs!$B$169</f>
        <v>0</v>
      </c>
      <c r="AE34" s="7">
        <f ca="1">MIN(IF(AD$1=0,MthRem,12), MAX(Inputs!$G$167-IF(AD$1=0,0,AD$1*12+MthOff), 0))*Inputs!$B$169</f>
        <v>0</v>
      </c>
      <c r="AF34" s="7">
        <f ca="1">MIN(IF(AE$1=0,MthRem,12), MAX(Inputs!$G$167-IF(AE$1=0,0,AE$1*12+MthOff), 0))*Inputs!$B$169</f>
        <v>0</v>
      </c>
      <c r="AG34" s="7">
        <f ca="1">MIN(IF(AF$1=0,MthRem,12), MAX(Inputs!$G$167-IF(AF$1=0,0,AF$1*12+MthOff), 0))*Inputs!$B$169</f>
        <v>0</v>
      </c>
      <c r="AH34" s="7">
        <f ca="1">MIN(IF(AG$1=0,MthRem,12), MAX(Inputs!$G$167-IF(AG$1=0,0,AG$1*12+MthOff), 0))*Inputs!$B$169</f>
        <v>0</v>
      </c>
      <c r="AI34" s="7">
        <f ca="1">MIN(IF(AH$1=0,MthRem,12), MAX(Inputs!$G$167-IF(AH$1=0,0,AH$1*12+MthOff), 0))*Inputs!$B$169</f>
        <v>0</v>
      </c>
      <c r="AJ34" s="7">
        <f ca="1">MIN(IF(AI$1=0,MthRem,12), MAX(Inputs!$G$167-IF(AI$1=0,0,AI$1*12+MthOff), 0))*Inputs!$B$169</f>
        <v>0</v>
      </c>
      <c r="AK34" s="7">
        <f ca="1">MIN(IF(AJ$1=0,MthRem,12), MAX(Inputs!$G$167-IF(AJ$1=0,0,AJ$1*12+MthOff), 0))*Inputs!$B$169</f>
        <v>0</v>
      </c>
      <c r="AL34" s="7">
        <f ca="1">MIN(IF(AK$1=0,MthRem,12), MAX(Inputs!$G$167-IF(AK$1=0,0,AK$1*12+MthOff), 0))*Inputs!$B$169</f>
        <v>0</v>
      </c>
      <c r="AM34" s="7">
        <f ca="1">MIN(IF(AL$1=0,MthRem,12), MAX(Inputs!$G$167-IF(AL$1=0,0,AL$1*12+MthOff), 0))*Inputs!$B$169</f>
        <v>0</v>
      </c>
    </row>
    <row r="35" spans="1:39" x14ac:dyDescent="0.2">
      <c r="A35" s="3" t="str">
        <f>TEXT(Inputs!$B$107,"")</f>
        <v>Antiques</v>
      </c>
      <c r="C35" s="7">
        <f ca="1">MIN(IF(B$1=0,MthRem,12), MAX(Inputs!$G$172-IF(B$1=0,0,B$1*12+MthOff), 0))*Inputs!$B$174</f>
        <v>1100</v>
      </c>
      <c r="D35" s="7">
        <f ca="1">MIN(IF(C$1=0,MthRem,12), MAX(Inputs!$G$172-IF(C$1=0,0,C$1*12+MthOff), 0))*Inputs!$B$174</f>
        <v>1320</v>
      </c>
      <c r="E35" s="7">
        <f ca="1">MIN(IF(D$1=0,MthRem,12), MAX(Inputs!$G$172-IF(D$1=0,0,D$1*12+MthOff), 0))*Inputs!$B$174</f>
        <v>1320</v>
      </c>
      <c r="F35" s="7">
        <f ca="1">MIN(IF(E$1=0,MthRem,12), MAX(Inputs!$G$172-IF(E$1=0,0,E$1*12+MthOff), 0))*Inputs!$B$174</f>
        <v>239.1617627002698</v>
      </c>
      <c r="G35" s="7">
        <f ca="1">MIN(IF(F$1=0,MthRem,12), MAX(Inputs!$G$172-IF(F$1=0,0,F$1*12+MthOff), 0))*Inputs!$B$174</f>
        <v>0</v>
      </c>
      <c r="H35" s="7">
        <f ca="1">MIN(IF(G$1=0,MthRem,12), MAX(Inputs!$G$172-IF(G$1=0,0,G$1*12+MthOff), 0))*Inputs!$B$174</f>
        <v>0</v>
      </c>
      <c r="I35" s="7">
        <f ca="1">MIN(IF(H$1=0,MthRem,12), MAX(Inputs!$G$172-IF(H$1=0,0,H$1*12+MthOff), 0))*Inputs!$B$174</f>
        <v>0</v>
      </c>
      <c r="J35" s="7">
        <f ca="1">MIN(IF(I$1=0,MthRem,12), MAX(Inputs!$G$172-IF(I$1=0,0,I$1*12+MthOff), 0))*Inputs!$B$174</f>
        <v>0</v>
      </c>
      <c r="K35" s="7">
        <f ca="1">MIN(IF(J$1=0,MthRem,12), MAX(Inputs!$G$172-IF(J$1=0,0,J$1*12+MthOff), 0))*Inputs!$B$174</f>
        <v>0</v>
      </c>
      <c r="L35" s="7">
        <f ca="1">MIN(IF(K$1=0,MthRem,12), MAX(Inputs!$G$172-IF(K$1=0,0,K$1*12+MthOff), 0))*Inputs!$B$174</f>
        <v>0</v>
      </c>
      <c r="M35" s="7">
        <f ca="1">MIN(IF(L$1=0,MthRem,12), MAX(Inputs!$G$172-IF(L$1=0,0,L$1*12+MthOff), 0))*Inputs!$B$174</f>
        <v>0</v>
      </c>
      <c r="N35" s="7">
        <f ca="1">MIN(IF(M$1=0,MthRem,12), MAX(Inputs!$G$172-IF(M$1=0,0,M$1*12+MthOff), 0))*Inputs!$B$174</f>
        <v>0</v>
      </c>
      <c r="O35" s="7">
        <f ca="1">MIN(IF(N$1=0,MthRem,12), MAX(Inputs!$G$172-IF(N$1=0,0,N$1*12+MthOff), 0))*Inputs!$B$174</f>
        <v>0</v>
      </c>
      <c r="P35" s="7">
        <f ca="1">MIN(IF(O$1=0,MthRem,12), MAX(Inputs!$G$172-IF(O$1=0,0,O$1*12+MthOff), 0))*Inputs!$B$174</f>
        <v>0</v>
      </c>
      <c r="Q35" s="7">
        <f ca="1">MIN(IF(P$1=0,MthRem,12), MAX(Inputs!$G$172-IF(P$1=0,0,P$1*12+MthOff), 0))*Inputs!$B$174</f>
        <v>0</v>
      </c>
      <c r="R35" s="7">
        <f ca="1">MIN(IF(Q$1=0,MthRem,12), MAX(Inputs!$G$172-IF(Q$1=0,0,Q$1*12+MthOff), 0))*Inputs!$B$174</f>
        <v>0</v>
      </c>
      <c r="S35" s="7">
        <f ca="1">MIN(IF(R$1=0,MthRem,12), MAX(Inputs!$G$172-IF(R$1=0,0,R$1*12+MthOff), 0))*Inputs!$B$174</f>
        <v>0</v>
      </c>
      <c r="T35" s="7">
        <f ca="1">MIN(IF(S$1=0,MthRem,12), MAX(Inputs!$G$172-IF(S$1=0,0,S$1*12+MthOff), 0))*Inputs!$B$174</f>
        <v>0</v>
      </c>
      <c r="U35" s="7">
        <f ca="1">MIN(IF(T$1=0,MthRem,12), MAX(Inputs!$G$172-IF(T$1=0,0,T$1*12+MthOff), 0))*Inputs!$B$174</f>
        <v>0</v>
      </c>
      <c r="V35" s="7">
        <f ca="1">MIN(IF(U$1=0,MthRem,12), MAX(Inputs!$G$172-IF(U$1=0,0,U$1*12+MthOff), 0))*Inputs!$B$174</f>
        <v>0</v>
      </c>
      <c r="W35" s="7">
        <f ca="1">MIN(IF(V$1=0,MthRem,12), MAX(Inputs!$G$172-IF(V$1=0,0,V$1*12+MthOff), 0))*Inputs!$B$174</f>
        <v>0</v>
      </c>
      <c r="X35" s="7">
        <f ca="1">MIN(IF(W$1=0,MthRem,12), MAX(Inputs!$G$172-IF(W$1=0,0,W$1*12+MthOff), 0))*Inputs!$B$174</f>
        <v>0</v>
      </c>
      <c r="Y35" s="7">
        <f ca="1">MIN(IF(X$1=0,MthRem,12), MAX(Inputs!$G$172-IF(X$1=0,0,X$1*12+MthOff), 0))*Inputs!$B$174</f>
        <v>0</v>
      </c>
      <c r="Z35" s="7">
        <f ca="1">MIN(IF(Y$1=0,MthRem,12), MAX(Inputs!$G$172-IF(Y$1=0,0,Y$1*12+MthOff), 0))*Inputs!$B$174</f>
        <v>0</v>
      </c>
      <c r="AA35" s="7">
        <f ca="1">MIN(IF(Z$1=0,MthRem,12), MAX(Inputs!$G$172-IF(Z$1=0,0,Z$1*12+MthOff), 0))*Inputs!$B$174</f>
        <v>0</v>
      </c>
      <c r="AB35" s="7">
        <f ca="1">MIN(IF(AA$1=0,MthRem,12), MAX(Inputs!$G$172-IF(AA$1=0,0,AA$1*12+MthOff), 0))*Inputs!$B$174</f>
        <v>0</v>
      </c>
      <c r="AC35" s="7">
        <f ca="1">MIN(IF(AB$1=0,MthRem,12), MAX(Inputs!$G$172-IF(AB$1=0,0,AB$1*12+MthOff), 0))*Inputs!$B$174</f>
        <v>0</v>
      </c>
      <c r="AD35" s="7">
        <f ca="1">MIN(IF(AC$1=0,MthRem,12), MAX(Inputs!$G$172-IF(AC$1=0,0,AC$1*12+MthOff), 0))*Inputs!$B$174</f>
        <v>0</v>
      </c>
      <c r="AE35" s="7">
        <f ca="1">MIN(IF(AD$1=0,MthRem,12), MAX(Inputs!$G$172-IF(AD$1=0,0,AD$1*12+MthOff), 0))*Inputs!$B$174</f>
        <v>0</v>
      </c>
      <c r="AF35" s="7">
        <f ca="1">MIN(IF(AE$1=0,MthRem,12), MAX(Inputs!$G$172-IF(AE$1=0,0,AE$1*12+MthOff), 0))*Inputs!$B$174</f>
        <v>0</v>
      </c>
      <c r="AG35" s="7">
        <f ca="1">MIN(IF(AF$1=0,MthRem,12), MAX(Inputs!$G$172-IF(AF$1=0,0,AF$1*12+MthOff), 0))*Inputs!$B$174</f>
        <v>0</v>
      </c>
      <c r="AH35" s="7">
        <f ca="1">MIN(IF(AG$1=0,MthRem,12), MAX(Inputs!$G$172-IF(AG$1=0,0,AG$1*12+MthOff), 0))*Inputs!$B$174</f>
        <v>0</v>
      </c>
      <c r="AI35" s="7">
        <f ca="1">MIN(IF(AH$1=0,MthRem,12), MAX(Inputs!$G$172-IF(AH$1=0,0,AH$1*12+MthOff), 0))*Inputs!$B$174</f>
        <v>0</v>
      </c>
      <c r="AJ35" s="7">
        <f ca="1">MIN(IF(AI$1=0,MthRem,12), MAX(Inputs!$G$172-IF(AI$1=0,0,AI$1*12+MthOff), 0))*Inputs!$B$174</f>
        <v>0</v>
      </c>
      <c r="AK35" s="7">
        <f ca="1">MIN(IF(AJ$1=0,MthRem,12), MAX(Inputs!$G$172-IF(AJ$1=0,0,AJ$1*12+MthOff), 0))*Inputs!$B$174</f>
        <v>0</v>
      </c>
      <c r="AL35" s="7">
        <f ca="1">MIN(IF(AK$1=0,MthRem,12), MAX(Inputs!$G$172-IF(AK$1=0,0,AK$1*12+MthOff), 0))*Inputs!$B$174</f>
        <v>0</v>
      </c>
      <c r="AM35" s="7">
        <f ca="1">MIN(IF(AL$1=0,MthRem,12), MAX(Inputs!$G$172-IF(AL$1=0,0,AL$1*12+MthOff), 0))*Inputs!$B$174</f>
        <v>0</v>
      </c>
    </row>
    <row r="36" spans="1:39" x14ac:dyDescent="0.2">
      <c r="A36" s="4" t="s">
        <v>35</v>
      </c>
      <c r="C36" s="7">
        <f ca="1">MIN(IF(B$1=0,MthRem,12), MAX(Inputs!$G$177-IF(B$1=0,0,B$1*12+MthOff), 0))*Inputs!$B$179</f>
        <v>500</v>
      </c>
      <c r="D36" s="7">
        <f ca="1">MIN(IF(C$1=0,MthRem,12), MAX(Inputs!$G$177-IF(C$1=0,0,C$1*12+MthOff), 0))*Inputs!$B$179</f>
        <v>600</v>
      </c>
      <c r="E36" s="7">
        <f ca="1">MIN(IF(D$1=0,MthRem,12), MAX(Inputs!$G$177-IF(D$1=0,0,D$1*12+MthOff), 0))*Inputs!$B$179</f>
        <v>600</v>
      </c>
      <c r="F36" s="7">
        <f ca="1">MIN(IF(E$1=0,MthRem,12), MAX(Inputs!$G$177-IF(E$1=0,0,E$1*12+MthOff), 0))*Inputs!$B$179</f>
        <v>600</v>
      </c>
      <c r="G36" s="7">
        <f ca="1">MIN(IF(F$1=0,MthRem,12), MAX(Inputs!$G$177-IF(F$1=0,0,F$1*12+MthOff), 0))*Inputs!$B$179</f>
        <v>600</v>
      </c>
      <c r="H36" s="7">
        <f ca="1">MIN(IF(G$1=0,MthRem,12), MAX(Inputs!$G$177-IF(G$1=0,0,G$1*12+MthOff), 0))*Inputs!$B$179</f>
        <v>600</v>
      </c>
      <c r="I36" s="7">
        <f ca="1">MIN(IF(H$1=0,MthRem,12), MAX(Inputs!$G$177-IF(H$1=0,0,H$1*12+MthOff), 0))*Inputs!$B$179</f>
        <v>600</v>
      </c>
      <c r="J36" s="7">
        <f ca="1">MIN(IF(I$1=0,MthRem,12), MAX(Inputs!$G$177-IF(I$1=0,0,I$1*12+MthOff), 0))*Inputs!$B$179</f>
        <v>600</v>
      </c>
      <c r="K36" s="7">
        <f ca="1">MIN(IF(J$1=0,MthRem,12), MAX(Inputs!$G$177-IF(J$1=0,0,J$1*12+MthOff), 0))*Inputs!$B$179</f>
        <v>421.016262575219</v>
      </c>
      <c r="L36" s="7">
        <f ca="1">MIN(IF(K$1=0,MthRem,12), MAX(Inputs!$G$177-IF(K$1=0,0,K$1*12+MthOff), 0))*Inputs!$B$179</f>
        <v>0</v>
      </c>
      <c r="M36" s="7">
        <f ca="1">MIN(IF(L$1=0,MthRem,12), MAX(Inputs!$G$177-IF(L$1=0,0,L$1*12+MthOff), 0))*Inputs!$B$179</f>
        <v>0</v>
      </c>
      <c r="N36" s="7">
        <f ca="1">MIN(IF(M$1=0,MthRem,12), MAX(Inputs!$G$177-IF(M$1=0,0,M$1*12+MthOff), 0))*Inputs!$B$179</f>
        <v>0</v>
      </c>
      <c r="O36" s="7">
        <f ca="1">MIN(IF(N$1=0,MthRem,12), MAX(Inputs!$G$177-IF(N$1=0,0,N$1*12+MthOff), 0))*Inputs!$B$179</f>
        <v>0</v>
      </c>
      <c r="P36" s="7">
        <f ca="1">MIN(IF(O$1=0,MthRem,12), MAX(Inputs!$G$177-IF(O$1=0,0,O$1*12+MthOff), 0))*Inputs!$B$179</f>
        <v>0</v>
      </c>
      <c r="Q36" s="7">
        <f ca="1">MIN(IF(P$1=0,MthRem,12), MAX(Inputs!$G$177-IF(P$1=0,0,P$1*12+MthOff), 0))*Inputs!$B$179</f>
        <v>0</v>
      </c>
      <c r="R36" s="7">
        <f ca="1">MIN(IF(Q$1=0,MthRem,12), MAX(Inputs!$G$177-IF(Q$1=0,0,Q$1*12+MthOff), 0))*Inputs!$B$179</f>
        <v>0</v>
      </c>
      <c r="S36" s="7">
        <f ca="1">MIN(IF(R$1=0,MthRem,12), MAX(Inputs!$G$177-IF(R$1=0,0,R$1*12+MthOff), 0))*Inputs!$B$179</f>
        <v>0</v>
      </c>
      <c r="T36" s="7">
        <f ca="1">MIN(IF(S$1=0,MthRem,12), MAX(Inputs!$G$177-IF(S$1=0,0,S$1*12+MthOff), 0))*Inputs!$B$179</f>
        <v>0</v>
      </c>
      <c r="U36" s="7">
        <f ca="1">MIN(IF(T$1=0,MthRem,12), MAX(Inputs!$G$177-IF(T$1=0,0,T$1*12+MthOff), 0))*Inputs!$B$179</f>
        <v>0</v>
      </c>
      <c r="V36" s="7">
        <f ca="1">MIN(IF(U$1=0,MthRem,12), MAX(Inputs!$G$177-IF(U$1=0,0,U$1*12+MthOff), 0))*Inputs!$B$179</f>
        <v>0</v>
      </c>
      <c r="W36" s="7">
        <f ca="1">MIN(IF(V$1=0,MthRem,12), MAX(Inputs!$G$177-IF(V$1=0,0,V$1*12+MthOff), 0))*Inputs!$B$179</f>
        <v>0</v>
      </c>
      <c r="X36" s="7">
        <f ca="1">MIN(IF(W$1=0,MthRem,12), MAX(Inputs!$G$177-IF(W$1=0,0,W$1*12+MthOff), 0))*Inputs!$B$179</f>
        <v>0</v>
      </c>
      <c r="Y36" s="7">
        <f ca="1">MIN(IF(X$1=0,MthRem,12), MAX(Inputs!$G$177-IF(X$1=0,0,X$1*12+MthOff), 0))*Inputs!$B$179</f>
        <v>0</v>
      </c>
      <c r="Z36" s="7">
        <f ca="1">MIN(IF(Y$1=0,MthRem,12), MAX(Inputs!$G$177-IF(Y$1=0,0,Y$1*12+MthOff), 0))*Inputs!$B$179</f>
        <v>0</v>
      </c>
      <c r="AA36" s="7">
        <f ca="1">MIN(IF(Z$1=0,MthRem,12), MAX(Inputs!$G$177-IF(Z$1=0,0,Z$1*12+MthOff), 0))*Inputs!$B$179</f>
        <v>0</v>
      </c>
      <c r="AB36" s="7">
        <f ca="1">MIN(IF(AA$1=0,MthRem,12), MAX(Inputs!$G$177-IF(AA$1=0,0,AA$1*12+MthOff), 0))*Inputs!$B$179</f>
        <v>0</v>
      </c>
      <c r="AC36" s="7">
        <f ca="1">MIN(IF(AB$1=0,MthRem,12), MAX(Inputs!$G$177-IF(AB$1=0,0,AB$1*12+MthOff), 0))*Inputs!$B$179</f>
        <v>0</v>
      </c>
      <c r="AD36" s="7">
        <f ca="1">MIN(IF(AC$1=0,MthRem,12), MAX(Inputs!$G$177-IF(AC$1=0,0,AC$1*12+MthOff), 0))*Inputs!$B$179</f>
        <v>0</v>
      </c>
      <c r="AE36" s="7">
        <f ca="1">MIN(IF(AD$1=0,MthRem,12), MAX(Inputs!$G$177-IF(AD$1=0,0,AD$1*12+MthOff), 0))*Inputs!$B$179</f>
        <v>0</v>
      </c>
      <c r="AF36" s="7">
        <f ca="1">MIN(IF(AE$1=0,MthRem,12), MAX(Inputs!$G$177-IF(AE$1=0,0,AE$1*12+MthOff), 0))*Inputs!$B$179</f>
        <v>0</v>
      </c>
      <c r="AG36" s="7">
        <f ca="1">MIN(IF(AF$1=0,MthRem,12), MAX(Inputs!$G$177-IF(AF$1=0,0,AF$1*12+MthOff), 0))*Inputs!$B$179</f>
        <v>0</v>
      </c>
      <c r="AH36" s="7">
        <f ca="1">MIN(IF(AG$1=0,MthRem,12), MAX(Inputs!$G$177-IF(AG$1=0,0,AG$1*12+MthOff), 0))*Inputs!$B$179</f>
        <v>0</v>
      </c>
      <c r="AI36" s="7">
        <f ca="1">MIN(IF(AH$1=0,MthRem,12), MAX(Inputs!$G$177-IF(AH$1=0,0,AH$1*12+MthOff), 0))*Inputs!$B$179</f>
        <v>0</v>
      </c>
      <c r="AJ36" s="7">
        <f ca="1">MIN(IF(AI$1=0,MthRem,12), MAX(Inputs!$G$177-IF(AI$1=0,0,AI$1*12+MthOff), 0))*Inputs!$B$179</f>
        <v>0</v>
      </c>
      <c r="AK36" s="7">
        <f ca="1">MIN(IF(AJ$1=0,MthRem,12), MAX(Inputs!$G$177-IF(AJ$1=0,0,AJ$1*12+MthOff), 0))*Inputs!$B$179</f>
        <v>0</v>
      </c>
      <c r="AL36" s="7">
        <f ca="1">MIN(IF(AK$1=0,MthRem,12), MAX(Inputs!$G$177-IF(AK$1=0,0,AK$1*12+MthOff), 0))*Inputs!$B$179</f>
        <v>0</v>
      </c>
      <c r="AM36" s="7">
        <f ca="1">MIN(IF(AL$1=0,MthRem,12), MAX(Inputs!$G$177-IF(AL$1=0,0,AL$1*12+MthOff), 0))*Inputs!$B$179</f>
        <v>0</v>
      </c>
    </row>
    <row r="37" spans="1:39" x14ac:dyDescent="0.2">
      <c r="A37" s="4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x14ac:dyDescent="0.2">
      <c r="A38" s="3" t="str">
        <f>TEXT(Inputs!B33,"")</f>
        <v>John</v>
      </c>
      <c r="B38" s="8"/>
      <c r="C38" s="7">
        <f ca="1">IF(Inputs!$B$35&gt;=C$1,Inputs!$B$34,0)*(1+inf)^B$1*ProRate</f>
        <v>1666.6666666666667</v>
      </c>
      <c r="D38" s="7">
        <f>IF(Inputs!$B$35&gt;=D$1,Inputs!$B$34,0)*(1+inf)^C$1</f>
        <v>2050</v>
      </c>
      <c r="E38" s="7">
        <f>IF(Inputs!$B$35&gt;=E$1,Inputs!$B$34,0)*(1+inf)^D$1</f>
        <v>2101.25</v>
      </c>
      <c r="F38" s="7">
        <f>IF(Inputs!$B$35&gt;=F$1,Inputs!$B$34,0)*(1+inf)^E$1</f>
        <v>0</v>
      </c>
      <c r="G38" s="7">
        <f>IF(Inputs!$B$35&gt;=G$1,Inputs!$B$34,0)*(1+inf)^F$1</f>
        <v>0</v>
      </c>
      <c r="H38" s="7">
        <f>IF(Inputs!$B$35&gt;=H$1,Inputs!$B$34,0)*(1+inf)^G$1</f>
        <v>0</v>
      </c>
      <c r="I38" s="7">
        <f>IF(Inputs!$B$35&gt;=I$1,Inputs!$B$34,0)*(1+inf)^H$1</f>
        <v>0</v>
      </c>
      <c r="J38" s="7">
        <f>IF(Inputs!$B$35&gt;=J$1,Inputs!$B$34,0)*(1+inf)^I$1</f>
        <v>0</v>
      </c>
      <c r="K38" s="7">
        <f>IF(Inputs!$B$35&gt;=K$1,Inputs!$B$34,0)*(1+inf)^J$1</f>
        <v>0</v>
      </c>
      <c r="L38" s="7">
        <f>IF(Inputs!$B$35&gt;=L$1,Inputs!$B$34,0)*(1+inf)^K$1</f>
        <v>0</v>
      </c>
      <c r="M38" s="7">
        <f>IF(Inputs!$B$35&gt;=M$1,Inputs!$B$34,0)*(1+inf)^L$1</f>
        <v>0</v>
      </c>
      <c r="N38" s="7">
        <f>IF(Inputs!$B$35&gt;=N$1,Inputs!$B$34,0)*(1+inf)^M$1</f>
        <v>0</v>
      </c>
      <c r="O38" s="7">
        <f>IF(Inputs!$B$35&gt;=O$1,Inputs!$B$34,0)*(1+inf)^N$1</f>
        <v>0</v>
      </c>
      <c r="P38" s="7">
        <f>IF(Inputs!$B$35&gt;=P$1,Inputs!$B$34,0)*(1+inf)^O$1</f>
        <v>0</v>
      </c>
      <c r="Q38" s="7">
        <f>IF(Inputs!$B$35&gt;=Q$1,Inputs!$B$34,0)*(1+inf)^P$1</f>
        <v>0</v>
      </c>
      <c r="R38" s="7">
        <f>IF(Inputs!$B$35&gt;=R$1,Inputs!$B$34,0)*(1+inf)^Q$1</f>
        <v>0</v>
      </c>
      <c r="S38" s="7">
        <f>IF(Inputs!$B$35&gt;=S$1,Inputs!$B$34,0)*(1+inf)^R$1</f>
        <v>0</v>
      </c>
      <c r="T38" s="7">
        <f>IF(Inputs!$B$35&gt;=T$1,Inputs!$B$34,0)*(1+inf)^S$1</f>
        <v>0</v>
      </c>
      <c r="U38" s="7">
        <f>IF(Inputs!$B$35&gt;=U$1,Inputs!$B$34,0)*(1+inf)^T$1</f>
        <v>0</v>
      </c>
      <c r="V38" s="7">
        <f>IF(Inputs!$B$35&gt;=V$1,Inputs!$B$34,0)*(1+inf)^U$1</f>
        <v>0</v>
      </c>
      <c r="W38" s="7">
        <f>IF(Inputs!$B$35&gt;=W$1,Inputs!$B$34,0)*(1+inf)^V$1</f>
        <v>0</v>
      </c>
      <c r="X38" s="7">
        <f>IF(Inputs!$B$35&gt;=X$1,Inputs!$B$34,0)*(1+inf)^W$1</f>
        <v>0</v>
      </c>
      <c r="Y38" s="7">
        <f>IF(Inputs!$B$35&gt;=Y$1,Inputs!$B$34,0)*(1+inf)^X$1</f>
        <v>0</v>
      </c>
      <c r="Z38" s="7">
        <f>IF(Inputs!$B$35&gt;=Z$1,Inputs!$B$34,0)*(1+inf)^Y$1</f>
        <v>0</v>
      </c>
      <c r="AA38" s="7">
        <f>IF(Inputs!$B$35&gt;=AA$1,Inputs!$B$34,0)*(1+inf)^Z$1</f>
        <v>0</v>
      </c>
      <c r="AB38" s="7">
        <f>IF(Inputs!$B$35&gt;=AB$1,Inputs!$B$34,0)*(1+inf)^AA$1</f>
        <v>0</v>
      </c>
      <c r="AC38" s="7">
        <f>IF(Inputs!$B$35&gt;=AC$1,Inputs!$B$34,0)*(1+inf)^AB$1</f>
        <v>0</v>
      </c>
      <c r="AD38" s="7">
        <f>IF(Inputs!$B$35&gt;=AD$1,Inputs!$B$34,0)*(1+inf)^AC$1</f>
        <v>0</v>
      </c>
      <c r="AE38" s="7">
        <f>IF(Inputs!$B$35&gt;=AE$1,Inputs!$B$34,0)*(1+inf)^AD$1</f>
        <v>0</v>
      </c>
      <c r="AF38" s="7">
        <f>IF(Inputs!$B$35&gt;=AF$1,Inputs!$B$34,0)*(1+inf)^AE$1</f>
        <v>0</v>
      </c>
      <c r="AG38" s="7">
        <f>IF(Inputs!$B$35&gt;=AG$1,Inputs!$B$34,0)*(1+inf)^AF$1</f>
        <v>0</v>
      </c>
      <c r="AH38" s="7">
        <f>IF(Inputs!$B$35&gt;=AH$1,Inputs!$B$34,0)*(1+inf)^AG$1</f>
        <v>0</v>
      </c>
      <c r="AI38" s="7">
        <f>IF(Inputs!$B$35&gt;=AI$1,Inputs!$B$34,0)*(1+inf)^AH$1</f>
        <v>0</v>
      </c>
      <c r="AJ38" s="7">
        <f>IF(Inputs!$B$35&gt;=AJ$1,Inputs!$B$34,0)*(1+inf)^AI$1</f>
        <v>0</v>
      </c>
      <c r="AK38" s="7">
        <f>IF(Inputs!$B$35&gt;=AK$1,Inputs!$B$34,0)*(1+inf)^AJ$1</f>
        <v>0</v>
      </c>
      <c r="AL38" s="7">
        <f>IF(Inputs!$B$35&gt;=AL$1,Inputs!$B$34,0)*(1+inf)^AK$1</f>
        <v>0</v>
      </c>
      <c r="AM38" s="7">
        <f>IF(Inputs!$B$35&gt;=AM$1,Inputs!$B$34,0)*(1+inf)^AL$1</f>
        <v>0</v>
      </c>
    </row>
    <row r="39" spans="1:39" x14ac:dyDescent="0.2">
      <c r="A39" s="3" t="str">
        <f>TEXT(Inputs!B38,"")</f>
        <v>Jack</v>
      </c>
      <c r="B39" s="8"/>
      <c r="C39" s="7">
        <f ca="1">IF(Inputs!$B$40&gt;=C$1,Inputs!$B$39,0)*(1+inf)^B$1*ProRate</f>
        <v>833.33333333333337</v>
      </c>
      <c r="D39" s="7">
        <f>IF(Inputs!$B$40&gt;=D$1,Inputs!$B$39,0)*(1+inf)^C$1</f>
        <v>1025</v>
      </c>
      <c r="E39" s="7">
        <f>IF(Inputs!$B$40&gt;=E$1,Inputs!$B$39,0)*(1+inf)^D$1</f>
        <v>1050.625</v>
      </c>
      <c r="F39" s="7">
        <f>IF(Inputs!$B$40&gt;=F$1,Inputs!$B$39,0)*(1+inf)^E$1</f>
        <v>1076.8906249999998</v>
      </c>
      <c r="G39" s="7">
        <f>IF(Inputs!$B$40&gt;=G$1,Inputs!$B$39,0)*(1+inf)^F$1</f>
        <v>1103.8128906249997</v>
      </c>
      <c r="H39" s="7">
        <f>IF(Inputs!$B$40&gt;=H$1,Inputs!$B$39,0)*(1+inf)^G$1</f>
        <v>0</v>
      </c>
      <c r="I39" s="7">
        <f>IF(Inputs!$B$40&gt;=I$1,Inputs!$B$39,0)*(1+inf)^H$1</f>
        <v>0</v>
      </c>
      <c r="J39" s="7">
        <f>IF(Inputs!$B$40&gt;=J$1,Inputs!$B$39,0)*(1+inf)^I$1</f>
        <v>0</v>
      </c>
      <c r="K39" s="7">
        <f>IF(Inputs!$B$40&gt;=K$1,Inputs!$B$39,0)*(1+inf)^J$1</f>
        <v>0</v>
      </c>
      <c r="L39" s="7">
        <f>IF(Inputs!$B$40&gt;=L$1,Inputs!$B$39,0)*(1+inf)^K$1</f>
        <v>0</v>
      </c>
      <c r="M39" s="7">
        <f>IF(Inputs!$B$40&gt;=M$1,Inputs!$B$39,0)*(1+inf)^L$1</f>
        <v>0</v>
      </c>
      <c r="N39" s="7">
        <f>IF(Inputs!$B$40&gt;=N$1,Inputs!$B$39,0)*(1+inf)^M$1</f>
        <v>0</v>
      </c>
      <c r="O39" s="7">
        <f>IF(Inputs!$B$40&gt;=O$1,Inputs!$B$39,0)*(1+inf)^N$1</f>
        <v>0</v>
      </c>
      <c r="P39" s="7">
        <f>IF(Inputs!$B$40&gt;=P$1,Inputs!$B$39,0)*(1+inf)^O$1</f>
        <v>0</v>
      </c>
      <c r="Q39" s="7">
        <f>IF(Inputs!$B$40&gt;=Q$1,Inputs!$B$39,0)*(1+inf)^P$1</f>
        <v>0</v>
      </c>
      <c r="R39" s="7">
        <f>IF(Inputs!$B$40&gt;=R$1,Inputs!$B$39,0)*(1+inf)^Q$1</f>
        <v>0</v>
      </c>
      <c r="S39" s="7">
        <f>IF(Inputs!$B$40&gt;=S$1,Inputs!$B$39,0)*(1+inf)^R$1</f>
        <v>0</v>
      </c>
      <c r="T39" s="7">
        <f>IF(Inputs!$B$40&gt;=T$1,Inputs!$B$39,0)*(1+inf)^S$1</f>
        <v>0</v>
      </c>
      <c r="U39" s="7">
        <f>IF(Inputs!$B$40&gt;=U$1,Inputs!$B$39,0)*(1+inf)^T$1</f>
        <v>0</v>
      </c>
      <c r="V39" s="7">
        <f>IF(Inputs!$B$40&gt;=V$1,Inputs!$B$39,0)*(1+inf)^U$1</f>
        <v>0</v>
      </c>
      <c r="W39" s="7">
        <f>IF(Inputs!$B$40&gt;=W$1,Inputs!$B$39,0)*(1+inf)^V$1</f>
        <v>0</v>
      </c>
      <c r="X39" s="7">
        <f>IF(Inputs!$B$40&gt;=X$1,Inputs!$B$39,0)*(1+inf)^W$1</f>
        <v>0</v>
      </c>
      <c r="Y39" s="7">
        <f>IF(Inputs!$B$40&gt;=Y$1,Inputs!$B$39,0)*(1+inf)^X$1</f>
        <v>0</v>
      </c>
      <c r="Z39" s="7">
        <f>IF(Inputs!$B$40&gt;=Z$1,Inputs!$B$39,0)*(1+inf)^Y$1</f>
        <v>0</v>
      </c>
      <c r="AA39" s="7">
        <f>IF(Inputs!$B$40&gt;=AA$1,Inputs!$B$39,0)*(1+inf)^Z$1</f>
        <v>0</v>
      </c>
      <c r="AB39" s="7">
        <f>IF(Inputs!$B$40&gt;=AB$1,Inputs!$B$39,0)*(1+inf)^AA$1</f>
        <v>0</v>
      </c>
      <c r="AC39" s="7">
        <f>IF(Inputs!$B$40&gt;=AC$1,Inputs!$B$39,0)*(1+inf)^AB$1</f>
        <v>0</v>
      </c>
      <c r="AD39" s="7">
        <f>IF(Inputs!$B$40&gt;=AD$1,Inputs!$B$39,0)*(1+inf)^AC$1</f>
        <v>0</v>
      </c>
      <c r="AE39" s="7">
        <f>IF(Inputs!$B$40&gt;=AE$1,Inputs!$B$39,0)*(1+inf)^AD$1</f>
        <v>0</v>
      </c>
      <c r="AF39" s="7">
        <f>IF(Inputs!$B$40&gt;=AF$1,Inputs!$B$39,0)*(1+inf)^AE$1</f>
        <v>0</v>
      </c>
      <c r="AG39" s="7">
        <f>IF(Inputs!$B$40&gt;=AG$1,Inputs!$B$39,0)*(1+inf)^AF$1</f>
        <v>0</v>
      </c>
      <c r="AH39" s="7">
        <f>IF(Inputs!$B$40&gt;=AH$1,Inputs!$B$39,0)*(1+inf)^AG$1</f>
        <v>0</v>
      </c>
      <c r="AI39" s="7">
        <f>IF(Inputs!$B$40&gt;=AI$1,Inputs!$B$39,0)*(1+inf)^AH$1</f>
        <v>0</v>
      </c>
      <c r="AJ39" s="7">
        <f>IF(Inputs!$B$40&gt;=AJ$1,Inputs!$B$39,0)*(1+inf)^AI$1</f>
        <v>0</v>
      </c>
      <c r="AK39" s="7">
        <f>IF(Inputs!$B$40&gt;=AK$1,Inputs!$B$39,0)*(1+inf)^AJ$1</f>
        <v>0</v>
      </c>
      <c r="AL39" s="7">
        <f>IF(Inputs!$B$40&gt;=AL$1,Inputs!$B$39,0)*(1+inf)^AK$1</f>
        <v>0</v>
      </c>
      <c r="AM39" s="7">
        <f>IF(Inputs!$B$40&gt;=AM$1,Inputs!$B$39,0)*(1+inf)^AL$1</f>
        <v>0</v>
      </c>
    </row>
    <row r="40" spans="1:39" x14ac:dyDescent="0.2">
      <c r="A40" s="3" t="str">
        <f>TEXT(Inputs!B43,"")</f>
        <v>Bill</v>
      </c>
      <c r="B40" s="8"/>
      <c r="C40" s="7">
        <f ca="1">IF(Inputs!$B$45&gt;=C$1,Inputs!$B$44,0)*(1+inf)^B$1*ProRate</f>
        <v>3333.3333333333335</v>
      </c>
      <c r="D40" s="7">
        <f>IF(Inputs!$B$45&gt;=D$1,Inputs!$B$44,0)*(1+inf)^C$1</f>
        <v>4100</v>
      </c>
      <c r="E40" s="7">
        <f>IF(Inputs!$B$45&gt;=E$1,Inputs!$B$44,0)*(1+inf)^D$1</f>
        <v>0</v>
      </c>
      <c r="F40" s="7">
        <f>IF(Inputs!$B$45&gt;=F$1,Inputs!$B$44,0)*(1+inf)^E$1</f>
        <v>0</v>
      </c>
      <c r="G40" s="7">
        <f>IF(Inputs!$B$45&gt;=G$1,Inputs!$B$44,0)*(1+inf)^F$1</f>
        <v>0</v>
      </c>
      <c r="H40" s="7">
        <f>IF(Inputs!$B$45&gt;=H$1,Inputs!$B$44,0)*(1+inf)^G$1</f>
        <v>0</v>
      </c>
      <c r="I40" s="7">
        <f>IF(Inputs!$B$45&gt;=I$1,Inputs!$B$44,0)*(1+inf)^H$1</f>
        <v>0</v>
      </c>
      <c r="J40" s="7">
        <f>IF(Inputs!$B$45&gt;=J$1,Inputs!$B$44,0)*(1+inf)^I$1</f>
        <v>0</v>
      </c>
      <c r="K40" s="7">
        <f>IF(Inputs!$B$45&gt;=K$1,Inputs!$B$44,0)*(1+inf)^J$1</f>
        <v>0</v>
      </c>
      <c r="L40" s="7">
        <f>IF(Inputs!$B$45&gt;=L$1,Inputs!$B$44,0)*(1+inf)^K$1</f>
        <v>0</v>
      </c>
      <c r="M40" s="7">
        <f>IF(Inputs!$B$45&gt;=M$1,Inputs!$B$44,0)*(1+inf)^L$1</f>
        <v>0</v>
      </c>
      <c r="N40" s="7">
        <f>IF(Inputs!$B$45&gt;=N$1,Inputs!$B$44,0)*(1+inf)^M$1</f>
        <v>0</v>
      </c>
      <c r="O40" s="7">
        <f>IF(Inputs!$B$45&gt;=O$1,Inputs!$B$44,0)*(1+inf)^N$1</f>
        <v>0</v>
      </c>
      <c r="P40" s="7">
        <f>IF(Inputs!$B$45&gt;=P$1,Inputs!$B$44,0)*(1+inf)^O$1</f>
        <v>0</v>
      </c>
      <c r="Q40" s="7">
        <f>IF(Inputs!$B$45&gt;=Q$1,Inputs!$B$44,0)*(1+inf)^P$1</f>
        <v>0</v>
      </c>
      <c r="R40" s="7">
        <f>IF(Inputs!$B$45&gt;=R$1,Inputs!$B$44,0)*(1+inf)^Q$1</f>
        <v>0</v>
      </c>
      <c r="S40" s="7">
        <f>IF(Inputs!$B$45&gt;=S$1,Inputs!$B$44,0)*(1+inf)^R$1</f>
        <v>0</v>
      </c>
      <c r="T40" s="7">
        <f>IF(Inputs!$B$45&gt;=T$1,Inputs!$B$44,0)*(1+inf)^S$1</f>
        <v>0</v>
      </c>
      <c r="U40" s="7">
        <f>IF(Inputs!$B$45&gt;=U$1,Inputs!$B$44,0)*(1+inf)^T$1</f>
        <v>0</v>
      </c>
      <c r="V40" s="7">
        <f>IF(Inputs!$B$45&gt;=V$1,Inputs!$B$44,0)*(1+inf)^U$1</f>
        <v>0</v>
      </c>
      <c r="W40" s="7">
        <f>IF(Inputs!$B$45&gt;=W$1,Inputs!$B$44,0)*(1+inf)^V$1</f>
        <v>0</v>
      </c>
      <c r="X40" s="7">
        <f>IF(Inputs!$B$45&gt;=X$1,Inputs!$B$44,0)*(1+inf)^W$1</f>
        <v>0</v>
      </c>
      <c r="Y40" s="7">
        <f>IF(Inputs!$B$45&gt;=Y$1,Inputs!$B$44,0)*(1+inf)^X$1</f>
        <v>0</v>
      </c>
      <c r="Z40" s="7">
        <f>IF(Inputs!$B$45&gt;=Z$1,Inputs!$B$44,0)*(1+inf)^Y$1</f>
        <v>0</v>
      </c>
      <c r="AA40" s="7">
        <f>IF(Inputs!$B$45&gt;=AA$1,Inputs!$B$44,0)*(1+inf)^Z$1</f>
        <v>0</v>
      </c>
      <c r="AB40" s="7">
        <f>IF(Inputs!$B$45&gt;=AB$1,Inputs!$B$44,0)*(1+inf)^AA$1</f>
        <v>0</v>
      </c>
      <c r="AC40" s="7">
        <f>IF(Inputs!$B$45&gt;=AC$1,Inputs!$B$44,0)*(1+inf)^AB$1</f>
        <v>0</v>
      </c>
      <c r="AD40" s="7">
        <f>IF(Inputs!$B$45&gt;=AD$1,Inputs!$B$44,0)*(1+inf)^AC$1</f>
        <v>0</v>
      </c>
      <c r="AE40" s="7">
        <f>IF(Inputs!$B$45&gt;=AE$1,Inputs!$B$44,0)*(1+inf)^AD$1</f>
        <v>0</v>
      </c>
      <c r="AF40" s="7">
        <f>IF(Inputs!$B$45&gt;=AF$1,Inputs!$B$44,0)*(1+inf)^AE$1</f>
        <v>0</v>
      </c>
      <c r="AG40" s="7">
        <f>IF(Inputs!$B$45&gt;=AG$1,Inputs!$B$44,0)*(1+inf)^AF$1</f>
        <v>0</v>
      </c>
      <c r="AH40" s="7">
        <f>IF(Inputs!$B$45&gt;=AH$1,Inputs!$B$44,0)*(1+inf)^AG$1</f>
        <v>0</v>
      </c>
      <c r="AI40" s="7">
        <f>IF(Inputs!$B$45&gt;=AI$1,Inputs!$B$44,0)*(1+inf)^AH$1</f>
        <v>0</v>
      </c>
      <c r="AJ40" s="7">
        <f>IF(Inputs!$B$45&gt;=AJ$1,Inputs!$B$44,0)*(1+inf)^AI$1</f>
        <v>0</v>
      </c>
      <c r="AK40" s="7">
        <f>IF(Inputs!$B$45&gt;=AK$1,Inputs!$B$44,0)*(1+inf)^AJ$1</f>
        <v>0</v>
      </c>
      <c r="AL40" s="7">
        <f>IF(Inputs!$B$45&gt;=AL$1,Inputs!$B$44,0)*(1+inf)^AK$1</f>
        <v>0</v>
      </c>
      <c r="AM40" s="7">
        <f>IF(Inputs!$B$45&gt;=AM$1,Inputs!$B$44,0)*(1+inf)^AL$1</f>
        <v>0</v>
      </c>
    </row>
    <row r="41" spans="1:39" x14ac:dyDescent="0.2">
      <c r="A41" s="3" t="str">
        <f>TEXT(Inputs!B48,"")</f>
        <v>Stephen</v>
      </c>
      <c r="B41" s="8"/>
      <c r="C41" s="7">
        <f ca="1">IF(Inputs!$B$50&gt;=C$1,Inputs!$B$49,0)*(1+inf)^B$1*ProRate</f>
        <v>2083.3333333333335</v>
      </c>
      <c r="D41" s="7">
        <f>IF(Inputs!$B$50&gt;=D$1,Inputs!$B$49,0)*(1+inf)^C$1</f>
        <v>2562.5</v>
      </c>
      <c r="E41" s="7">
        <f>IF(Inputs!$B$50&gt;=E$1,Inputs!$B$49,0)*(1+inf)^D$1</f>
        <v>2626.5625</v>
      </c>
      <c r="F41" s="7">
        <f>IF(Inputs!$B$50&gt;=F$1,Inputs!$B$49,0)*(1+inf)^E$1</f>
        <v>0</v>
      </c>
      <c r="G41" s="7">
        <f>IF(Inputs!$B$50&gt;=G$1,Inputs!$B$49,0)*(1+inf)^F$1</f>
        <v>0</v>
      </c>
      <c r="H41" s="7">
        <f>IF(Inputs!$B$50&gt;=H$1,Inputs!$B$49,0)*(1+inf)^G$1</f>
        <v>0</v>
      </c>
      <c r="I41" s="7">
        <f>IF(Inputs!$B$50&gt;=I$1,Inputs!$B$49,0)*(1+inf)^H$1</f>
        <v>0</v>
      </c>
      <c r="J41" s="7">
        <f>IF(Inputs!$B$50&gt;=J$1,Inputs!$B$49,0)*(1+inf)^I$1</f>
        <v>0</v>
      </c>
      <c r="K41" s="7">
        <f>IF(Inputs!$B$50&gt;=K$1,Inputs!$B$49,0)*(1+inf)^J$1</f>
        <v>0</v>
      </c>
      <c r="L41" s="7">
        <f>IF(Inputs!$B$50&gt;=L$1,Inputs!$B$49,0)*(1+inf)^K$1</f>
        <v>0</v>
      </c>
      <c r="M41" s="7">
        <f>IF(Inputs!$B$50&gt;=M$1,Inputs!$B$49,0)*(1+inf)^L$1</f>
        <v>0</v>
      </c>
      <c r="N41" s="7">
        <f>IF(Inputs!$B$50&gt;=N$1,Inputs!$B$49,0)*(1+inf)^M$1</f>
        <v>0</v>
      </c>
      <c r="O41" s="7">
        <f>IF(Inputs!$B$50&gt;=O$1,Inputs!$B$49,0)*(1+inf)^N$1</f>
        <v>0</v>
      </c>
      <c r="P41" s="7">
        <f>IF(Inputs!$B$50&gt;=P$1,Inputs!$B$49,0)*(1+inf)^O$1</f>
        <v>0</v>
      </c>
      <c r="Q41" s="7">
        <f>IF(Inputs!$B$50&gt;=Q$1,Inputs!$B$49,0)*(1+inf)^P$1</f>
        <v>0</v>
      </c>
      <c r="R41" s="7">
        <f>IF(Inputs!$B$50&gt;=R$1,Inputs!$B$49,0)*(1+inf)^Q$1</f>
        <v>0</v>
      </c>
      <c r="S41" s="7">
        <f>IF(Inputs!$B$50&gt;=S$1,Inputs!$B$49,0)*(1+inf)^R$1</f>
        <v>0</v>
      </c>
      <c r="T41" s="7">
        <f>IF(Inputs!$B$50&gt;=T$1,Inputs!$B$49,0)*(1+inf)^S$1</f>
        <v>0</v>
      </c>
      <c r="U41" s="7">
        <f>IF(Inputs!$B$50&gt;=U$1,Inputs!$B$49,0)*(1+inf)^T$1</f>
        <v>0</v>
      </c>
      <c r="V41" s="7">
        <f>IF(Inputs!$B$50&gt;=V$1,Inputs!$B$49,0)*(1+inf)^U$1</f>
        <v>0</v>
      </c>
      <c r="W41" s="7">
        <f>IF(Inputs!$B$50&gt;=W$1,Inputs!$B$49,0)*(1+inf)^V$1</f>
        <v>0</v>
      </c>
      <c r="X41" s="7">
        <f>IF(Inputs!$B$50&gt;=X$1,Inputs!$B$49,0)*(1+inf)^W$1</f>
        <v>0</v>
      </c>
      <c r="Y41" s="7">
        <f>IF(Inputs!$B$50&gt;=Y$1,Inputs!$B$49,0)*(1+inf)^X$1</f>
        <v>0</v>
      </c>
      <c r="Z41" s="7">
        <f>IF(Inputs!$B$50&gt;=Z$1,Inputs!$B$49,0)*(1+inf)^Y$1</f>
        <v>0</v>
      </c>
      <c r="AA41" s="7">
        <f>IF(Inputs!$B$50&gt;=AA$1,Inputs!$B$49,0)*(1+inf)^Z$1</f>
        <v>0</v>
      </c>
      <c r="AB41" s="7">
        <f>IF(Inputs!$B$50&gt;=AB$1,Inputs!$B$49,0)*(1+inf)^AA$1</f>
        <v>0</v>
      </c>
      <c r="AC41" s="7">
        <f>IF(Inputs!$B$50&gt;=AC$1,Inputs!$B$49,0)*(1+inf)^AB$1</f>
        <v>0</v>
      </c>
      <c r="AD41" s="7">
        <f>IF(Inputs!$B$50&gt;=AD$1,Inputs!$B$49,0)*(1+inf)^AC$1</f>
        <v>0</v>
      </c>
      <c r="AE41" s="7">
        <f>IF(Inputs!$B$50&gt;=AE$1,Inputs!$B$49,0)*(1+inf)^AD$1</f>
        <v>0</v>
      </c>
      <c r="AF41" s="7">
        <f>IF(Inputs!$B$50&gt;=AF$1,Inputs!$B$49,0)*(1+inf)^AE$1</f>
        <v>0</v>
      </c>
      <c r="AG41" s="7">
        <f>IF(Inputs!$B$50&gt;=AG$1,Inputs!$B$49,0)*(1+inf)^AF$1</f>
        <v>0</v>
      </c>
      <c r="AH41" s="7">
        <f>IF(Inputs!$B$50&gt;=AH$1,Inputs!$B$49,0)*(1+inf)^AG$1</f>
        <v>0</v>
      </c>
      <c r="AI41" s="7">
        <f>IF(Inputs!$B$50&gt;=AI$1,Inputs!$B$49,0)*(1+inf)^AH$1</f>
        <v>0</v>
      </c>
      <c r="AJ41" s="7">
        <f>IF(Inputs!$B$50&gt;=AJ$1,Inputs!$B$49,0)*(1+inf)^AI$1</f>
        <v>0</v>
      </c>
      <c r="AK41" s="7">
        <f>IF(Inputs!$B$50&gt;=AK$1,Inputs!$B$49,0)*(1+inf)^AJ$1</f>
        <v>0</v>
      </c>
      <c r="AL41" s="7">
        <f>IF(Inputs!$B$50&gt;=AL$1,Inputs!$B$49,0)*(1+inf)^AK$1</f>
        <v>0</v>
      </c>
      <c r="AM41" s="7">
        <f>IF(Inputs!$B$50&gt;=AM$1,Inputs!$B$49,0)*(1+inf)^AL$1</f>
        <v>0</v>
      </c>
    </row>
    <row r="42" spans="1:39" x14ac:dyDescent="0.2">
      <c r="A42" s="3" t="str">
        <f>TEXT(Inputs!B53,"")</f>
        <v>Jane</v>
      </c>
      <c r="B42" s="8"/>
      <c r="C42" s="7">
        <f ca="1">IF(Inputs!$B$55&gt;=C$1,Inputs!$B$54,0)*(1+inf)^B$1*ProRate</f>
        <v>2383.3333333333335</v>
      </c>
      <c r="D42" s="7">
        <f>IF(Inputs!$B$55&gt;=D$1,Inputs!$B$54,0)*(1+inf)^C$1</f>
        <v>2931.4999999999995</v>
      </c>
      <c r="E42" s="7">
        <f>IF(Inputs!$B$55&gt;=E$1,Inputs!$B$54,0)*(1+inf)^D$1</f>
        <v>3004.7874999999999</v>
      </c>
      <c r="F42" s="7">
        <f>IF(Inputs!$B$55&gt;=F$1,Inputs!$B$54,0)*(1+inf)^E$1</f>
        <v>3079.9071874999995</v>
      </c>
      <c r="G42" s="7">
        <f>IF(Inputs!$B$55&gt;=G$1,Inputs!$B$54,0)*(1+inf)^F$1</f>
        <v>3156.9048671874993</v>
      </c>
      <c r="H42" s="7">
        <f>IF(Inputs!$B$55&gt;=H$1,Inputs!$B$54,0)*(1+inf)^G$1</f>
        <v>3235.8274888671867</v>
      </c>
      <c r="I42" s="7">
        <f>IF(Inputs!$B$55&gt;=I$1,Inputs!$B$54,0)*(1+inf)^H$1</f>
        <v>0</v>
      </c>
      <c r="J42" s="7">
        <f>IF(Inputs!$B$55&gt;=J$1,Inputs!$B$54,0)*(1+inf)^I$1</f>
        <v>0</v>
      </c>
      <c r="K42" s="7">
        <f>IF(Inputs!$B$55&gt;=K$1,Inputs!$B$54,0)*(1+inf)^J$1</f>
        <v>0</v>
      </c>
      <c r="L42" s="7">
        <f>IF(Inputs!$B$55&gt;=L$1,Inputs!$B$54,0)*(1+inf)^K$1</f>
        <v>0</v>
      </c>
      <c r="M42" s="7">
        <f>IF(Inputs!$B$55&gt;=M$1,Inputs!$B$54,0)*(1+inf)^L$1</f>
        <v>0</v>
      </c>
      <c r="N42" s="7">
        <f>IF(Inputs!$B$55&gt;=N$1,Inputs!$B$54,0)*(1+inf)^M$1</f>
        <v>0</v>
      </c>
      <c r="O42" s="7">
        <f>IF(Inputs!$B$55&gt;=O$1,Inputs!$B$54,0)*(1+inf)^N$1</f>
        <v>0</v>
      </c>
      <c r="P42" s="7">
        <f>IF(Inputs!$B$55&gt;=P$1,Inputs!$B$54,0)*(1+inf)^O$1</f>
        <v>0</v>
      </c>
      <c r="Q42" s="7">
        <f>IF(Inputs!$B$55&gt;=Q$1,Inputs!$B$54,0)*(1+inf)^P$1</f>
        <v>0</v>
      </c>
      <c r="R42" s="7">
        <f>IF(Inputs!$B$55&gt;=R$1,Inputs!$B$54,0)*(1+inf)^Q$1</f>
        <v>0</v>
      </c>
      <c r="S42" s="7">
        <f>IF(Inputs!$B$55&gt;=S$1,Inputs!$B$54,0)*(1+inf)^R$1</f>
        <v>0</v>
      </c>
      <c r="T42" s="7">
        <f>IF(Inputs!$B$55&gt;=T$1,Inputs!$B$54,0)*(1+inf)^S$1</f>
        <v>0</v>
      </c>
      <c r="U42" s="7">
        <f>IF(Inputs!$B$55&gt;=U$1,Inputs!$B$54,0)*(1+inf)^T$1</f>
        <v>0</v>
      </c>
      <c r="V42" s="7">
        <f>IF(Inputs!$B$55&gt;=V$1,Inputs!$B$54,0)*(1+inf)^U$1</f>
        <v>0</v>
      </c>
      <c r="W42" s="7">
        <f>IF(Inputs!$B$55&gt;=W$1,Inputs!$B$54,0)*(1+inf)^V$1</f>
        <v>0</v>
      </c>
      <c r="X42" s="7">
        <f>IF(Inputs!$B$55&gt;=X$1,Inputs!$B$54,0)*(1+inf)^W$1</f>
        <v>0</v>
      </c>
      <c r="Y42" s="7">
        <f>IF(Inputs!$B$55&gt;=Y$1,Inputs!$B$54,0)*(1+inf)^X$1</f>
        <v>0</v>
      </c>
      <c r="Z42" s="7">
        <f>IF(Inputs!$B$55&gt;=Z$1,Inputs!$B$54,0)*(1+inf)^Y$1</f>
        <v>0</v>
      </c>
      <c r="AA42" s="7">
        <f>IF(Inputs!$B$55&gt;=AA$1,Inputs!$B$54,0)*(1+inf)^Z$1</f>
        <v>0</v>
      </c>
      <c r="AB42" s="7">
        <f>IF(Inputs!$B$55&gt;=AB$1,Inputs!$B$54,0)*(1+inf)^AA$1</f>
        <v>0</v>
      </c>
      <c r="AC42" s="7">
        <f>IF(Inputs!$B$55&gt;=AC$1,Inputs!$B$54,0)*(1+inf)^AB$1</f>
        <v>0</v>
      </c>
      <c r="AD42" s="7">
        <f>IF(Inputs!$B$55&gt;=AD$1,Inputs!$B$54,0)*(1+inf)^AC$1</f>
        <v>0</v>
      </c>
      <c r="AE42" s="7">
        <f>IF(Inputs!$B$55&gt;=AE$1,Inputs!$B$54,0)*(1+inf)^AD$1</f>
        <v>0</v>
      </c>
      <c r="AF42" s="7">
        <f>IF(Inputs!$B$55&gt;=AF$1,Inputs!$B$54,0)*(1+inf)^AE$1</f>
        <v>0</v>
      </c>
      <c r="AG42" s="7">
        <f>IF(Inputs!$B$55&gt;=AG$1,Inputs!$B$54,0)*(1+inf)^AF$1</f>
        <v>0</v>
      </c>
      <c r="AH42" s="7">
        <f>IF(Inputs!$B$55&gt;=AH$1,Inputs!$B$54,0)*(1+inf)^AG$1</f>
        <v>0</v>
      </c>
      <c r="AI42" s="7">
        <f>IF(Inputs!$B$55&gt;=AI$1,Inputs!$B$54,0)*(1+inf)^AH$1</f>
        <v>0</v>
      </c>
      <c r="AJ42" s="7">
        <f>IF(Inputs!$B$55&gt;=AJ$1,Inputs!$B$54,0)*(1+inf)^AI$1</f>
        <v>0</v>
      </c>
      <c r="AK42" s="7">
        <f>IF(Inputs!$B$55&gt;=AK$1,Inputs!$B$54,0)*(1+inf)^AJ$1</f>
        <v>0</v>
      </c>
      <c r="AL42" s="7">
        <f>IF(Inputs!$B$55&gt;=AL$1,Inputs!$B$54,0)*(1+inf)^AK$1</f>
        <v>0</v>
      </c>
      <c r="AM42" s="7">
        <f>IF(Inputs!$B$55&gt;=AM$1,Inputs!$B$54,0)*(1+inf)^AL$1</f>
        <v>0</v>
      </c>
    </row>
    <row r="43" spans="1:39" x14ac:dyDescent="0.2">
      <c r="A43" s="4" t="s">
        <v>5</v>
      </c>
      <c r="B43" s="8"/>
      <c r="C43" s="7">
        <f ca="1">Inputs!$B$23*(1+inf)^B$1*ProRate</f>
        <v>0</v>
      </c>
      <c r="D43" s="7">
        <f>Inputs!$B$23*(1+inf)^C$1</f>
        <v>0</v>
      </c>
      <c r="E43" s="7">
        <f>Inputs!$B$23*(1+inf)^D$1</f>
        <v>0</v>
      </c>
      <c r="F43" s="7">
        <f>Inputs!$B$23*(1+inf)^E$1</f>
        <v>0</v>
      </c>
      <c r="G43" s="7">
        <f>Inputs!$B$23*(1+inf)^F$1</f>
        <v>0</v>
      </c>
      <c r="H43" s="7">
        <f>Inputs!$B$23*(1+inf)^G$1</f>
        <v>0</v>
      </c>
      <c r="I43" s="7">
        <f>Inputs!$B$23*(1+inf)^H$1</f>
        <v>0</v>
      </c>
      <c r="J43" s="7">
        <f>Inputs!$B$23*(1+inf)^I$1</f>
        <v>0</v>
      </c>
      <c r="K43" s="7">
        <f>Inputs!$B$23*(1+inf)^J$1</f>
        <v>0</v>
      </c>
      <c r="L43" s="7">
        <f>Inputs!$B$23*(1+inf)^K$1</f>
        <v>0</v>
      </c>
      <c r="M43" s="7">
        <f>Inputs!$B$23*(1+inf)^L$1</f>
        <v>0</v>
      </c>
      <c r="N43" s="7">
        <f>Inputs!$B$23*(1+inf)^M$1</f>
        <v>0</v>
      </c>
      <c r="O43" s="7">
        <f>Inputs!$B$23*(1+inf)^N$1</f>
        <v>0</v>
      </c>
      <c r="P43" s="7">
        <f>Inputs!$B$23*(1+inf)^O$1</f>
        <v>0</v>
      </c>
      <c r="Q43" s="7">
        <f>Inputs!$B$23*(1+inf)^P$1</f>
        <v>0</v>
      </c>
      <c r="R43" s="7">
        <f>Inputs!$B$23*(1+inf)^Q$1</f>
        <v>0</v>
      </c>
      <c r="S43" s="7">
        <f>Inputs!$B$23*(1+inf)^R$1</f>
        <v>0</v>
      </c>
      <c r="T43" s="7">
        <f>Inputs!$B$23*(1+inf)^S$1</f>
        <v>0</v>
      </c>
      <c r="U43" s="7">
        <f>Inputs!$B$23*(1+inf)^T$1</f>
        <v>0</v>
      </c>
      <c r="V43" s="7">
        <f>Inputs!$B$23*(1+inf)^U$1</f>
        <v>0</v>
      </c>
      <c r="W43" s="7">
        <f>Inputs!$B$23*(1+inf)^V$1</f>
        <v>0</v>
      </c>
      <c r="X43" s="7">
        <f>Inputs!$B$23*(1+inf)^W$1</f>
        <v>0</v>
      </c>
      <c r="Y43" s="7">
        <f>Inputs!$B$23*(1+inf)^X$1</f>
        <v>0</v>
      </c>
      <c r="Z43" s="7">
        <f>Inputs!$B$23*(1+inf)^Y$1</f>
        <v>0</v>
      </c>
      <c r="AA43" s="7">
        <f>Inputs!$B$23*(1+inf)^Z$1</f>
        <v>0</v>
      </c>
      <c r="AB43" s="7">
        <f>Inputs!$B$23*(1+inf)^AA$1</f>
        <v>0</v>
      </c>
      <c r="AC43" s="7">
        <f>Inputs!$B$23*(1+inf)^AB$1</f>
        <v>0</v>
      </c>
      <c r="AD43" s="7">
        <f>Inputs!$B$23*(1+inf)^AC$1</f>
        <v>0</v>
      </c>
      <c r="AE43" s="7">
        <f>Inputs!$B$23*(1+inf)^AD$1</f>
        <v>0</v>
      </c>
      <c r="AF43" s="7">
        <f>Inputs!$B$23*(1+inf)^AE$1</f>
        <v>0</v>
      </c>
      <c r="AG43" s="7">
        <f>Inputs!$B$23*(1+inf)^AF$1</f>
        <v>0</v>
      </c>
      <c r="AH43" s="7">
        <f>Inputs!$B$23*(1+inf)^AG$1</f>
        <v>0</v>
      </c>
      <c r="AI43" s="7">
        <f>Inputs!$B$23*(1+inf)^AH$1</f>
        <v>0</v>
      </c>
      <c r="AJ43" s="7">
        <f>Inputs!$B$23*(1+inf)^AI$1</f>
        <v>0</v>
      </c>
      <c r="AK43" s="7">
        <f>Inputs!$B$23*(1+inf)^AJ$1</f>
        <v>0</v>
      </c>
      <c r="AL43" s="7">
        <f>Inputs!$B$23*(1+inf)^AK$1</f>
        <v>0</v>
      </c>
      <c r="AM43" s="7">
        <f>Inputs!$B$23*(1+inf)^AL$1</f>
        <v>0</v>
      </c>
    </row>
    <row r="44" spans="1:39" x14ac:dyDescent="0.2">
      <c r="A44" s="4" t="s">
        <v>53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">
      <c r="A45" s="3" t="str">
        <f>TEXT(Inputs!$B$60,"")</f>
        <v>Sliema</v>
      </c>
      <c r="B45" s="8"/>
      <c r="C45" s="7">
        <f ca="1">Inputs!$B62*(1+inf)^B$1*ProRate</f>
        <v>4166.666666666667</v>
      </c>
      <c r="D45" s="7">
        <f>Inputs!$B62*(1+inf)^C$1</f>
        <v>5125</v>
      </c>
      <c r="E45" s="7">
        <f>Inputs!$B62*(1+inf)^D$1</f>
        <v>5253.125</v>
      </c>
      <c r="F45" s="7">
        <f>Inputs!$B62*(1+inf)^E$1</f>
        <v>5384.4531249999991</v>
      </c>
      <c r="G45" s="7">
        <f>Inputs!$B62*(1+inf)^F$1</f>
        <v>5519.0644531249991</v>
      </c>
      <c r="H45" s="7">
        <f>Inputs!$B62*(1+inf)^G$1</f>
        <v>5657.041064453123</v>
      </c>
      <c r="I45" s="7">
        <f>Inputs!$B62*(1+inf)^H$1</f>
        <v>5798.4670910644509</v>
      </c>
      <c r="J45" s="7">
        <f>Inputs!$B62*(1+inf)^I$1</f>
        <v>5943.4287683410621</v>
      </c>
      <c r="K45" s="7">
        <f>Inputs!$B62*(1+inf)^J$1</f>
        <v>6092.0144875495889</v>
      </c>
      <c r="L45" s="7">
        <f>Inputs!$B62*(1+inf)^K$1</f>
        <v>6244.3148497383272</v>
      </c>
      <c r="M45" s="7">
        <f>Inputs!$B62*(1+inf)^L$1</f>
        <v>6400.4227209817855</v>
      </c>
      <c r="N45" s="7">
        <f>Inputs!$B62*(1+inf)^M$1</f>
        <v>6560.4332890063297</v>
      </c>
      <c r="O45" s="7">
        <f>Inputs!$B62*(1+inf)^N$1</f>
        <v>6724.4441212314878</v>
      </c>
      <c r="P45" s="7">
        <f>Inputs!$B62*(1+inf)^O$1</f>
        <v>6892.5552242622744</v>
      </c>
      <c r="Q45" s="7">
        <f>Inputs!$B62*(1+inf)^P$1</f>
        <v>7064.8691048688306</v>
      </c>
      <c r="R45" s="7">
        <f>Inputs!$B62*(1+inf)^Q$1</f>
        <v>7241.4908324905527</v>
      </c>
      <c r="S45" s="7">
        <f>Inputs!$B62*(1+inf)^R$1</f>
        <v>7422.5281033028159</v>
      </c>
      <c r="T45" s="7">
        <f>Inputs!$B62*(1+inf)^S$1</f>
        <v>7608.0913058853848</v>
      </c>
      <c r="U45" s="7">
        <f>Inputs!$B62*(1+inf)^T$1</f>
        <v>7798.2935885325196</v>
      </c>
      <c r="V45" s="7">
        <f>Inputs!$B62*(1+inf)^U$1</f>
        <v>7993.2509282458332</v>
      </c>
      <c r="W45" s="7">
        <f>Inputs!$B62*(1+inf)^V$1</f>
        <v>8193.0822014519781</v>
      </c>
      <c r="X45" s="7">
        <f>Inputs!$B62*(1+inf)^W$1</f>
        <v>8397.9092564882758</v>
      </c>
      <c r="Y45" s="7">
        <f>Inputs!$B62*(1+inf)^X$1</f>
        <v>8607.8569879004826</v>
      </c>
      <c r="Z45" s="7">
        <f>Inputs!$B62*(1+inf)^Y$1</f>
        <v>8823.0534125979957</v>
      </c>
      <c r="AA45" s="7">
        <f>Inputs!$B62*(1+inf)^Z$1</f>
        <v>9043.6297479129444</v>
      </c>
      <c r="AB45" s="7">
        <f>Inputs!$B62*(1+inf)^AA$1</f>
        <v>9269.7204916107676</v>
      </c>
      <c r="AC45" s="7">
        <f>Inputs!$B62*(1+inf)^AB$1</f>
        <v>9501.4635039010354</v>
      </c>
      <c r="AD45" s="7">
        <f>Inputs!$B62*(1+inf)^AC$1</f>
        <v>9739.0000914985612</v>
      </c>
      <c r="AE45" s="7">
        <f>Inputs!$B62*(1+inf)^AD$1</f>
        <v>9982.4750937860244</v>
      </c>
      <c r="AF45" s="7">
        <f>Inputs!$B62*(1+inf)^AE$1</f>
        <v>10232.036971130676</v>
      </c>
      <c r="AG45" s="7">
        <f>Inputs!$B62*(1+inf)^AF$1</f>
        <v>10487.83789540894</v>
      </c>
      <c r="AH45" s="7">
        <f>Inputs!$B62*(1+inf)^AG$1</f>
        <v>10750.033842794166</v>
      </c>
      <c r="AI45" s="7">
        <f>Inputs!$B62*(1+inf)^AH$1</f>
        <v>11018.784688864018</v>
      </c>
      <c r="AJ45" s="7">
        <f>Inputs!$B62*(1+inf)^AI$1</f>
        <v>11294.254306085619</v>
      </c>
      <c r="AK45" s="7">
        <f>Inputs!$B62*(1+inf)^AJ$1</f>
        <v>11576.610663737758</v>
      </c>
      <c r="AL45" s="7">
        <f>Inputs!$B62*(1+inf)^AK$1</f>
        <v>11866.025930331201</v>
      </c>
      <c r="AM45" s="7">
        <f>Inputs!$B62*(1+inf)^AL$1</f>
        <v>12162.676578589482</v>
      </c>
    </row>
    <row r="46" spans="1:39" x14ac:dyDescent="0.2">
      <c r="A46" s="3" t="str">
        <f>TEXT(Inputs!$B$65,"")</f>
        <v>Gzira</v>
      </c>
      <c r="B46" s="8"/>
      <c r="C46" s="7">
        <f ca="1">Inputs!$B67*(1+inf)^B$1*ProRate</f>
        <v>1666.6666666666667</v>
      </c>
      <c r="D46" s="7">
        <f>Inputs!$B67*(1+inf)^C$1</f>
        <v>2050</v>
      </c>
      <c r="E46" s="7">
        <f>Inputs!$B67*(1+inf)^D$1</f>
        <v>2101.25</v>
      </c>
      <c r="F46" s="7">
        <f>Inputs!$B67*(1+inf)^E$1</f>
        <v>2153.7812499999995</v>
      </c>
      <c r="G46" s="7">
        <f>Inputs!$B67*(1+inf)^F$1</f>
        <v>2207.6257812499994</v>
      </c>
      <c r="H46" s="7">
        <f>Inputs!$B67*(1+inf)^G$1</f>
        <v>2262.8164257812491</v>
      </c>
      <c r="I46" s="7">
        <f>Inputs!$B67*(1+inf)^H$1</f>
        <v>2319.3868364257805</v>
      </c>
      <c r="J46" s="7">
        <f>Inputs!$B67*(1+inf)^I$1</f>
        <v>2377.3715073364251</v>
      </c>
      <c r="K46" s="7">
        <f>Inputs!$B67*(1+inf)^J$1</f>
        <v>2436.8057950198354</v>
      </c>
      <c r="L46" s="7">
        <f>Inputs!$B67*(1+inf)^K$1</f>
        <v>2497.7259398953311</v>
      </c>
      <c r="M46" s="7">
        <f>Inputs!$B67*(1+inf)^L$1</f>
        <v>2560.169088392714</v>
      </c>
      <c r="N46" s="7">
        <f>Inputs!$B67*(1+inf)^M$1</f>
        <v>2624.1733156025321</v>
      </c>
      <c r="O46" s="7">
        <f>Inputs!$B67*(1+inf)^N$1</f>
        <v>2689.7776484925948</v>
      </c>
      <c r="P46" s="7">
        <f>Inputs!$B67*(1+inf)^O$1</f>
        <v>2757.0220897049098</v>
      </c>
      <c r="Q46" s="7">
        <f>Inputs!$B67*(1+inf)^P$1</f>
        <v>2825.9476419475322</v>
      </c>
      <c r="R46" s="7">
        <f>Inputs!$B67*(1+inf)^Q$1</f>
        <v>2896.596332996221</v>
      </c>
      <c r="S46" s="7">
        <f>Inputs!$B67*(1+inf)^R$1</f>
        <v>2969.0112413211264</v>
      </c>
      <c r="T46" s="7">
        <f>Inputs!$B67*(1+inf)^S$1</f>
        <v>3043.2365223541542</v>
      </c>
      <c r="U46" s="7">
        <f>Inputs!$B67*(1+inf)^T$1</f>
        <v>3119.3174354130078</v>
      </c>
      <c r="V46" s="7">
        <f>Inputs!$B67*(1+inf)^U$1</f>
        <v>3197.3003712983332</v>
      </c>
      <c r="W46" s="7">
        <f>Inputs!$B67*(1+inf)^V$1</f>
        <v>3277.2328805807911</v>
      </c>
      <c r="X46" s="7">
        <f>Inputs!$B67*(1+inf)^W$1</f>
        <v>3359.1637025953105</v>
      </c>
      <c r="Y46" s="7">
        <f>Inputs!$B67*(1+inf)^X$1</f>
        <v>3443.1427951601931</v>
      </c>
      <c r="Z46" s="7">
        <f>Inputs!$B67*(1+inf)^Y$1</f>
        <v>3529.2213650391982</v>
      </c>
      <c r="AA46" s="7">
        <f>Inputs!$B67*(1+inf)^Z$1</f>
        <v>3617.451899165178</v>
      </c>
      <c r="AB46" s="7">
        <f>Inputs!$B67*(1+inf)^AA$1</f>
        <v>3707.8881966443068</v>
      </c>
      <c r="AC46" s="7">
        <f>Inputs!$B67*(1+inf)^AB$1</f>
        <v>3800.5854015604141</v>
      </c>
      <c r="AD46" s="7">
        <f>Inputs!$B67*(1+inf)^AC$1</f>
        <v>3895.6000365994241</v>
      </c>
      <c r="AE46" s="7">
        <f>Inputs!$B67*(1+inf)^AD$1</f>
        <v>3992.9900375144098</v>
      </c>
      <c r="AF46" s="7">
        <f>Inputs!$B67*(1+inf)^AE$1</f>
        <v>4092.8147884522705</v>
      </c>
      <c r="AG46" s="7">
        <f>Inputs!$B67*(1+inf)^AF$1</f>
        <v>4195.1351581635763</v>
      </c>
      <c r="AH46" s="7">
        <f>Inputs!$B67*(1+inf)^AG$1</f>
        <v>4300.0135371176666</v>
      </c>
      <c r="AI46" s="7">
        <f>Inputs!$B67*(1+inf)^AH$1</f>
        <v>4407.5138755456073</v>
      </c>
      <c r="AJ46" s="7">
        <f>Inputs!$B67*(1+inf)^AI$1</f>
        <v>4517.7017224342471</v>
      </c>
      <c r="AK46" s="7">
        <f>Inputs!$B67*(1+inf)^AJ$1</f>
        <v>4630.6442654951034</v>
      </c>
      <c r="AL46" s="7">
        <f>Inputs!$B67*(1+inf)^AK$1</f>
        <v>4746.41037213248</v>
      </c>
      <c r="AM46" s="7">
        <f>Inputs!$B67*(1+inf)^AL$1</f>
        <v>4865.0706314357931</v>
      </c>
    </row>
    <row r="47" spans="1:39" x14ac:dyDescent="0.2">
      <c r="A47" s="3" t="str">
        <f>TEXT(Inputs!$B$70,"")</f>
        <v>Qormi</v>
      </c>
      <c r="B47" s="8"/>
      <c r="C47" s="7">
        <f ca="1">Inputs!$B72*(1+inf)^B$1*ProRate</f>
        <v>1000</v>
      </c>
      <c r="D47" s="7">
        <f>Inputs!$B72*(1+inf)^C$1</f>
        <v>1230</v>
      </c>
      <c r="E47" s="7">
        <f>Inputs!$B72*(1+inf)^D$1</f>
        <v>1260.75</v>
      </c>
      <c r="F47" s="7">
        <f>Inputs!$B72*(1+inf)^E$1</f>
        <v>1292.26875</v>
      </c>
      <c r="G47" s="7">
        <f>Inputs!$B72*(1+inf)^F$1</f>
        <v>1324.5754687499998</v>
      </c>
      <c r="H47" s="7">
        <f>Inputs!$B72*(1+inf)^G$1</f>
        <v>1357.6898554687496</v>
      </c>
      <c r="I47" s="7">
        <f>Inputs!$B72*(1+inf)^H$1</f>
        <v>1391.6321018554681</v>
      </c>
      <c r="J47" s="7">
        <f>Inputs!$B72*(1+inf)^I$1</f>
        <v>1426.422904401855</v>
      </c>
      <c r="K47" s="7">
        <f>Inputs!$B72*(1+inf)^J$1</f>
        <v>1462.0834770119013</v>
      </c>
      <c r="L47" s="7">
        <f>Inputs!$B72*(1+inf)^K$1</f>
        <v>1498.6355639371984</v>
      </c>
      <c r="M47" s="7">
        <f>Inputs!$B72*(1+inf)^L$1</f>
        <v>1536.1014530356285</v>
      </c>
      <c r="N47" s="7">
        <f>Inputs!$B72*(1+inf)^M$1</f>
        <v>1574.5039893615192</v>
      </c>
      <c r="O47" s="7">
        <f>Inputs!$B72*(1+inf)^N$1</f>
        <v>1613.8665890955569</v>
      </c>
      <c r="P47" s="7">
        <f>Inputs!$B72*(1+inf)^O$1</f>
        <v>1654.2132538229459</v>
      </c>
      <c r="Q47" s="7">
        <f>Inputs!$B72*(1+inf)^P$1</f>
        <v>1695.5685851685193</v>
      </c>
      <c r="R47" s="7">
        <f>Inputs!$B72*(1+inf)^Q$1</f>
        <v>1737.9577997977326</v>
      </c>
      <c r="S47" s="7">
        <f>Inputs!$B72*(1+inf)^R$1</f>
        <v>1781.4067447926757</v>
      </c>
      <c r="T47" s="7">
        <f>Inputs!$B72*(1+inf)^S$1</f>
        <v>1825.9419134124923</v>
      </c>
      <c r="U47" s="7">
        <f>Inputs!$B72*(1+inf)^T$1</f>
        <v>1871.5904612478048</v>
      </c>
      <c r="V47" s="7">
        <f>Inputs!$B72*(1+inf)^U$1</f>
        <v>1918.380222779</v>
      </c>
      <c r="W47" s="7">
        <f>Inputs!$B72*(1+inf)^V$1</f>
        <v>1966.3397283484746</v>
      </c>
      <c r="X47" s="7">
        <f>Inputs!$B72*(1+inf)^W$1</f>
        <v>2015.4982215571863</v>
      </c>
      <c r="Y47" s="7">
        <f>Inputs!$B72*(1+inf)^X$1</f>
        <v>2065.8856770961161</v>
      </c>
      <c r="Z47" s="7">
        <f>Inputs!$B72*(1+inf)^Y$1</f>
        <v>2117.5328190235191</v>
      </c>
      <c r="AA47" s="7">
        <f>Inputs!$B72*(1+inf)^Z$1</f>
        <v>2170.4711394991068</v>
      </c>
      <c r="AB47" s="7">
        <f>Inputs!$B72*(1+inf)^AA$1</f>
        <v>2224.7329179865842</v>
      </c>
      <c r="AC47" s="7">
        <f>Inputs!$B72*(1+inf)^AB$1</f>
        <v>2280.3512409362484</v>
      </c>
      <c r="AD47" s="7">
        <f>Inputs!$B72*(1+inf)^AC$1</f>
        <v>2337.3600219596547</v>
      </c>
      <c r="AE47" s="7">
        <f>Inputs!$B72*(1+inf)^AD$1</f>
        <v>2395.7940225086459</v>
      </c>
      <c r="AF47" s="7">
        <f>Inputs!$B72*(1+inf)^AE$1</f>
        <v>2455.6888730713622</v>
      </c>
      <c r="AG47" s="7">
        <f>Inputs!$B72*(1+inf)^AF$1</f>
        <v>2517.0810948981457</v>
      </c>
      <c r="AH47" s="7">
        <f>Inputs!$B72*(1+inf)^AG$1</f>
        <v>2580.0081222705999</v>
      </c>
      <c r="AI47" s="7">
        <f>Inputs!$B72*(1+inf)^AH$1</f>
        <v>2644.5083253273642</v>
      </c>
      <c r="AJ47" s="7">
        <f>Inputs!$B72*(1+inf)^AI$1</f>
        <v>2710.6210334605485</v>
      </c>
      <c r="AK47" s="7">
        <f>Inputs!$B72*(1+inf)^AJ$1</f>
        <v>2778.3865592970619</v>
      </c>
      <c r="AL47" s="7">
        <f>Inputs!$B72*(1+inf)^AK$1</f>
        <v>2847.8462232794882</v>
      </c>
      <c r="AM47" s="7">
        <f>Inputs!$B72*(1+inf)^AL$1</f>
        <v>2919.0423788614758</v>
      </c>
    </row>
    <row r="48" spans="1:39" x14ac:dyDescent="0.2">
      <c r="A48" s="3" t="str">
        <f>TEXT(Inputs!$B$75,"")</f>
        <v>Gudja</v>
      </c>
      <c r="B48" s="8"/>
      <c r="C48" s="7">
        <f ca="1">Inputs!$B77*(1+inf)^B$1*ProRate</f>
        <v>833.33333333333337</v>
      </c>
      <c r="D48" s="7">
        <f>Inputs!$B77*(1+inf)^C$1</f>
        <v>1025</v>
      </c>
      <c r="E48" s="7">
        <f>Inputs!$B77*(1+inf)^D$1</f>
        <v>1050.625</v>
      </c>
      <c r="F48" s="7">
        <f>Inputs!$B77*(1+inf)^E$1</f>
        <v>1076.8906249999998</v>
      </c>
      <c r="G48" s="7">
        <f>Inputs!$B77*(1+inf)^F$1</f>
        <v>1103.8128906249997</v>
      </c>
      <c r="H48" s="7">
        <f>Inputs!$B77*(1+inf)^G$1</f>
        <v>1131.4082128906246</v>
      </c>
      <c r="I48" s="7">
        <f>Inputs!$B77*(1+inf)^H$1</f>
        <v>1159.6934182128903</v>
      </c>
      <c r="J48" s="7">
        <f>Inputs!$B77*(1+inf)^I$1</f>
        <v>1188.6857536682126</v>
      </c>
      <c r="K48" s="7">
        <f>Inputs!$B77*(1+inf)^J$1</f>
        <v>1218.4028975099177</v>
      </c>
      <c r="L48" s="7">
        <f>Inputs!$B77*(1+inf)^K$1</f>
        <v>1248.8629699476655</v>
      </c>
      <c r="M48" s="7">
        <f>Inputs!$B77*(1+inf)^L$1</f>
        <v>1280.084544196357</v>
      </c>
      <c r="N48" s="7">
        <f>Inputs!$B77*(1+inf)^M$1</f>
        <v>1312.086657801266</v>
      </c>
      <c r="O48" s="7">
        <f>Inputs!$B77*(1+inf)^N$1</f>
        <v>1344.8888242462974</v>
      </c>
      <c r="P48" s="7">
        <f>Inputs!$B77*(1+inf)^O$1</f>
        <v>1378.5110448524549</v>
      </c>
      <c r="Q48" s="7">
        <f>Inputs!$B77*(1+inf)^P$1</f>
        <v>1412.9738209737661</v>
      </c>
      <c r="R48" s="7">
        <f>Inputs!$B77*(1+inf)^Q$1</f>
        <v>1448.2981664981105</v>
      </c>
      <c r="S48" s="7">
        <f>Inputs!$B77*(1+inf)^R$1</f>
        <v>1484.5056206605632</v>
      </c>
      <c r="T48" s="7">
        <f>Inputs!$B77*(1+inf)^S$1</f>
        <v>1521.6182611770771</v>
      </c>
      <c r="U48" s="7">
        <f>Inputs!$B77*(1+inf)^T$1</f>
        <v>1559.6587177065039</v>
      </c>
      <c r="V48" s="7">
        <f>Inputs!$B77*(1+inf)^U$1</f>
        <v>1598.6501856491666</v>
      </c>
      <c r="W48" s="7">
        <f>Inputs!$B77*(1+inf)^V$1</f>
        <v>1638.6164402903955</v>
      </c>
      <c r="X48" s="7">
        <f>Inputs!$B77*(1+inf)^W$1</f>
        <v>1679.5818512976552</v>
      </c>
      <c r="Y48" s="7">
        <f>Inputs!$B77*(1+inf)^X$1</f>
        <v>1721.5713975800966</v>
      </c>
      <c r="Z48" s="7">
        <f>Inputs!$B77*(1+inf)^Y$1</f>
        <v>1764.6106825195991</v>
      </c>
      <c r="AA48" s="7">
        <f>Inputs!$B77*(1+inf)^Z$1</f>
        <v>1808.725949582589</v>
      </c>
      <c r="AB48" s="7">
        <f>Inputs!$B77*(1+inf)^AA$1</f>
        <v>1853.9440983221534</v>
      </c>
      <c r="AC48" s="7">
        <f>Inputs!$B77*(1+inf)^AB$1</f>
        <v>1900.292700780207</v>
      </c>
      <c r="AD48" s="7">
        <f>Inputs!$B77*(1+inf)^AC$1</f>
        <v>1947.8000182997121</v>
      </c>
      <c r="AE48" s="7">
        <f>Inputs!$B77*(1+inf)^AD$1</f>
        <v>1996.4950187572049</v>
      </c>
      <c r="AF48" s="7">
        <f>Inputs!$B77*(1+inf)^AE$1</f>
        <v>2046.4073942261352</v>
      </c>
      <c r="AG48" s="7">
        <f>Inputs!$B77*(1+inf)^AF$1</f>
        <v>2097.5675790817882</v>
      </c>
      <c r="AH48" s="7">
        <f>Inputs!$B77*(1+inf)^AG$1</f>
        <v>2150.0067685588333</v>
      </c>
      <c r="AI48" s="7">
        <f>Inputs!$B77*(1+inf)^AH$1</f>
        <v>2203.7569377728037</v>
      </c>
      <c r="AJ48" s="7">
        <f>Inputs!$B77*(1+inf)^AI$1</f>
        <v>2258.8508612171236</v>
      </c>
      <c r="AK48" s="7">
        <f>Inputs!$B77*(1+inf)^AJ$1</f>
        <v>2315.3221327475517</v>
      </c>
      <c r="AL48" s="7">
        <f>Inputs!$B77*(1+inf)^AK$1</f>
        <v>2373.20518606624</v>
      </c>
      <c r="AM48" s="7">
        <f>Inputs!$B77*(1+inf)^AL$1</f>
        <v>2432.5353157178965</v>
      </c>
    </row>
    <row r="49" spans="1:39" x14ac:dyDescent="0.2">
      <c r="A49" s="3" t="str">
        <f>TEXT(Inputs!$B$80,"")</f>
        <v>Marsa</v>
      </c>
      <c r="B49" s="8"/>
      <c r="C49" s="7">
        <f ca="1">Inputs!$B82*(1+inf)^B$1*ProRate</f>
        <v>666.66666666666674</v>
      </c>
      <c r="D49" s="7">
        <f>Inputs!$B82*(1+inf)^C$1</f>
        <v>819.99999999999989</v>
      </c>
      <c r="E49" s="7">
        <f>Inputs!$B82*(1+inf)^D$1</f>
        <v>840.49999999999989</v>
      </c>
      <c r="F49" s="7">
        <f>Inputs!$B82*(1+inf)^E$1</f>
        <v>861.51249999999993</v>
      </c>
      <c r="G49" s="7">
        <f>Inputs!$B82*(1+inf)^F$1</f>
        <v>883.05031249999979</v>
      </c>
      <c r="H49" s="7">
        <f>Inputs!$B82*(1+inf)^G$1</f>
        <v>905.12657031249978</v>
      </c>
      <c r="I49" s="7">
        <f>Inputs!$B82*(1+inf)^H$1</f>
        <v>927.75473457031217</v>
      </c>
      <c r="J49" s="7">
        <f>Inputs!$B82*(1+inf)^I$1</f>
        <v>950.94860293456998</v>
      </c>
      <c r="K49" s="7">
        <f>Inputs!$B82*(1+inf)^J$1</f>
        <v>974.72231800793418</v>
      </c>
      <c r="L49" s="7">
        <f>Inputs!$B82*(1+inf)^K$1</f>
        <v>999.09037595813231</v>
      </c>
      <c r="M49" s="7">
        <f>Inputs!$B82*(1+inf)^L$1</f>
        <v>1024.0676353570857</v>
      </c>
      <c r="N49" s="7">
        <f>Inputs!$B82*(1+inf)^M$1</f>
        <v>1049.6693262410129</v>
      </c>
      <c r="O49" s="7">
        <f>Inputs!$B82*(1+inf)^N$1</f>
        <v>1075.9110593970381</v>
      </c>
      <c r="P49" s="7">
        <f>Inputs!$B82*(1+inf)^O$1</f>
        <v>1102.8088358819639</v>
      </c>
      <c r="Q49" s="7">
        <f>Inputs!$B82*(1+inf)^P$1</f>
        <v>1130.3790567790129</v>
      </c>
      <c r="R49" s="7">
        <f>Inputs!$B82*(1+inf)^Q$1</f>
        <v>1158.6385331984884</v>
      </c>
      <c r="S49" s="7">
        <f>Inputs!$B82*(1+inf)^R$1</f>
        <v>1187.6044965284505</v>
      </c>
      <c r="T49" s="7">
        <f>Inputs!$B82*(1+inf)^S$1</f>
        <v>1217.2946089416616</v>
      </c>
      <c r="U49" s="7">
        <f>Inputs!$B82*(1+inf)^T$1</f>
        <v>1247.7269741652033</v>
      </c>
      <c r="V49" s="7">
        <f>Inputs!$B82*(1+inf)^U$1</f>
        <v>1278.9201485193332</v>
      </c>
      <c r="W49" s="7">
        <f>Inputs!$B82*(1+inf)^V$1</f>
        <v>1310.8931522323164</v>
      </c>
      <c r="X49" s="7">
        <f>Inputs!$B82*(1+inf)^W$1</f>
        <v>1343.6654810381242</v>
      </c>
      <c r="Y49" s="7">
        <f>Inputs!$B82*(1+inf)^X$1</f>
        <v>1377.2571180640773</v>
      </c>
      <c r="Z49" s="7">
        <f>Inputs!$B82*(1+inf)^Y$1</f>
        <v>1411.6885460156793</v>
      </c>
      <c r="AA49" s="7">
        <f>Inputs!$B82*(1+inf)^Z$1</f>
        <v>1446.9807596660712</v>
      </c>
      <c r="AB49" s="7">
        <f>Inputs!$B82*(1+inf)^AA$1</f>
        <v>1483.1552786577226</v>
      </c>
      <c r="AC49" s="7">
        <f>Inputs!$B82*(1+inf)^AB$1</f>
        <v>1520.2341606241657</v>
      </c>
      <c r="AD49" s="7">
        <f>Inputs!$B82*(1+inf)^AC$1</f>
        <v>1558.2400146397697</v>
      </c>
      <c r="AE49" s="7">
        <f>Inputs!$B82*(1+inf)^AD$1</f>
        <v>1597.1960150057639</v>
      </c>
      <c r="AF49" s="7">
        <f>Inputs!$B82*(1+inf)^AE$1</f>
        <v>1637.1259153809081</v>
      </c>
      <c r="AG49" s="7">
        <f>Inputs!$B82*(1+inf)^AF$1</f>
        <v>1678.0540632654304</v>
      </c>
      <c r="AH49" s="7">
        <f>Inputs!$B82*(1+inf)^AG$1</f>
        <v>1720.0054148470667</v>
      </c>
      <c r="AI49" s="7">
        <f>Inputs!$B82*(1+inf)^AH$1</f>
        <v>1763.0055502182429</v>
      </c>
      <c r="AJ49" s="7">
        <f>Inputs!$B82*(1+inf)^AI$1</f>
        <v>1807.0806889736989</v>
      </c>
      <c r="AK49" s="7">
        <f>Inputs!$B82*(1+inf)^AJ$1</f>
        <v>1852.2577061980414</v>
      </c>
      <c r="AL49" s="7">
        <f>Inputs!$B82*(1+inf)^AK$1</f>
        <v>1898.5641488529923</v>
      </c>
      <c r="AM49" s="7">
        <f>Inputs!$B82*(1+inf)^AL$1</f>
        <v>1946.0282525743171</v>
      </c>
    </row>
    <row r="50" spans="1:39" x14ac:dyDescent="0.2">
      <c r="A50" s="4" t="s">
        <v>16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">
        <v>54</v>
      </c>
      <c r="B51" s="8"/>
      <c r="C51" s="7">
        <f ca="1">Inputs!$B$25*(1+inf)^B$1*ProRate</f>
        <v>41666.666666666672</v>
      </c>
      <c r="D51" s="7">
        <f>Inputs!$B$25*(1+inf)^C$1</f>
        <v>51249.999999999993</v>
      </c>
      <c r="E51" s="7">
        <f>Inputs!$B$25*(1+inf)^D$1</f>
        <v>52531.249999999993</v>
      </c>
      <c r="F51" s="7">
        <f>Inputs!$B$25*(1+inf)^E$1</f>
        <v>53844.531249999993</v>
      </c>
      <c r="G51" s="7">
        <f>Inputs!$B$25*(1+inf)^F$1</f>
        <v>55190.644531249985</v>
      </c>
      <c r="H51" s="7">
        <f>Inputs!$B$25*(1+inf)^G$1</f>
        <v>56570.410644531235</v>
      </c>
      <c r="I51" s="7">
        <f>Inputs!$B$25*(1+inf)^H$1</f>
        <v>57984.670910644512</v>
      </c>
      <c r="J51" s="7">
        <f>Inputs!$B$25*(1+inf)^I$1</f>
        <v>59434.287683410628</v>
      </c>
      <c r="K51" s="7">
        <f>Inputs!$B$25*(1+inf)^J$1</f>
        <v>60920.144875495884</v>
      </c>
      <c r="L51" s="7">
        <f>Inputs!$B$25*(1+inf)^K$1</f>
        <v>62443.14849738327</v>
      </c>
      <c r="M51" s="7">
        <f>Inputs!$B$25*(1+inf)^L$1</f>
        <v>64004.227209817851</v>
      </c>
      <c r="N51" s="7">
        <f>Inputs!$B$25*(1+inf)^M$1</f>
        <v>65604.332890063306</v>
      </c>
      <c r="O51" s="7">
        <f>Inputs!$B$25*(1+inf)^N$1</f>
        <v>67244.44121231488</v>
      </c>
      <c r="P51" s="7">
        <f>Inputs!$B$25*(1+inf)^O$1</f>
        <v>68925.55224262274</v>
      </c>
      <c r="Q51" s="7">
        <f>Inputs!$B$25*(1+inf)^P$1</f>
        <v>70648.691048688299</v>
      </c>
      <c r="R51" s="7">
        <f>Inputs!$B$25*(1+inf)^Q$1</f>
        <v>72414.908324905526</v>
      </c>
      <c r="S51" s="7">
        <f>Inputs!$B$25*(1+inf)^R$1</f>
        <v>74225.28103302815</v>
      </c>
      <c r="T51" s="7">
        <f>Inputs!$B$25*(1+inf)^S$1</f>
        <v>76080.913058853854</v>
      </c>
      <c r="U51" s="7">
        <f>Inputs!$B$25*(1+inf)^T$1</f>
        <v>77982.935885325205</v>
      </c>
      <c r="V51" s="7">
        <f>Inputs!$B$25*(1+inf)^U$1</f>
        <v>79932.509282458326</v>
      </c>
      <c r="W51" s="7">
        <f>Inputs!$B$25*(1+inf)^V$1</f>
        <v>81930.82201451977</v>
      </c>
      <c r="X51" s="7">
        <f>Inputs!$B$25*(1+inf)^W$1</f>
        <v>83979.092564882769</v>
      </c>
      <c r="Y51" s="7">
        <f>Inputs!$B$25*(1+inf)^X$1</f>
        <v>86078.569879004834</v>
      </c>
      <c r="Z51" s="7">
        <f>Inputs!$B$25*(1+inf)^Y$1</f>
        <v>88230.534125979961</v>
      </c>
      <c r="AA51" s="7">
        <f>Inputs!$B$25*(1+inf)^Z$1</f>
        <v>90436.29747912944</v>
      </c>
      <c r="AB51" s="7">
        <f>Inputs!$B$25*(1+inf)^AA$1</f>
        <v>92697.204916107672</v>
      </c>
      <c r="AC51" s="7">
        <f>Inputs!$B$25*(1+inf)^AB$1</f>
        <v>95014.635039010347</v>
      </c>
      <c r="AD51" s="7">
        <f>Inputs!$B$25*(1+inf)^AC$1</f>
        <v>97390.000914985605</v>
      </c>
      <c r="AE51" s="7">
        <f>Inputs!$B$25*(1+inf)^AD$1</f>
        <v>99824.750937860241</v>
      </c>
      <c r="AF51" s="7">
        <f>Inputs!$B$25*(1+inf)^AE$1</f>
        <v>102320.36971130676</v>
      </c>
      <c r="AG51" s="7">
        <f>Inputs!$B$25*(1+inf)^AF$1</f>
        <v>104878.37895408941</v>
      </c>
      <c r="AH51" s="7">
        <f>Inputs!$B$25*(1+inf)^AG$1</f>
        <v>107500.33842794166</v>
      </c>
      <c r="AI51" s="7">
        <f>Inputs!$B$25*(1+inf)^AH$1</f>
        <v>110187.84688864018</v>
      </c>
      <c r="AJ51" s="7">
        <f>Inputs!$B$25*(1+inf)^AI$1</f>
        <v>112942.54306085619</v>
      </c>
      <c r="AK51" s="7">
        <f>Inputs!$B$25*(1+inf)^AJ$1</f>
        <v>115766.10663737758</v>
      </c>
      <c r="AL51" s="7">
        <f>Inputs!$B$25*(1+inf)^AK$1</f>
        <v>118660.25930331201</v>
      </c>
      <c r="AM51" s="7">
        <f>Inputs!$B$25*(1+inf)^AL$1</f>
        <v>121626.76578589482</v>
      </c>
    </row>
    <row r="52" spans="1:39" x14ac:dyDescent="0.2">
      <c r="A52" s="3" t="str">
        <f>"Adjustment "&amp;Inputs!A247</f>
        <v>Adjustment from now to 65</v>
      </c>
      <c r="B52" s="8"/>
      <c r="C52" s="7">
        <f ca="1">IF(C$3&lt;=65,Inputs!$B$247*C$51,0)</f>
        <v>0</v>
      </c>
      <c r="D52" s="7">
        <f>IF(D$3&lt;=65,Inputs!$B$247*D$51,0)</f>
        <v>0</v>
      </c>
      <c r="E52" s="7">
        <f>IF(E$3&lt;=65,Inputs!$B$247*E$51,0)</f>
        <v>0</v>
      </c>
      <c r="F52" s="7">
        <f>IF(F$3&lt;=65,Inputs!$B$247*F$51,0)</f>
        <v>0</v>
      </c>
      <c r="G52" s="7">
        <f>IF(G$3&lt;=65,Inputs!$B$247*G$51,0)</f>
        <v>0</v>
      </c>
      <c r="H52" s="7">
        <f>IF(H$3&lt;=65,Inputs!$B$247*H$51,0)</f>
        <v>0</v>
      </c>
      <c r="I52" s="7">
        <f>IF(I$3&lt;=65,Inputs!$B$247*I$51,0)</f>
        <v>0</v>
      </c>
      <c r="J52" s="7">
        <f>IF(J$3&lt;=65,Inputs!$B$247*J$51,0)</f>
        <v>0</v>
      </c>
      <c r="K52" s="7">
        <f>IF(K$3&lt;=65,Inputs!$B$247*K$51,0)</f>
        <v>0</v>
      </c>
      <c r="L52" s="7">
        <f>IF(L$3&lt;=65,Inputs!$B$247*L$51,0)</f>
        <v>0</v>
      </c>
      <c r="M52" s="7">
        <f>IF(M$3&lt;=65,Inputs!$B$247*M$51,0)</f>
        <v>0</v>
      </c>
      <c r="N52" s="7">
        <f>IF(N$3&lt;=65,Inputs!$B$247*N$51,0)</f>
        <v>0</v>
      </c>
      <c r="O52" s="7">
        <f>IF(O$3&lt;=65,Inputs!$B$247*O$51,0)</f>
        <v>0</v>
      </c>
      <c r="P52" s="7">
        <f>IF(P$3&lt;=65,Inputs!$B$247*P$51,0)</f>
        <v>0</v>
      </c>
      <c r="Q52" s="7">
        <f>IF(Q$3&lt;=65,Inputs!$B$247*Q$51,0)</f>
        <v>0</v>
      </c>
      <c r="R52" s="7">
        <f>IF(R$3&lt;=65,Inputs!$B$247*R$51,0)</f>
        <v>0</v>
      </c>
      <c r="S52" s="7">
        <f>IF(S$3&lt;=65,Inputs!$B$247*S$51,0)</f>
        <v>0</v>
      </c>
      <c r="T52" s="7">
        <f>IF(T$3&lt;=65,Inputs!$B$247*T$51,0)</f>
        <v>0</v>
      </c>
      <c r="U52" s="7">
        <f>IF(U$3&lt;=65,Inputs!$B$247*U$51,0)</f>
        <v>0</v>
      </c>
      <c r="V52" s="7">
        <f>IF(V$3&lt;=65,Inputs!$B$247*V$51,0)</f>
        <v>0</v>
      </c>
      <c r="W52" s="7">
        <f>IF(W$3&lt;=65,Inputs!$B$247*W$51,0)</f>
        <v>0</v>
      </c>
      <c r="X52" s="7">
        <f>IF(X$3&lt;=65,Inputs!$B$247*X$51,0)</f>
        <v>0</v>
      </c>
      <c r="Y52" s="7">
        <f>IF(Y$3&lt;=65,Inputs!$B$247*Y$51,0)</f>
        <v>0</v>
      </c>
      <c r="Z52" s="7">
        <f>IF(Z$3&lt;=65,Inputs!$B$247*Z$51,0)</f>
        <v>0</v>
      </c>
      <c r="AA52" s="7">
        <f>IF(AA$3&lt;=65,Inputs!$B$247*AA$51,0)</f>
        <v>0</v>
      </c>
      <c r="AB52" s="7">
        <f>IF(AB$3&lt;=65,Inputs!$B$247*AB$51,0)</f>
        <v>0</v>
      </c>
      <c r="AC52" s="7">
        <f>IF(AC$3&lt;=65,Inputs!$B$247*AC$51,0)</f>
        <v>0</v>
      </c>
      <c r="AD52" s="7">
        <f>IF(AD$3&lt;=65,Inputs!$B$247*AD$51,0)</f>
        <v>0</v>
      </c>
      <c r="AE52" s="7">
        <f>IF(AE$3&lt;=65,Inputs!$B$247*AE$51,0)</f>
        <v>0</v>
      </c>
      <c r="AF52" s="7">
        <f>IF(AF$3&lt;=65,Inputs!$B$247*AF$51,0)</f>
        <v>0</v>
      </c>
      <c r="AG52" s="7">
        <f>IF(AG$3&lt;=65,Inputs!$B$247*AG$51,0)</f>
        <v>0</v>
      </c>
      <c r="AH52" s="7">
        <f>IF(AH$3&lt;=65,Inputs!$B$247*AH$51,0)</f>
        <v>0</v>
      </c>
      <c r="AI52" s="7">
        <f>IF(AI$3&lt;=65,Inputs!$B$247*AI$51,0)</f>
        <v>0</v>
      </c>
      <c r="AJ52" s="7">
        <f>IF(AJ$3&lt;=65,Inputs!$B$247*AJ$51,0)</f>
        <v>0</v>
      </c>
      <c r="AK52" s="7">
        <f>IF(AK$3&lt;=65,Inputs!$B$247*AK$51,0)</f>
        <v>0</v>
      </c>
      <c r="AL52" s="7">
        <f>IF(AL$3&lt;=65,Inputs!$B$247*AL$51,0)</f>
        <v>0</v>
      </c>
      <c r="AM52" s="7">
        <f>IF(AM$3&lt;=65,Inputs!$B$247*AM$51,0)</f>
        <v>0</v>
      </c>
    </row>
    <row r="53" spans="1:39" x14ac:dyDescent="0.2">
      <c r="A53" s="3" t="str">
        <f>"Adjustment "&amp;Inputs!A248</f>
        <v>Adjustment from 66-75</v>
      </c>
      <c r="B53" s="8"/>
      <c r="C53" s="7">
        <f>IF(AND(C$3&gt;65,C$3&lt;=75),Inputs!$B$248*C51,0)</f>
        <v>0</v>
      </c>
      <c r="D53" s="7">
        <f>IF(AND(D$3&gt;65,D$3&lt;=75),Inputs!$B$248*D51,0)</f>
        <v>0</v>
      </c>
      <c r="E53" s="7">
        <f>IF(AND(E$3&gt;65,E$3&lt;=75),Inputs!$B$248*E51,0)</f>
        <v>0</v>
      </c>
      <c r="F53" s="7">
        <f>IF(AND(F$3&gt;65,F$3&lt;=75),Inputs!$B$248*F51,0)</f>
        <v>0</v>
      </c>
      <c r="G53" s="7">
        <f>IF(AND(G$3&gt;65,G$3&lt;=75),Inputs!$B$248*G51,0)</f>
        <v>0</v>
      </c>
      <c r="H53" s="7">
        <f>IF(AND(H$3&gt;65,H$3&lt;=75),Inputs!$B$248*H51,0)</f>
        <v>0</v>
      </c>
      <c r="I53" s="7">
        <f>IF(AND(I$3&gt;65,I$3&lt;=75),Inputs!$B$248*I51,0)</f>
        <v>0</v>
      </c>
      <c r="J53" s="7">
        <f>IF(AND(J$3&gt;65,J$3&lt;=75),Inputs!$B$248*J51,0)</f>
        <v>0</v>
      </c>
      <c r="K53" s="7">
        <f>IF(AND(K$3&gt;65,K$3&lt;=75),Inputs!$B$248*K51,0)</f>
        <v>0</v>
      </c>
      <c r="L53" s="7">
        <f>IF(AND(L$3&gt;65,L$3&lt;=75),Inputs!$B$248*L51,0)</f>
        <v>0</v>
      </c>
      <c r="M53" s="7">
        <f>IF(AND(M$3&gt;65,M$3&lt;=75),Inputs!$B$248*M51,0)</f>
        <v>0</v>
      </c>
      <c r="N53" s="7">
        <f>IF(AND(N$3&gt;65,N$3&lt;=75),Inputs!$B$248*N51,0)</f>
        <v>0</v>
      </c>
      <c r="O53" s="7">
        <f>IF(AND(O$3&gt;65,O$3&lt;=75),Inputs!$B$248*O51,0)</f>
        <v>0</v>
      </c>
      <c r="P53" s="7">
        <f>IF(AND(P$3&gt;65,P$3&lt;=75),Inputs!$B$248*P51,0)</f>
        <v>0</v>
      </c>
      <c r="Q53" s="7">
        <f>IF(AND(Q$3&gt;65,Q$3&lt;=75),Inputs!$B$248*Q51,0)</f>
        <v>0</v>
      </c>
      <c r="R53" s="7">
        <f>IF(AND(R$3&gt;65,R$3&lt;=75),Inputs!$B$248*R51,0)</f>
        <v>0</v>
      </c>
      <c r="S53" s="7">
        <f>IF(AND(S$3&gt;65,S$3&lt;=75),Inputs!$B$248*S51,0)</f>
        <v>0</v>
      </c>
      <c r="T53" s="7">
        <f>IF(AND(T$3&gt;65,T$3&lt;=75),Inputs!$B$248*T51,0)</f>
        <v>0</v>
      </c>
      <c r="U53" s="7">
        <f>IF(AND(U$3&gt;65,U$3&lt;=75),Inputs!$B$248*U51,0)</f>
        <v>-7798.2935885325205</v>
      </c>
      <c r="V53" s="7">
        <f>IF(AND(V$3&gt;65,V$3&lt;=75),Inputs!$B$248*V51,0)</f>
        <v>-7993.2509282458332</v>
      </c>
      <c r="W53" s="7">
        <f>IF(AND(W$3&gt;65,W$3&lt;=75),Inputs!$B$248*W51,0)</f>
        <v>-8193.0822014519781</v>
      </c>
      <c r="X53" s="7">
        <f>IF(AND(X$3&gt;65,X$3&lt;=75),Inputs!$B$248*X51,0)</f>
        <v>-8397.9092564882776</v>
      </c>
      <c r="Y53" s="7">
        <f>IF(AND(Y$3&gt;65,Y$3&lt;=75),Inputs!$B$248*Y51,0)</f>
        <v>-8607.8569879004845</v>
      </c>
      <c r="Z53" s="7">
        <f>IF(AND(Z$3&gt;65,Z$3&lt;=75),Inputs!$B$248*Z51,0)</f>
        <v>-8823.0534125979957</v>
      </c>
      <c r="AA53" s="7">
        <f>IF(AND(AA$3&gt;65,AA$3&lt;=75),Inputs!$B$248*AA51,0)</f>
        <v>-9043.6297479129444</v>
      </c>
      <c r="AB53" s="7">
        <f>IF(AND(AB$3&gt;65,AB$3&lt;=75),Inputs!$B$248*AB51,0)</f>
        <v>-9269.7204916107676</v>
      </c>
      <c r="AC53" s="7">
        <f>IF(AND(AC$3&gt;65,AC$3&lt;=75),Inputs!$B$248*AC51,0)</f>
        <v>-9501.4635039010354</v>
      </c>
      <c r="AD53" s="7">
        <f>IF(AND(AD$3&gt;65,AD$3&lt;=75),Inputs!$B$248*AD51,0)</f>
        <v>-9739.0000914985612</v>
      </c>
      <c r="AE53" s="7">
        <f>IF(AND(AE$3&gt;65,AE$3&lt;=75),Inputs!$B$248*AE51,0)</f>
        <v>0</v>
      </c>
      <c r="AF53" s="7">
        <f>IF(AND(AF$3&gt;65,AF$3&lt;=75),Inputs!$B$248*AF51,0)</f>
        <v>0</v>
      </c>
      <c r="AG53" s="7">
        <f>IF(AND(AG$3&gt;65,AG$3&lt;=75),Inputs!$B$248*AG51,0)</f>
        <v>0</v>
      </c>
      <c r="AH53" s="7">
        <f>IF(AND(AH$3&gt;65,AH$3&lt;=75),Inputs!$B$248*AH51,0)</f>
        <v>0</v>
      </c>
      <c r="AI53" s="7">
        <f>IF(AND(AI$3&gt;65,AI$3&lt;=75),Inputs!$B$248*AI51,0)</f>
        <v>0</v>
      </c>
      <c r="AJ53" s="7">
        <f>IF(AND(AJ$3&gt;65,AJ$3&lt;=75),Inputs!$B$248*AJ51,0)</f>
        <v>0</v>
      </c>
      <c r="AK53" s="7">
        <f>IF(AND(AK$3&gt;65,AK$3&lt;=75),Inputs!$B$248*AK51,0)</f>
        <v>0</v>
      </c>
      <c r="AL53" s="7">
        <f>IF(AND(AL$3&gt;65,AL$3&lt;=75),Inputs!$B$248*AL51,0)</f>
        <v>0</v>
      </c>
      <c r="AM53" s="7">
        <f>IF(AND(AM$3&gt;65,AM$3&lt;=75),Inputs!$B$248*AM51,0)</f>
        <v>0</v>
      </c>
    </row>
    <row r="54" spans="1:39" x14ac:dyDescent="0.2">
      <c r="A54" s="3" t="str">
        <f>"Adjustment "&amp;Inputs!A249</f>
        <v>Adjustment from age 76</v>
      </c>
      <c r="B54" s="8"/>
      <c r="C54" s="7">
        <f>IF(C$3&gt;75,Inputs!$B$249*C$51,0)</f>
        <v>0</v>
      </c>
      <c r="D54" s="7">
        <f>IF(D$3&gt;75,Inputs!$B$249*D$51,0)</f>
        <v>0</v>
      </c>
      <c r="E54" s="7">
        <f>IF(E$3&gt;75,Inputs!$B$249*E$51,0)</f>
        <v>0</v>
      </c>
      <c r="F54" s="7">
        <f>IF(F$3&gt;75,Inputs!$B$249*F$51,0)</f>
        <v>0</v>
      </c>
      <c r="G54" s="7">
        <f>IF(G$3&gt;75,Inputs!$B$249*G$51,0)</f>
        <v>0</v>
      </c>
      <c r="H54" s="7">
        <f>IF(H$3&gt;75,Inputs!$B$249*H$51,0)</f>
        <v>0</v>
      </c>
      <c r="I54" s="7">
        <f>IF(I$3&gt;75,Inputs!$B$249*I$51,0)</f>
        <v>0</v>
      </c>
      <c r="J54" s="7">
        <f>IF(J$3&gt;75,Inputs!$B$249*J$51,0)</f>
        <v>0</v>
      </c>
      <c r="K54" s="7">
        <f>IF(K$3&gt;75,Inputs!$B$249*K$51,0)</f>
        <v>0</v>
      </c>
      <c r="L54" s="7">
        <f>IF(L$3&gt;75,Inputs!$B$249*L$51,0)</f>
        <v>0</v>
      </c>
      <c r="M54" s="7">
        <f>IF(M$3&gt;75,Inputs!$B$249*M$51,0)</f>
        <v>0</v>
      </c>
      <c r="N54" s="7">
        <f>IF(N$3&gt;75,Inputs!$B$249*N$51,0)</f>
        <v>0</v>
      </c>
      <c r="O54" s="7">
        <f>IF(O$3&gt;75,Inputs!$B$249*O$51,0)</f>
        <v>0</v>
      </c>
      <c r="P54" s="7">
        <f>IF(P$3&gt;75,Inputs!$B$249*P$51,0)</f>
        <v>0</v>
      </c>
      <c r="Q54" s="7">
        <f>IF(Q$3&gt;75,Inputs!$B$249*Q$51,0)</f>
        <v>0</v>
      </c>
      <c r="R54" s="7">
        <f>IF(R$3&gt;75,Inputs!$B$249*R$51,0)</f>
        <v>0</v>
      </c>
      <c r="S54" s="7">
        <f>IF(S$3&gt;75,Inputs!$B$249*S$51,0)</f>
        <v>0</v>
      </c>
      <c r="T54" s="7">
        <f>IF(T$3&gt;75,Inputs!$B$249*T$51,0)</f>
        <v>0</v>
      </c>
      <c r="U54" s="7">
        <f>IF(U$3&gt;75,Inputs!$B$249*U$51,0)</f>
        <v>0</v>
      </c>
      <c r="V54" s="7">
        <f>IF(V$3&gt;75,Inputs!$B$249*V$51,0)</f>
        <v>0</v>
      </c>
      <c r="W54" s="7">
        <f>IF(W$3&gt;75,Inputs!$B$249*W$51,0)</f>
        <v>0</v>
      </c>
      <c r="X54" s="7">
        <f>IF(X$3&gt;75,Inputs!$B$249*X$51,0)</f>
        <v>0</v>
      </c>
      <c r="Y54" s="7">
        <f>IF(Y$3&gt;75,Inputs!$B$249*Y$51,0)</f>
        <v>0</v>
      </c>
      <c r="Z54" s="7">
        <f>IF(Z$3&gt;75,Inputs!$B$249*Z$51,0)</f>
        <v>0</v>
      </c>
      <c r="AA54" s="7">
        <f>IF(AA$3&gt;75,Inputs!$B$249*AA$51,0)</f>
        <v>0</v>
      </c>
      <c r="AB54" s="7">
        <f>IF(AB$3&gt;75,Inputs!$B$249*AB$51,0)</f>
        <v>0</v>
      </c>
      <c r="AC54" s="7">
        <f>IF(AC$3&gt;75,Inputs!$B$249*AC$51,0)</f>
        <v>0</v>
      </c>
      <c r="AD54" s="7">
        <f>IF(AD$3&gt;75,Inputs!$B$249*AD$51,0)</f>
        <v>0</v>
      </c>
      <c r="AE54" s="7">
        <f>IF(AE$3&gt;75,Inputs!$B$249*AE$51,0)</f>
        <v>-19964.950187572049</v>
      </c>
      <c r="AF54" s="7">
        <f>IF(AF$3&gt;75,Inputs!$B$249*AF$51,0)</f>
        <v>-20464.073942261355</v>
      </c>
      <c r="AG54" s="7">
        <f>IF(AG$3&gt;75,Inputs!$B$249*AG$51,0)</f>
        <v>-20975.675790817884</v>
      </c>
      <c r="AH54" s="7">
        <f>IF(AH$3&gt;75,Inputs!$B$249*AH$51,0)</f>
        <v>-21500.067685588336</v>
      </c>
      <c r="AI54" s="7">
        <f>IF(AI$3&gt;75,Inputs!$B$249*AI$51,0)</f>
        <v>-22037.569377728039</v>
      </c>
      <c r="AJ54" s="7">
        <f>IF(AJ$3&gt;75,Inputs!$B$249*AJ$51,0)</f>
        <v>-22588.508612171237</v>
      </c>
      <c r="AK54" s="7">
        <f>IF(AK$3&gt;75,Inputs!$B$249*AK$51,0)</f>
        <v>-23153.22132747552</v>
      </c>
      <c r="AL54" s="7">
        <f>IF(AL$3&gt;75,Inputs!$B$249*AL$51,0)</f>
        <v>-23732.051860662403</v>
      </c>
      <c r="AM54" s="7">
        <f>IF(AM$3&gt;75,Inputs!$B$249*AM$51,0)</f>
        <v>-24325.353157178964</v>
      </c>
    </row>
    <row r="55" spans="1:39" x14ac:dyDescent="0.2">
      <c r="A55" s="4" t="s">
        <v>58</v>
      </c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x14ac:dyDescent="0.2">
      <c r="A56" s="3" t="str">
        <f>TEXT(Inputs!$B$201,"")</f>
        <v>Wedding</v>
      </c>
      <c r="B56" s="8"/>
      <c r="C56" s="7">
        <f ca="1">IF(C$2=Inputs!$B203,Inputs!$B202,0)*(1+inf)^B$1</f>
        <v>0</v>
      </c>
      <c r="D56" s="7">
        <f ca="1">IF(D$2=Inputs!$B203,Inputs!$B202,0)*(1+inf)^C$1</f>
        <v>0</v>
      </c>
      <c r="E56" s="7">
        <f ca="1">IF(E$2=Inputs!$B203,Inputs!$B202,0)*(1+inf)^D$1</f>
        <v>0</v>
      </c>
      <c r="F56" s="7">
        <f ca="1">IF(F$2=Inputs!$B203,Inputs!$B202,0)*(1+inf)^E$1</f>
        <v>0</v>
      </c>
      <c r="G56" s="7">
        <f ca="1">IF(G$2=Inputs!$B203,Inputs!$B202,0)*(1+inf)^F$1</f>
        <v>0</v>
      </c>
      <c r="H56" s="7">
        <f ca="1">IF(H$2=Inputs!$B203,Inputs!$B202,0)*(1+inf)^G$1</f>
        <v>0</v>
      </c>
      <c r="I56" s="7">
        <f ca="1">IF(I$2=Inputs!$B203,Inputs!$B202,0)*(1+inf)^H$1</f>
        <v>0</v>
      </c>
      <c r="J56" s="7">
        <f ca="1">IF(J$2=Inputs!$B203,Inputs!$B202,0)*(1+inf)^I$1</f>
        <v>0</v>
      </c>
      <c r="K56" s="7">
        <f ca="1">IF(K$2=Inputs!$B203,Inputs!$B202,0)*(1+inf)^J$1</f>
        <v>0</v>
      </c>
      <c r="L56" s="7">
        <f ca="1">IF(L$2=Inputs!$B203,Inputs!$B202,0)*(1+inf)^K$1</f>
        <v>0</v>
      </c>
      <c r="M56" s="7">
        <f ca="1">IF(M$2=Inputs!$B203,Inputs!$B202,0)*(1+inf)^L$1</f>
        <v>51203.381767854284</v>
      </c>
      <c r="N56" s="7">
        <f ca="1">IF(N$2=Inputs!$B203,Inputs!$B202,0)*(1+inf)^M$1</f>
        <v>0</v>
      </c>
      <c r="O56" s="7">
        <f ca="1">IF(O$2=Inputs!$B203,Inputs!$B202,0)*(1+inf)^N$1</f>
        <v>0</v>
      </c>
      <c r="P56" s="7">
        <f ca="1">IF(P$2=Inputs!$B203,Inputs!$B202,0)*(1+inf)^O$1</f>
        <v>0</v>
      </c>
      <c r="Q56" s="7">
        <f ca="1">IF(Q$2=Inputs!$B203,Inputs!$B202,0)*(1+inf)^P$1</f>
        <v>0</v>
      </c>
      <c r="R56" s="7">
        <f ca="1">IF(R$2=Inputs!$B203,Inputs!$B202,0)*(1+inf)^Q$1</f>
        <v>0</v>
      </c>
      <c r="S56" s="7">
        <f ca="1">IF(S$2=Inputs!$B203,Inputs!$B202,0)*(1+inf)^R$1</f>
        <v>0</v>
      </c>
      <c r="T56" s="7">
        <f ca="1">IF(T$2=Inputs!$B203,Inputs!$B202,0)*(1+inf)^S$1</f>
        <v>0</v>
      </c>
      <c r="U56" s="7">
        <f ca="1">IF(U$2=Inputs!$B203,Inputs!$B202,0)*(1+inf)^T$1</f>
        <v>0</v>
      </c>
      <c r="V56" s="7">
        <f ca="1">IF(V$2=Inputs!$B203,Inputs!$B202,0)*(1+inf)^U$1</f>
        <v>0</v>
      </c>
      <c r="W56" s="7">
        <f ca="1">IF(W$2=Inputs!$B203,Inputs!$B202,0)*(1+inf)^V$1</f>
        <v>0</v>
      </c>
      <c r="X56" s="7">
        <f ca="1">IF(X$2=Inputs!$B203,Inputs!$B202,0)*(1+inf)^W$1</f>
        <v>0</v>
      </c>
      <c r="Y56" s="7">
        <f ca="1">IF(Y$2=Inputs!$B203,Inputs!$B202,0)*(1+inf)^X$1</f>
        <v>0</v>
      </c>
      <c r="Z56" s="7">
        <f ca="1">IF(Z$2=Inputs!$B203,Inputs!$B202,0)*(1+inf)^Y$1</f>
        <v>0</v>
      </c>
      <c r="AA56" s="7">
        <f ca="1">IF(AA$2=Inputs!$B203,Inputs!$B202,0)*(1+inf)^Z$1</f>
        <v>0</v>
      </c>
      <c r="AB56" s="7">
        <f ca="1">IF(AB$2=Inputs!$B203,Inputs!$B202,0)*(1+inf)^AA$1</f>
        <v>0</v>
      </c>
      <c r="AC56" s="7">
        <f ca="1">IF(AC$2=Inputs!$B203,Inputs!$B202,0)*(1+inf)^AB$1</f>
        <v>0</v>
      </c>
      <c r="AD56" s="7">
        <f ca="1">IF(AD$2=Inputs!$B203,Inputs!$B202,0)*(1+inf)^AC$1</f>
        <v>0</v>
      </c>
      <c r="AE56" s="7">
        <f ca="1">IF(AE$2=Inputs!$B203,Inputs!$B202,0)*(1+inf)^AD$1</f>
        <v>0</v>
      </c>
      <c r="AF56" s="7">
        <f ca="1">IF(AF$2=Inputs!$B203,Inputs!$B202,0)*(1+inf)^AE$1</f>
        <v>0</v>
      </c>
      <c r="AG56" s="7">
        <f ca="1">IF(AG$2=Inputs!$B203,Inputs!$B202,0)*(1+inf)^AF$1</f>
        <v>0</v>
      </c>
      <c r="AH56" s="7">
        <f ca="1">IF(AH$2=Inputs!$B203,Inputs!$B202,0)*(1+inf)^AG$1</f>
        <v>0</v>
      </c>
      <c r="AI56" s="7">
        <f ca="1">IF(AI$2=Inputs!$B203,Inputs!$B202,0)*(1+inf)^AH$1</f>
        <v>0</v>
      </c>
      <c r="AJ56" s="7">
        <f ca="1">IF(AJ$2=Inputs!$B203,Inputs!$B202,0)*(1+inf)^AI$1</f>
        <v>0</v>
      </c>
      <c r="AK56" s="7">
        <f ca="1">IF(AK$2=Inputs!$B203,Inputs!$B202,0)*(1+inf)^AJ$1</f>
        <v>0</v>
      </c>
      <c r="AL56" s="7">
        <f ca="1">IF(AL$2=Inputs!$B203,Inputs!$B202,0)*(1+inf)^AK$1</f>
        <v>0</v>
      </c>
      <c r="AM56" s="7">
        <f ca="1">IF(AM$2=Inputs!$B203,Inputs!$B202,0)*(1+inf)^AL$1</f>
        <v>0</v>
      </c>
    </row>
    <row r="57" spans="1:39" x14ac:dyDescent="0.2">
      <c r="A57" s="3" t="str">
        <f>TEXT(Inputs!$B$206,"")</f>
        <v>New Car</v>
      </c>
      <c r="B57" s="8"/>
      <c r="C57" s="7">
        <f ca="1">IF(C$2=Inputs!$B208,Inputs!$B207,0)*(1+inf)^B$1</f>
        <v>0</v>
      </c>
      <c r="D57" s="7">
        <f ca="1">IF(D$2=Inputs!$B208,Inputs!$B207,0)*(1+inf)^C$1</f>
        <v>0</v>
      </c>
      <c r="E57" s="7">
        <f ca="1">IF(E$2=Inputs!$B208,Inputs!$B207,0)*(1+inf)^D$1</f>
        <v>0</v>
      </c>
      <c r="F57" s="7">
        <f ca="1">IF(F$2=Inputs!$B208,Inputs!$B207,0)*(1+inf)^E$1</f>
        <v>37691.171874999993</v>
      </c>
      <c r="G57" s="7">
        <f ca="1">IF(G$2=Inputs!$B208,Inputs!$B207,0)*(1+inf)^F$1</f>
        <v>0</v>
      </c>
      <c r="H57" s="7">
        <f ca="1">IF(H$2=Inputs!$B208,Inputs!$B207,0)*(1+inf)^G$1</f>
        <v>0</v>
      </c>
      <c r="I57" s="7">
        <f ca="1">IF(I$2=Inputs!$B208,Inputs!$B207,0)*(1+inf)^H$1</f>
        <v>0</v>
      </c>
      <c r="J57" s="7">
        <f ca="1">IF(J$2=Inputs!$B208,Inputs!$B207,0)*(1+inf)^I$1</f>
        <v>0</v>
      </c>
      <c r="K57" s="7">
        <f ca="1">IF(K$2=Inputs!$B208,Inputs!$B207,0)*(1+inf)^J$1</f>
        <v>0</v>
      </c>
      <c r="L57" s="7">
        <f ca="1">IF(L$2=Inputs!$B208,Inputs!$B207,0)*(1+inf)^K$1</f>
        <v>0</v>
      </c>
      <c r="M57" s="7">
        <f ca="1">IF(M$2=Inputs!$B208,Inputs!$B207,0)*(1+inf)^L$1</f>
        <v>0</v>
      </c>
      <c r="N57" s="7">
        <f ca="1">IF(N$2=Inputs!$B208,Inputs!$B207,0)*(1+inf)^M$1</f>
        <v>0</v>
      </c>
      <c r="O57" s="7">
        <f ca="1">IF(O$2=Inputs!$B208,Inputs!$B207,0)*(1+inf)^N$1</f>
        <v>0</v>
      </c>
      <c r="P57" s="7">
        <f ca="1">IF(P$2=Inputs!$B208,Inputs!$B207,0)*(1+inf)^O$1</f>
        <v>0</v>
      </c>
      <c r="Q57" s="7">
        <f ca="1">IF(Q$2=Inputs!$B208,Inputs!$B207,0)*(1+inf)^P$1</f>
        <v>0</v>
      </c>
      <c r="R57" s="7">
        <f ca="1">IF(R$2=Inputs!$B208,Inputs!$B207,0)*(1+inf)^Q$1</f>
        <v>0</v>
      </c>
      <c r="S57" s="7">
        <f ca="1">IF(S$2=Inputs!$B208,Inputs!$B207,0)*(1+inf)^R$1</f>
        <v>0</v>
      </c>
      <c r="T57" s="7">
        <f ca="1">IF(T$2=Inputs!$B208,Inputs!$B207,0)*(1+inf)^S$1</f>
        <v>0</v>
      </c>
      <c r="U57" s="7">
        <f ca="1">IF(U$2=Inputs!$B208,Inputs!$B207,0)*(1+inf)^T$1</f>
        <v>0</v>
      </c>
      <c r="V57" s="7">
        <f ca="1">IF(V$2=Inputs!$B208,Inputs!$B207,0)*(1+inf)^U$1</f>
        <v>0</v>
      </c>
      <c r="W57" s="7">
        <f ca="1">IF(W$2=Inputs!$B208,Inputs!$B207,0)*(1+inf)^V$1</f>
        <v>0</v>
      </c>
      <c r="X57" s="7">
        <f ca="1">IF(X$2=Inputs!$B208,Inputs!$B207,0)*(1+inf)^W$1</f>
        <v>0</v>
      </c>
      <c r="Y57" s="7">
        <f ca="1">IF(Y$2=Inputs!$B208,Inputs!$B207,0)*(1+inf)^X$1</f>
        <v>0</v>
      </c>
      <c r="Z57" s="7">
        <f ca="1">IF(Z$2=Inputs!$B208,Inputs!$B207,0)*(1+inf)^Y$1</f>
        <v>0</v>
      </c>
      <c r="AA57" s="7">
        <f ca="1">IF(AA$2=Inputs!$B208,Inputs!$B207,0)*(1+inf)^Z$1</f>
        <v>0</v>
      </c>
      <c r="AB57" s="7">
        <f ca="1">IF(AB$2=Inputs!$B208,Inputs!$B207,0)*(1+inf)^AA$1</f>
        <v>0</v>
      </c>
      <c r="AC57" s="7">
        <f ca="1">IF(AC$2=Inputs!$B208,Inputs!$B207,0)*(1+inf)^AB$1</f>
        <v>0</v>
      </c>
      <c r="AD57" s="7">
        <f ca="1">IF(AD$2=Inputs!$B208,Inputs!$B207,0)*(1+inf)^AC$1</f>
        <v>0</v>
      </c>
      <c r="AE57" s="7">
        <f ca="1">IF(AE$2=Inputs!$B208,Inputs!$B207,0)*(1+inf)^AD$1</f>
        <v>0</v>
      </c>
      <c r="AF57" s="7">
        <f ca="1">IF(AF$2=Inputs!$B208,Inputs!$B207,0)*(1+inf)^AE$1</f>
        <v>0</v>
      </c>
      <c r="AG57" s="7">
        <f ca="1">IF(AG$2=Inputs!$B208,Inputs!$B207,0)*(1+inf)^AF$1</f>
        <v>0</v>
      </c>
      <c r="AH57" s="7">
        <f ca="1">IF(AH$2=Inputs!$B208,Inputs!$B207,0)*(1+inf)^AG$1</f>
        <v>0</v>
      </c>
      <c r="AI57" s="7">
        <f ca="1">IF(AI$2=Inputs!$B208,Inputs!$B207,0)*(1+inf)^AH$1</f>
        <v>0</v>
      </c>
      <c r="AJ57" s="7">
        <f ca="1">IF(AJ$2=Inputs!$B208,Inputs!$B207,0)*(1+inf)^AI$1</f>
        <v>0</v>
      </c>
      <c r="AK57" s="7">
        <f ca="1">IF(AK$2=Inputs!$B208,Inputs!$B207,0)*(1+inf)^AJ$1</f>
        <v>0</v>
      </c>
      <c r="AL57" s="7">
        <f ca="1">IF(AL$2=Inputs!$B208,Inputs!$B207,0)*(1+inf)^AK$1</f>
        <v>0</v>
      </c>
      <c r="AM57" s="7">
        <f ca="1">IF(AM$2=Inputs!$B208,Inputs!$B207,0)*(1+inf)^AL$1</f>
        <v>0</v>
      </c>
    </row>
    <row r="58" spans="1:39" x14ac:dyDescent="0.2">
      <c r="A58" s="3" t="str">
        <f>TEXT(Inputs!$B$211,"")</f>
        <v>New AC</v>
      </c>
      <c r="B58" s="8"/>
      <c r="C58" s="7">
        <f ca="1">IF(C$2=Inputs!$B213,Inputs!$B212,0)*(1+inf)^B$1</f>
        <v>0</v>
      </c>
      <c r="D58" s="7">
        <f ca="1">IF(D$2=Inputs!$B213,Inputs!$B212,0)*(1+inf)^C$1</f>
        <v>0</v>
      </c>
      <c r="E58" s="7">
        <f ca="1">IF(E$2=Inputs!$B213,Inputs!$B212,0)*(1+inf)^D$1</f>
        <v>0</v>
      </c>
      <c r="F58" s="7">
        <f ca="1">IF(F$2=Inputs!$B213,Inputs!$B212,0)*(1+inf)^E$1</f>
        <v>0</v>
      </c>
      <c r="G58" s="7">
        <f ca="1">IF(G$2=Inputs!$B213,Inputs!$B212,0)*(1+inf)^F$1</f>
        <v>0</v>
      </c>
      <c r="H58" s="7">
        <f ca="1">IF(H$2=Inputs!$B213,Inputs!$B212,0)*(1+inf)^G$1</f>
        <v>0</v>
      </c>
      <c r="I58" s="7">
        <f ca="1">IF(I$2=Inputs!$B213,Inputs!$B212,0)*(1+inf)^H$1</f>
        <v>0</v>
      </c>
      <c r="J58" s="7">
        <f ca="1">IF(J$2=Inputs!$B213,Inputs!$B212,0)*(1+inf)^I$1</f>
        <v>0</v>
      </c>
      <c r="K58" s="7">
        <f ca="1">IF(K$2=Inputs!$B213,Inputs!$B212,0)*(1+inf)^J$1</f>
        <v>18276.043462648766</v>
      </c>
      <c r="L58" s="7">
        <f ca="1">IF(L$2=Inputs!$B213,Inputs!$B212,0)*(1+inf)^K$1</f>
        <v>0</v>
      </c>
      <c r="M58" s="7">
        <f ca="1">IF(M$2=Inputs!$B213,Inputs!$B212,0)*(1+inf)^L$1</f>
        <v>0</v>
      </c>
      <c r="N58" s="7">
        <f ca="1">IF(N$2=Inputs!$B213,Inputs!$B212,0)*(1+inf)^M$1</f>
        <v>0</v>
      </c>
      <c r="O58" s="7">
        <f ca="1">IF(O$2=Inputs!$B213,Inputs!$B212,0)*(1+inf)^N$1</f>
        <v>0</v>
      </c>
      <c r="P58" s="7">
        <f ca="1">IF(P$2=Inputs!$B213,Inputs!$B212,0)*(1+inf)^O$1</f>
        <v>0</v>
      </c>
      <c r="Q58" s="7">
        <f ca="1">IF(Q$2=Inputs!$B213,Inputs!$B212,0)*(1+inf)^P$1</f>
        <v>0</v>
      </c>
      <c r="R58" s="7">
        <f ca="1">IF(R$2=Inputs!$B213,Inputs!$B212,0)*(1+inf)^Q$1</f>
        <v>0</v>
      </c>
      <c r="S58" s="7">
        <f ca="1">IF(S$2=Inputs!$B213,Inputs!$B212,0)*(1+inf)^R$1</f>
        <v>0</v>
      </c>
      <c r="T58" s="7">
        <f ca="1">IF(T$2=Inputs!$B213,Inputs!$B212,0)*(1+inf)^S$1</f>
        <v>0</v>
      </c>
      <c r="U58" s="7">
        <f ca="1">IF(U$2=Inputs!$B213,Inputs!$B212,0)*(1+inf)^T$1</f>
        <v>0</v>
      </c>
      <c r="V58" s="7">
        <f ca="1">IF(V$2=Inputs!$B213,Inputs!$B212,0)*(1+inf)^U$1</f>
        <v>0</v>
      </c>
      <c r="W58" s="7">
        <f ca="1">IF(W$2=Inputs!$B213,Inputs!$B212,0)*(1+inf)^V$1</f>
        <v>0</v>
      </c>
      <c r="X58" s="7">
        <f ca="1">IF(X$2=Inputs!$B213,Inputs!$B212,0)*(1+inf)^W$1</f>
        <v>0</v>
      </c>
      <c r="Y58" s="7">
        <f ca="1">IF(Y$2=Inputs!$B213,Inputs!$B212,0)*(1+inf)^X$1</f>
        <v>0</v>
      </c>
      <c r="Z58" s="7">
        <f ca="1">IF(Z$2=Inputs!$B213,Inputs!$B212,0)*(1+inf)^Y$1</f>
        <v>0</v>
      </c>
      <c r="AA58" s="7">
        <f ca="1">IF(AA$2=Inputs!$B213,Inputs!$B212,0)*(1+inf)^Z$1</f>
        <v>0</v>
      </c>
      <c r="AB58" s="7">
        <f ca="1">IF(AB$2=Inputs!$B213,Inputs!$B212,0)*(1+inf)^AA$1</f>
        <v>0</v>
      </c>
      <c r="AC58" s="7">
        <f ca="1">IF(AC$2=Inputs!$B213,Inputs!$B212,0)*(1+inf)^AB$1</f>
        <v>0</v>
      </c>
      <c r="AD58" s="7">
        <f ca="1">IF(AD$2=Inputs!$B213,Inputs!$B212,0)*(1+inf)^AC$1</f>
        <v>0</v>
      </c>
      <c r="AE58" s="7">
        <f ca="1">IF(AE$2=Inputs!$B213,Inputs!$B212,0)*(1+inf)^AD$1</f>
        <v>0</v>
      </c>
      <c r="AF58" s="7">
        <f ca="1">IF(AF$2=Inputs!$B213,Inputs!$B212,0)*(1+inf)^AE$1</f>
        <v>0</v>
      </c>
      <c r="AG58" s="7">
        <f ca="1">IF(AG$2=Inputs!$B213,Inputs!$B212,0)*(1+inf)^AF$1</f>
        <v>0</v>
      </c>
      <c r="AH58" s="7">
        <f ca="1">IF(AH$2=Inputs!$B213,Inputs!$B212,0)*(1+inf)^AG$1</f>
        <v>0</v>
      </c>
      <c r="AI58" s="7">
        <f ca="1">IF(AI$2=Inputs!$B213,Inputs!$B212,0)*(1+inf)^AH$1</f>
        <v>0</v>
      </c>
      <c r="AJ58" s="7">
        <f ca="1">IF(AJ$2=Inputs!$B213,Inputs!$B212,0)*(1+inf)^AI$1</f>
        <v>0</v>
      </c>
      <c r="AK58" s="7">
        <f ca="1">IF(AK$2=Inputs!$B213,Inputs!$B212,0)*(1+inf)^AJ$1</f>
        <v>0</v>
      </c>
      <c r="AL58" s="7">
        <f ca="1">IF(AL$2=Inputs!$B213,Inputs!$B212,0)*(1+inf)^AK$1</f>
        <v>0</v>
      </c>
      <c r="AM58" s="7">
        <f ca="1">IF(AM$2=Inputs!$B213,Inputs!$B212,0)*(1+inf)^AL$1</f>
        <v>0</v>
      </c>
    </row>
    <row r="59" spans="1:39" x14ac:dyDescent="0.2">
      <c r="A59" s="4"/>
      <c r="C59" s="9">
        <f t="shared" ref="C59:G59" ca="1" si="36">SUM(C22:C58)</f>
        <v>91500</v>
      </c>
      <c r="D59" s="9">
        <f t="shared" ca="1" si="36"/>
        <v>110409</v>
      </c>
      <c r="E59" s="9">
        <f t="shared" ca="1" si="36"/>
        <v>108060.72499999999</v>
      </c>
      <c r="F59" s="9">
        <f t="shared" ca="1" si="36"/>
        <v>140407.57473062762</v>
      </c>
      <c r="G59" s="9">
        <f t="shared" ca="1" si="36"/>
        <v>102109.49119531248</v>
      </c>
      <c r="H59" s="9">
        <f t="shared" ref="H59:AM59" ca="1" si="37">SUM(H22:H58)</f>
        <v>100199.49148471367</v>
      </c>
      <c r="I59" s="9">
        <f t="shared" ca="1" si="37"/>
        <v>82650.691763952433</v>
      </c>
      <c r="J59" s="9">
        <f t="shared" ca="1" si="37"/>
        <v>78710.394027913091</v>
      </c>
      <c r="K59" s="9">
        <f t="shared" ca="1" si="37"/>
        <v>97801.233575819046</v>
      </c>
      <c r="L59" s="9">
        <f t="shared" ca="1" si="37"/>
        <v>79540.083275847108</v>
      </c>
      <c r="M59" s="9">
        <f t="shared" ca="1" si="37"/>
        <v>128008.4544196357</v>
      </c>
      <c r="N59" s="9">
        <f t="shared" ca="1" si="37"/>
        <v>78725.199468075967</v>
      </c>
      <c r="O59" s="9">
        <f t="shared" ca="1" si="37"/>
        <v>80693.32945477785</v>
      </c>
      <c r="P59" s="9">
        <f t="shared" ca="1" si="37"/>
        <v>82710.662691147285</v>
      </c>
      <c r="Q59" s="9">
        <f t="shared" ca="1" si="37"/>
        <v>84778.429258425953</v>
      </c>
      <c r="R59" s="9">
        <f t="shared" ca="1" si="37"/>
        <v>86897.889989886637</v>
      </c>
      <c r="S59" s="9">
        <f t="shared" ca="1" si="37"/>
        <v>89070.33723963378</v>
      </c>
      <c r="T59" s="9">
        <f t="shared" ca="1" si="37"/>
        <v>91297.095670624622</v>
      </c>
      <c r="U59" s="9">
        <f t="shared" ca="1" si="37"/>
        <v>85781.229473857733</v>
      </c>
      <c r="V59" s="9">
        <f t="shared" ca="1" si="37"/>
        <v>87925.76021070416</v>
      </c>
      <c r="W59" s="9">
        <f t="shared" ca="1" si="37"/>
        <v>90123.90421597175</v>
      </c>
      <c r="X59" s="9">
        <f t="shared" ca="1" si="37"/>
        <v>92377.001821371043</v>
      </c>
      <c r="Y59" s="9">
        <f t="shared" ca="1" si="37"/>
        <v>94686.426866905327</v>
      </c>
      <c r="Z59" s="9">
        <f t="shared" ca="1" si="37"/>
        <v>97053.587538577965</v>
      </c>
      <c r="AA59" s="9">
        <f t="shared" ca="1" si="37"/>
        <v>99479.927227042383</v>
      </c>
      <c r="AB59" s="9">
        <f t="shared" ca="1" si="37"/>
        <v>101966.92540771843</v>
      </c>
      <c r="AC59" s="9">
        <f t="shared" ca="1" si="37"/>
        <v>104516.09854291138</v>
      </c>
      <c r="AD59" s="9">
        <f t="shared" ca="1" si="37"/>
        <v>107129.00100648416</v>
      </c>
      <c r="AE59" s="9">
        <f t="shared" ca="1" si="37"/>
        <v>99824.750937860241</v>
      </c>
      <c r="AF59" s="9">
        <f t="shared" ca="1" si="37"/>
        <v>102320.36971130676</v>
      </c>
      <c r="AG59" s="9">
        <f t="shared" ca="1" si="37"/>
        <v>104878.37895408941</v>
      </c>
      <c r="AH59" s="9">
        <f t="shared" ca="1" si="37"/>
        <v>107500.33842794166</v>
      </c>
      <c r="AI59" s="9">
        <f t="shared" ca="1" si="37"/>
        <v>110187.84688864017</v>
      </c>
      <c r="AJ59" s="9">
        <f t="shared" ca="1" si="37"/>
        <v>112942.54306085619</v>
      </c>
      <c r="AK59" s="9">
        <f t="shared" ca="1" si="37"/>
        <v>115766.10663737757</v>
      </c>
      <c r="AL59" s="9">
        <f t="shared" ca="1" si="37"/>
        <v>118660.25930331199</v>
      </c>
      <c r="AM59" s="9">
        <f t="shared" ca="1" si="37"/>
        <v>121626.76578589482</v>
      </c>
    </row>
    <row r="60" spans="1:39" x14ac:dyDescent="0.2">
      <c r="A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9" x14ac:dyDescent="0.25">
      <c r="A61" s="12" t="s">
        <v>19</v>
      </c>
      <c r="C61" s="7">
        <f t="shared" ref="C61:AM61" ca="1" si="38">C21-C59</f>
        <v>12809.375000000015</v>
      </c>
      <c r="D61" s="7">
        <f t="shared" ca="1" si="38"/>
        <v>11352.840625000012</v>
      </c>
      <c r="E61" s="7">
        <f t="shared" ca="1" si="38"/>
        <v>17651.063515625021</v>
      </c>
      <c r="F61" s="7">
        <f t="shared" ca="1" si="38"/>
        <v>-9.7104831198521424</v>
      </c>
      <c r="G61" s="7">
        <f t="shared" ca="1" si="38"/>
        <v>31721.058519855593</v>
      </c>
      <c r="H61" s="7">
        <f t="shared" ca="1" si="38"/>
        <v>38421.138458475893</v>
      </c>
      <c r="I61" s="7">
        <f t="shared" ca="1" si="38"/>
        <v>67112.869295975222</v>
      </c>
      <c r="J61" s="7">
        <f t="shared" ca="1" si="38"/>
        <v>71123.865739643617</v>
      </c>
      <c r="K61" s="7">
        <f t="shared" ca="1" si="38"/>
        <v>57913.202112212326</v>
      </c>
      <c r="L61" s="7">
        <f t="shared" ca="1" si="38"/>
        <v>145544.77002573077</v>
      </c>
      <c r="M61" s="7">
        <f t="shared" ca="1" si="38"/>
        <v>57042.948831682559</v>
      </c>
      <c r="N61" s="7">
        <f t="shared" ca="1" si="38"/>
        <v>110842.43163015129</v>
      </c>
      <c r="O61" s="7">
        <f t="shared" ca="1" si="38"/>
        <v>116837.08986142447</v>
      </c>
      <c r="P61" s="7">
        <f t="shared" ca="1" si="38"/>
        <v>123086.29339814121</v>
      </c>
      <c r="Q61" s="7">
        <f t="shared" ca="1" si="38"/>
        <v>129599.7455115887</v>
      </c>
      <c r="R61" s="7">
        <f t="shared" ca="1" si="38"/>
        <v>136387.49722582454</v>
      </c>
      <c r="S61" s="7">
        <f t="shared" ca="1" si="38"/>
        <v>143459.95929117218</v>
      </c>
      <c r="T61" s="7">
        <f t="shared" ca="1" si="38"/>
        <v>41597.472175612857</v>
      </c>
      <c r="U61" s="7">
        <f t="shared" ca="1" si="38"/>
        <v>51036.93523305186</v>
      </c>
      <c r="V61" s="7">
        <f t="shared" ca="1" si="38"/>
        <v>53035.282088794993</v>
      </c>
      <c r="W61" s="7">
        <f t="shared" ca="1" si="38"/>
        <v>55110.589966453626</v>
      </c>
      <c r="X61" s="7">
        <f t="shared" ca="1" si="38"/>
        <v>57265.726203248123</v>
      </c>
      <c r="Y61" s="7">
        <f t="shared" ca="1" si="38"/>
        <v>38586.56896961038</v>
      </c>
      <c r="Z61" s="7">
        <f t="shared" ca="1" si="38"/>
        <v>39864.52618257876</v>
      </c>
      <c r="AA61" s="7">
        <f t="shared" ca="1" si="38"/>
        <v>41192.328684353473</v>
      </c>
      <c r="AB61" s="7">
        <f t="shared" ca="1" si="38"/>
        <v>42571.971937129594</v>
      </c>
      <c r="AC61" s="7">
        <f t="shared" ca="1" si="38"/>
        <v>44005.529080536886</v>
      </c>
      <c r="AD61" s="7">
        <f t="shared" ca="1" si="38"/>
        <v>45495.153840076542</v>
      </c>
      <c r="AE61" s="7">
        <f t="shared" ca="1" si="38"/>
        <v>57150.33957304158</v>
      </c>
      <c r="AF61" s="7">
        <f t="shared" ca="1" si="38"/>
        <v>59264.261062471807</v>
      </c>
      <c r="AG61" s="7">
        <f t="shared" ca="1" si="38"/>
        <v>61460.176646768567</v>
      </c>
      <c r="AH61" s="7">
        <f t="shared" ca="1" si="38"/>
        <v>63741.22533922302</v>
      </c>
      <c r="AI61" s="7">
        <f t="shared" ca="1" si="38"/>
        <v>66110.662672766164</v>
      </c>
      <c r="AJ61" s="7">
        <f t="shared" ca="1" si="38"/>
        <v>68571.86488852567</v>
      </c>
      <c r="AK61" s="7">
        <f t="shared" ca="1" si="38"/>
        <v>71128.333270720279</v>
      </c>
      <c r="AL61" s="7">
        <f t="shared" ca="1" si="38"/>
        <v>73783.698632881365</v>
      </c>
      <c r="AM61" s="7">
        <f t="shared" ca="1" si="38"/>
        <v>76541.725960560725</v>
      </c>
    </row>
    <row r="62" spans="1:39" x14ac:dyDescent="0.2">
      <c r="A62" s="4" t="s">
        <v>10</v>
      </c>
      <c r="C62" s="7">
        <f>Inputs!B8</f>
        <v>50000</v>
      </c>
      <c r="D62" s="7">
        <f ca="1">C63</f>
        <v>62809.375000000015</v>
      </c>
      <c r="E62" s="7">
        <f t="shared" ref="E62:AM62" ca="1" si="39">D63</f>
        <v>74162.215625000026</v>
      </c>
      <c r="F62" s="7">
        <f t="shared" ca="1" si="39"/>
        <v>91813.279140625047</v>
      </c>
      <c r="G62" s="7">
        <f t="shared" ca="1" si="39"/>
        <v>91803.568657505195</v>
      </c>
      <c r="H62" s="7">
        <f t="shared" ca="1" si="39"/>
        <v>123524.62717736079</v>
      </c>
      <c r="I62" s="7">
        <f t="shared" ca="1" si="39"/>
        <v>161945.76563583669</v>
      </c>
      <c r="J62" s="7">
        <f t="shared" ca="1" si="39"/>
        <v>229058.63493181192</v>
      </c>
      <c r="K62" s="7">
        <f t="shared" ca="1" si="39"/>
        <v>300182.50067145552</v>
      </c>
      <c r="L62" s="7">
        <f t="shared" ca="1" si="39"/>
        <v>358095.70278366783</v>
      </c>
      <c r="M62" s="7">
        <f t="shared" ca="1" si="39"/>
        <v>503640.47280939861</v>
      </c>
      <c r="N62" s="7">
        <f t="shared" ca="1" si="39"/>
        <v>560683.42164108111</v>
      </c>
      <c r="O62" s="7">
        <f t="shared" ca="1" si="39"/>
        <v>671525.85327123245</v>
      </c>
      <c r="P62" s="7">
        <f t="shared" ca="1" si="39"/>
        <v>788362.94313265686</v>
      </c>
      <c r="Q62" s="7">
        <f t="shared" ca="1" si="39"/>
        <v>911449.23653079802</v>
      </c>
      <c r="R62" s="7">
        <f t="shared" ca="1" si="39"/>
        <v>1041048.9820423867</v>
      </c>
      <c r="S62" s="7">
        <f t="shared" ca="1" si="39"/>
        <v>1177436.4792682112</v>
      </c>
      <c r="T62" s="7">
        <f t="shared" ca="1" si="39"/>
        <v>1320896.4385593834</v>
      </c>
      <c r="U62" s="7">
        <f t="shared" ca="1" si="39"/>
        <v>1362493.9107349962</v>
      </c>
      <c r="V62" s="7">
        <f t="shared" ca="1" si="39"/>
        <v>1413530.8459680481</v>
      </c>
      <c r="W62" s="7">
        <f t="shared" ca="1" si="39"/>
        <v>1466566.1280568431</v>
      </c>
      <c r="X62" s="7">
        <f t="shared" ca="1" si="39"/>
        <v>1521676.7180232967</v>
      </c>
      <c r="Y62" s="7">
        <f t="shared" ca="1" si="39"/>
        <v>1578942.4442265448</v>
      </c>
      <c r="Z62" s="7">
        <f t="shared" ca="1" si="39"/>
        <v>1617529.0131961552</v>
      </c>
      <c r="AA62" s="7">
        <f t="shared" ca="1" si="39"/>
        <v>1657393.5393787338</v>
      </c>
      <c r="AB62" s="7">
        <f t="shared" ca="1" si="39"/>
        <v>1698585.8680630873</v>
      </c>
      <c r="AC62" s="7">
        <f t="shared" ca="1" si="39"/>
        <v>1741157.8400002168</v>
      </c>
      <c r="AD62" s="7">
        <f t="shared" ca="1" si="39"/>
        <v>1785163.3690807538</v>
      </c>
      <c r="AE62" s="7">
        <f t="shared" ca="1" si="39"/>
        <v>1830658.5229208304</v>
      </c>
      <c r="AF62" s="7">
        <f t="shared" ca="1" si="39"/>
        <v>1887808.8624938719</v>
      </c>
      <c r="AG62" s="7">
        <f t="shared" ca="1" si="39"/>
        <v>1947073.1235563438</v>
      </c>
      <c r="AH62" s="7">
        <f t="shared" ca="1" si="39"/>
        <v>2008533.3002031124</v>
      </c>
      <c r="AI62" s="7">
        <f t="shared" ca="1" si="39"/>
        <v>2072274.5255423354</v>
      </c>
      <c r="AJ62" s="7">
        <f t="shared" ca="1" si="39"/>
        <v>2138385.1882151016</v>
      </c>
      <c r="AK62" s="7">
        <f t="shared" ca="1" si="39"/>
        <v>2206957.0531036272</v>
      </c>
      <c r="AL62" s="7">
        <f t="shared" ca="1" si="39"/>
        <v>2278085.3863743474</v>
      </c>
      <c r="AM62" s="7">
        <f t="shared" ca="1" si="39"/>
        <v>2351869.0850072289</v>
      </c>
    </row>
    <row r="63" spans="1:39" x14ac:dyDescent="0.2">
      <c r="A63" s="4" t="s">
        <v>11</v>
      </c>
      <c r="C63" s="9">
        <f ca="1">SUM(C61:C62)</f>
        <v>62809.375000000015</v>
      </c>
      <c r="D63" s="9">
        <f t="shared" ref="D63:AM63" ca="1" si="40">SUM(D61:D62)</f>
        <v>74162.215625000026</v>
      </c>
      <c r="E63" s="9">
        <f t="shared" ca="1" si="40"/>
        <v>91813.279140625047</v>
      </c>
      <c r="F63" s="9">
        <f t="shared" ca="1" si="40"/>
        <v>91803.568657505195</v>
      </c>
      <c r="G63" s="9">
        <f t="shared" ca="1" si="40"/>
        <v>123524.62717736079</v>
      </c>
      <c r="H63" s="9">
        <f t="shared" ca="1" si="40"/>
        <v>161945.76563583669</v>
      </c>
      <c r="I63" s="9">
        <f t="shared" ca="1" si="40"/>
        <v>229058.63493181192</v>
      </c>
      <c r="J63" s="9">
        <f t="shared" ca="1" si="40"/>
        <v>300182.50067145552</v>
      </c>
      <c r="K63" s="9">
        <f t="shared" ca="1" si="40"/>
        <v>358095.70278366783</v>
      </c>
      <c r="L63" s="9">
        <f t="shared" ca="1" si="40"/>
        <v>503640.47280939861</v>
      </c>
      <c r="M63" s="9">
        <f t="shared" ca="1" si="40"/>
        <v>560683.42164108111</v>
      </c>
      <c r="N63" s="9">
        <f t="shared" ca="1" si="40"/>
        <v>671525.85327123245</v>
      </c>
      <c r="O63" s="9">
        <f t="shared" ca="1" si="40"/>
        <v>788362.94313265686</v>
      </c>
      <c r="P63" s="9">
        <f t="shared" ca="1" si="40"/>
        <v>911449.23653079802</v>
      </c>
      <c r="Q63" s="9">
        <f t="shared" ca="1" si="40"/>
        <v>1041048.9820423867</v>
      </c>
      <c r="R63" s="9">
        <f t="shared" ca="1" si="40"/>
        <v>1177436.4792682112</v>
      </c>
      <c r="S63" s="9">
        <f t="shared" ca="1" si="40"/>
        <v>1320896.4385593834</v>
      </c>
      <c r="T63" s="9">
        <f t="shared" ca="1" si="40"/>
        <v>1362493.9107349962</v>
      </c>
      <c r="U63" s="9">
        <f t="shared" ca="1" si="40"/>
        <v>1413530.8459680481</v>
      </c>
      <c r="V63" s="9">
        <f t="shared" ca="1" si="40"/>
        <v>1466566.1280568431</v>
      </c>
      <c r="W63" s="9">
        <f t="shared" ca="1" si="40"/>
        <v>1521676.7180232967</v>
      </c>
      <c r="X63" s="9">
        <f t="shared" ca="1" si="40"/>
        <v>1578942.4442265448</v>
      </c>
      <c r="Y63" s="9">
        <f t="shared" ca="1" si="40"/>
        <v>1617529.0131961552</v>
      </c>
      <c r="Z63" s="9">
        <f t="shared" ca="1" si="40"/>
        <v>1657393.5393787338</v>
      </c>
      <c r="AA63" s="9">
        <f t="shared" ca="1" si="40"/>
        <v>1698585.8680630873</v>
      </c>
      <c r="AB63" s="9">
        <f t="shared" ca="1" si="40"/>
        <v>1741157.8400002168</v>
      </c>
      <c r="AC63" s="9">
        <f t="shared" ca="1" si="40"/>
        <v>1785163.3690807538</v>
      </c>
      <c r="AD63" s="9">
        <f t="shared" ca="1" si="40"/>
        <v>1830658.5229208304</v>
      </c>
      <c r="AE63" s="9">
        <f t="shared" ca="1" si="40"/>
        <v>1887808.8624938719</v>
      </c>
      <c r="AF63" s="9">
        <f t="shared" ca="1" si="40"/>
        <v>1947073.1235563438</v>
      </c>
      <c r="AG63" s="9">
        <f t="shared" ca="1" si="40"/>
        <v>2008533.3002031124</v>
      </c>
      <c r="AH63" s="9">
        <f t="shared" ca="1" si="40"/>
        <v>2072274.5255423354</v>
      </c>
      <c r="AI63" s="9">
        <f t="shared" ca="1" si="40"/>
        <v>2138385.1882151016</v>
      </c>
      <c r="AJ63" s="9">
        <f t="shared" ca="1" si="40"/>
        <v>2206957.0531036272</v>
      </c>
      <c r="AK63" s="9">
        <f t="shared" ca="1" si="40"/>
        <v>2278085.3863743474</v>
      </c>
      <c r="AL63" s="9">
        <f t="shared" ca="1" si="40"/>
        <v>2351869.0850072289</v>
      </c>
      <c r="AM63" s="9">
        <f t="shared" ca="1" si="40"/>
        <v>2428410.8109677895</v>
      </c>
    </row>
    <row r="64" spans="1:39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9" x14ac:dyDescent="0.25">
      <c r="A65" s="25" t="s">
        <v>66</v>
      </c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x14ac:dyDescent="0.2">
      <c r="A66" s="4" t="s">
        <v>9</v>
      </c>
      <c r="C66" s="7">
        <f t="shared" ref="C66:AM66" ca="1" si="41">C63</f>
        <v>62809.375000000015</v>
      </c>
      <c r="D66" s="7">
        <f t="shared" ca="1" si="41"/>
        <v>74162.215625000026</v>
      </c>
      <c r="E66" s="7">
        <f t="shared" ca="1" si="41"/>
        <v>91813.279140625047</v>
      </c>
      <c r="F66" s="7">
        <f t="shared" ca="1" si="41"/>
        <v>91803.568657505195</v>
      </c>
      <c r="G66" s="7">
        <f t="shared" ca="1" si="41"/>
        <v>123524.62717736079</v>
      </c>
      <c r="H66" s="7">
        <f t="shared" ca="1" si="41"/>
        <v>161945.76563583669</v>
      </c>
      <c r="I66" s="7">
        <f t="shared" ca="1" si="41"/>
        <v>229058.63493181192</v>
      </c>
      <c r="J66" s="7">
        <f t="shared" ca="1" si="41"/>
        <v>300182.50067145552</v>
      </c>
      <c r="K66" s="7">
        <f t="shared" ca="1" si="41"/>
        <v>358095.70278366783</v>
      </c>
      <c r="L66" s="7">
        <f t="shared" ca="1" si="41"/>
        <v>503640.47280939861</v>
      </c>
      <c r="M66" s="7">
        <f t="shared" ca="1" si="41"/>
        <v>560683.42164108111</v>
      </c>
      <c r="N66" s="7">
        <f t="shared" ca="1" si="41"/>
        <v>671525.85327123245</v>
      </c>
      <c r="O66" s="7">
        <f t="shared" ca="1" si="41"/>
        <v>788362.94313265686</v>
      </c>
      <c r="P66" s="7">
        <f t="shared" ca="1" si="41"/>
        <v>911449.23653079802</v>
      </c>
      <c r="Q66" s="7">
        <f t="shared" ca="1" si="41"/>
        <v>1041048.9820423867</v>
      </c>
      <c r="R66" s="7">
        <f t="shared" ca="1" si="41"/>
        <v>1177436.4792682112</v>
      </c>
      <c r="S66" s="7">
        <f t="shared" ca="1" si="41"/>
        <v>1320896.4385593834</v>
      </c>
      <c r="T66" s="7">
        <f t="shared" ca="1" si="41"/>
        <v>1362493.9107349962</v>
      </c>
      <c r="U66" s="7">
        <f t="shared" ca="1" si="41"/>
        <v>1413530.8459680481</v>
      </c>
      <c r="V66" s="7">
        <f t="shared" ca="1" si="41"/>
        <v>1466566.1280568431</v>
      </c>
      <c r="W66" s="7">
        <f t="shared" ca="1" si="41"/>
        <v>1521676.7180232967</v>
      </c>
      <c r="X66" s="7">
        <f t="shared" ca="1" si="41"/>
        <v>1578942.4442265448</v>
      </c>
      <c r="Y66" s="7">
        <f t="shared" ca="1" si="41"/>
        <v>1617529.0131961552</v>
      </c>
      <c r="Z66" s="7">
        <f t="shared" ca="1" si="41"/>
        <v>1657393.5393787338</v>
      </c>
      <c r="AA66" s="7">
        <f t="shared" ca="1" si="41"/>
        <v>1698585.8680630873</v>
      </c>
      <c r="AB66" s="7">
        <f t="shared" ca="1" si="41"/>
        <v>1741157.8400002168</v>
      </c>
      <c r="AC66" s="7">
        <f t="shared" ca="1" si="41"/>
        <v>1785163.3690807538</v>
      </c>
      <c r="AD66" s="7">
        <f t="shared" ca="1" si="41"/>
        <v>1830658.5229208304</v>
      </c>
      <c r="AE66" s="7">
        <f t="shared" ca="1" si="41"/>
        <v>1887808.8624938719</v>
      </c>
      <c r="AF66" s="7">
        <f t="shared" ca="1" si="41"/>
        <v>1947073.1235563438</v>
      </c>
      <c r="AG66" s="7">
        <f t="shared" ca="1" si="41"/>
        <v>2008533.3002031124</v>
      </c>
      <c r="AH66" s="7">
        <f t="shared" ca="1" si="41"/>
        <v>2072274.5255423354</v>
      </c>
      <c r="AI66" s="7">
        <f t="shared" ca="1" si="41"/>
        <v>2138385.1882151016</v>
      </c>
      <c r="AJ66" s="7">
        <f t="shared" ca="1" si="41"/>
        <v>2206957.0531036272</v>
      </c>
      <c r="AK66" s="7">
        <f t="shared" ca="1" si="41"/>
        <v>2278085.3863743474</v>
      </c>
      <c r="AL66" s="7">
        <f t="shared" ca="1" si="41"/>
        <v>2351869.0850072289</v>
      </c>
      <c r="AM66" s="7">
        <f t="shared" ca="1" si="41"/>
        <v>2428410.8109677895</v>
      </c>
    </row>
    <row r="67" spans="1:39" x14ac:dyDescent="0.2">
      <c r="A67" s="4" t="s">
        <v>7</v>
      </c>
      <c r="C67" s="7">
        <f ca="1">Inputs!B12*(1+princ)^ProRate</f>
        <v>614962.9305229499</v>
      </c>
      <c r="D67" s="7">
        <f t="shared" ref="D67:AM67" ca="1" si="42">C67*(1+princ)</f>
        <v>633411.81843863847</v>
      </c>
      <c r="E67" s="7">
        <f t="shared" ca="1" si="42"/>
        <v>652414.17299179768</v>
      </c>
      <c r="F67" s="7">
        <f t="shared" ca="1" si="42"/>
        <v>671986.59818155167</v>
      </c>
      <c r="G67" s="7">
        <f t="shared" ca="1" si="42"/>
        <v>692146.19612699829</v>
      </c>
      <c r="H67" s="7">
        <f t="shared" ca="1" si="42"/>
        <v>712910.58201080828</v>
      </c>
      <c r="I67" s="7">
        <f t="shared" ca="1" si="42"/>
        <v>734297.89947113255</v>
      </c>
      <c r="J67" s="7">
        <f t="shared" ca="1" si="42"/>
        <v>756326.83645526657</v>
      </c>
      <c r="K67" s="7">
        <f t="shared" ca="1" si="42"/>
        <v>779016.64154892461</v>
      </c>
      <c r="L67" s="7">
        <f t="shared" ca="1" si="42"/>
        <v>802387.14079539233</v>
      </c>
      <c r="M67" s="7">
        <f t="shared" ca="1" si="42"/>
        <v>826458.75501925417</v>
      </c>
      <c r="N67" s="7">
        <f t="shared" ca="1" si="42"/>
        <v>851252.51766983187</v>
      </c>
      <c r="O67" s="7">
        <f t="shared" ca="1" si="42"/>
        <v>876790.09319992689</v>
      </c>
      <c r="P67" s="7">
        <f t="shared" ca="1" si="42"/>
        <v>903093.79599592474</v>
      </c>
      <c r="Q67" s="7">
        <f t="shared" ca="1" si="42"/>
        <v>930186.60987580253</v>
      </c>
      <c r="R67" s="7">
        <f t="shared" ca="1" si="42"/>
        <v>958092.20817207661</v>
      </c>
      <c r="S67" s="7">
        <f t="shared" ca="1" si="42"/>
        <v>986834.97441723896</v>
      </c>
      <c r="T67" s="7">
        <f t="shared" ca="1" si="42"/>
        <v>1016440.0236497562</v>
      </c>
      <c r="U67" s="7">
        <f t="shared" ca="1" si="42"/>
        <v>1046933.2243592489</v>
      </c>
      <c r="V67" s="7">
        <f t="shared" ca="1" si="42"/>
        <v>1078341.2210900264</v>
      </c>
      <c r="W67" s="7">
        <f t="shared" ca="1" si="42"/>
        <v>1110691.4577227272</v>
      </c>
      <c r="X67" s="7">
        <f t="shared" ca="1" si="42"/>
        <v>1144012.2014544092</v>
      </c>
      <c r="Y67" s="7">
        <f t="shared" ca="1" si="42"/>
        <v>1178332.5674980415</v>
      </c>
      <c r="Z67" s="7">
        <f t="shared" ca="1" si="42"/>
        <v>1213682.5445229828</v>
      </c>
      <c r="AA67" s="7">
        <f t="shared" ca="1" si="42"/>
        <v>1250093.0208586722</v>
      </c>
      <c r="AB67" s="7">
        <f t="shared" ca="1" si="42"/>
        <v>1287595.8114844323</v>
      </c>
      <c r="AC67" s="7">
        <f t="shared" ca="1" si="42"/>
        <v>1326223.6858289654</v>
      </c>
      <c r="AD67" s="7">
        <f t="shared" ca="1" si="42"/>
        <v>1366010.3964038345</v>
      </c>
      <c r="AE67" s="7">
        <f t="shared" ca="1" si="42"/>
        <v>1406990.7082959495</v>
      </c>
      <c r="AF67" s="7">
        <f t="shared" ca="1" si="42"/>
        <v>1449200.4295448281</v>
      </c>
      <c r="AG67" s="7">
        <f t="shared" ca="1" si="42"/>
        <v>1492676.4424311731</v>
      </c>
      <c r="AH67" s="7">
        <f t="shared" ca="1" si="42"/>
        <v>1537456.7357041084</v>
      </c>
      <c r="AI67" s="7">
        <f t="shared" ca="1" si="42"/>
        <v>1583580.4377752317</v>
      </c>
      <c r="AJ67" s="7">
        <f t="shared" ca="1" si="42"/>
        <v>1631087.8509084887</v>
      </c>
      <c r="AK67" s="7">
        <f t="shared" ca="1" si="42"/>
        <v>1680020.4864357435</v>
      </c>
      <c r="AL67" s="7">
        <f t="shared" ca="1" si="42"/>
        <v>1730421.1010288158</v>
      </c>
      <c r="AM67" s="7">
        <f t="shared" ca="1" si="42"/>
        <v>1782333.7340596803</v>
      </c>
    </row>
    <row r="68" spans="1:39" x14ac:dyDescent="0.2">
      <c r="A68" s="4" t="s">
        <v>51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">
      <c r="A69" s="3" t="str">
        <f>TEXT(Inputs!$B$60,"")</f>
        <v>Sliema</v>
      </c>
      <c r="C69" s="7">
        <f ca="1">Inputs!B61*(1+princ)^ProRate</f>
        <v>307481.46526147495</v>
      </c>
      <c r="D69" s="7">
        <f t="shared" ref="D69:S73" ca="1" si="43">C69*(1+princ)</f>
        <v>316705.90921931923</v>
      </c>
      <c r="E69" s="7">
        <f t="shared" ca="1" si="43"/>
        <v>326207.08649589884</v>
      </c>
      <c r="F69" s="7">
        <f t="shared" ca="1" si="43"/>
        <v>335993.29909077584</v>
      </c>
      <c r="G69" s="7">
        <f t="shared" ca="1" si="43"/>
        <v>346073.09806349914</v>
      </c>
      <c r="H69" s="7">
        <f t="shared" ca="1" si="43"/>
        <v>356455.29100540414</v>
      </c>
      <c r="I69" s="7">
        <f t="shared" ca="1" si="43"/>
        <v>367148.94973556628</v>
      </c>
      <c r="J69" s="7">
        <f t="shared" ca="1" si="43"/>
        <v>378163.41822763329</v>
      </c>
      <c r="K69" s="7">
        <f t="shared" ca="1" si="43"/>
        <v>389508.32077446231</v>
      </c>
      <c r="L69" s="7">
        <f t="shared" ca="1" si="43"/>
        <v>401193.57039769617</v>
      </c>
      <c r="M69" s="7">
        <f t="shared" ca="1" si="43"/>
        <v>413229.37750962708</v>
      </c>
      <c r="N69" s="7">
        <f t="shared" ca="1" si="43"/>
        <v>425626.25883491593</v>
      </c>
      <c r="O69" s="7">
        <f t="shared" ca="1" si="43"/>
        <v>438395.04659996345</v>
      </c>
      <c r="P69" s="7">
        <f t="shared" ca="1" si="43"/>
        <v>451546.89799796237</v>
      </c>
      <c r="Q69" s="7">
        <f t="shared" ca="1" si="43"/>
        <v>465093.30493790127</v>
      </c>
      <c r="R69" s="7">
        <f t="shared" ca="1" si="43"/>
        <v>479046.10408603831</v>
      </c>
      <c r="S69" s="7">
        <f t="shared" ca="1" si="43"/>
        <v>493417.48720861948</v>
      </c>
      <c r="T69" s="7">
        <f t="shared" ref="T69:AI73" ca="1" si="44">S69*(1+princ)</f>
        <v>508220.01182487811</v>
      </c>
      <c r="U69" s="7">
        <f t="shared" ca="1" si="44"/>
        <v>523466.61217962444</v>
      </c>
      <c r="V69" s="7">
        <f t="shared" ca="1" si="44"/>
        <v>539170.61054501322</v>
      </c>
      <c r="W69" s="7">
        <f t="shared" ca="1" si="44"/>
        <v>555345.7288613636</v>
      </c>
      <c r="X69" s="7">
        <f t="shared" ca="1" si="44"/>
        <v>572006.10072720458</v>
      </c>
      <c r="Y69" s="7">
        <f t="shared" ca="1" si="44"/>
        <v>589166.28374902077</v>
      </c>
      <c r="Z69" s="7">
        <f t="shared" ca="1" si="44"/>
        <v>606841.27226149139</v>
      </c>
      <c r="AA69" s="7">
        <f t="shared" ca="1" si="44"/>
        <v>625046.51042933611</v>
      </c>
      <c r="AB69" s="7">
        <f t="shared" ca="1" si="44"/>
        <v>643797.90574221616</v>
      </c>
      <c r="AC69" s="7">
        <f t="shared" ca="1" si="44"/>
        <v>663111.8429144827</v>
      </c>
      <c r="AD69" s="7">
        <f t="shared" ca="1" si="44"/>
        <v>683005.19820191723</v>
      </c>
      <c r="AE69" s="7">
        <f t="shared" ca="1" si="44"/>
        <v>703495.35414797475</v>
      </c>
      <c r="AF69" s="7">
        <f t="shared" ca="1" si="44"/>
        <v>724600.21477241407</v>
      </c>
      <c r="AG69" s="7">
        <f t="shared" ca="1" si="44"/>
        <v>746338.22121558653</v>
      </c>
      <c r="AH69" s="7">
        <f t="shared" ca="1" si="44"/>
        <v>768728.36785205419</v>
      </c>
      <c r="AI69" s="7">
        <f t="shared" ca="1" si="44"/>
        <v>791790.21888761583</v>
      </c>
      <c r="AJ69" s="7">
        <f t="shared" ref="AJ69:AM73" ca="1" si="45">AI69*(1+princ)</f>
        <v>815543.92545424437</v>
      </c>
      <c r="AK69" s="7">
        <f t="shared" ca="1" si="45"/>
        <v>840010.24321787176</v>
      </c>
      <c r="AL69" s="7">
        <f t="shared" ca="1" si="45"/>
        <v>865210.55051440792</v>
      </c>
      <c r="AM69" s="7">
        <f t="shared" ca="1" si="45"/>
        <v>891166.86702984013</v>
      </c>
    </row>
    <row r="70" spans="1:39" x14ac:dyDescent="0.2">
      <c r="A70" s="3" t="str">
        <f>TEXT(Inputs!$B$65,"")</f>
        <v>Gzira</v>
      </c>
      <c r="C70" s="7">
        <f ca="1">Inputs!B66*(1+princ)^ProRate</f>
        <v>153740.73263073748</v>
      </c>
      <c r="D70" s="7">
        <f t="shared" ca="1" si="43"/>
        <v>158352.95460965962</v>
      </c>
      <c r="E70" s="7">
        <f t="shared" ca="1" si="43"/>
        <v>163103.54324794942</v>
      </c>
      <c r="F70" s="7">
        <f t="shared" ca="1" si="43"/>
        <v>167996.64954538792</v>
      </c>
      <c r="G70" s="7">
        <f t="shared" ca="1" si="43"/>
        <v>173036.54903174957</v>
      </c>
      <c r="H70" s="7">
        <f t="shared" ca="1" si="43"/>
        <v>178227.64550270207</v>
      </c>
      <c r="I70" s="7">
        <f t="shared" ca="1" si="43"/>
        <v>183574.47486778314</v>
      </c>
      <c r="J70" s="7">
        <f t="shared" ca="1" si="43"/>
        <v>189081.70911381664</v>
      </c>
      <c r="K70" s="7">
        <f t="shared" ca="1" si="43"/>
        <v>194754.16038723115</v>
      </c>
      <c r="L70" s="7">
        <f t="shared" ca="1" si="43"/>
        <v>200596.78519884808</v>
      </c>
      <c r="M70" s="7">
        <f t="shared" ca="1" si="43"/>
        <v>206614.68875481354</v>
      </c>
      <c r="N70" s="7">
        <f t="shared" ca="1" si="43"/>
        <v>212813.12941745797</v>
      </c>
      <c r="O70" s="7">
        <f t="shared" ca="1" si="43"/>
        <v>219197.52329998172</v>
      </c>
      <c r="P70" s="7">
        <f t="shared" ca="1" si="43"/>
        <v>225773.44899898118</v>
      </c>
      <c r="Q70" s="7">
        <f t="shared" ca="1" si="43"/>
        <v>232546.65246895063</v>
      </c>
      <c r="R70" s="7">
        <f t="shared" ca="1" si="43"/>
        <v>239523.05204301915</v>
      </c>
      <c r="S70" s="7">
        <f t="shared" ca="1" si="43"/>
        <v>246708.74360430974</v>
      </c>
      <c r="T70" s="7">
        <f t="shared" ca="1" si="44"/>
        <v>254110.00591243905</v>
      </c>
      <c r="U70" s="7">
        <f t="shared" ca="1" si="44"/>
        <v>261733.30608981222</v>
      </c>
      <c r="V70" s="7">
        <f t="shared" ca="1" si="44"/>
        <v>269585.30527250661</v>
      </c>
      <c r="W70" s="7">
        <f t="shared" ca="1" si="44"/>
        <v>277672.8644306818</v>
      </c>
      <c r="X70" s="7">
        <f t="shared" ca="1" si="44"/>
        <v>286003.05036360229</v>
      </c>
      <c r="Y70" s="7">
        <f t="shared" ca="1" si="44"/>
        <v>294583.14187451039</v>
      </c>
      <c r="Z70" s="7">
        <f t="shared" ca="1" si="44"/>
        <v>303420.6361307457</v>
      </c>
      <c r="AA70" s="7">
        <f t="shared" ca="1" si="44"/>
        <v>312523.25521466805</v>
      </c>
      <c r="AB70" s="7">
        <f t="shared" ca="1" si="44"/>
        <v>321898.95287110808</v>
      </c>
      <c r="AC70" s="7">
        <f t="shared" ca="1" si="44"/>
        <v>331555.92145724135</v>
      </c>
      <c r="AD70" s="7">
        <f t="shared" ca="1" si="44"/>
        <v>341502.59910095861</v>
      </c>
      <c r="AE70" s="7">
        <f t="shared" ca="1" si="44"/>
        <v>351747.67707398738</v>
      </c>
      <c r="AF70" s="7">
        <f t="shared" ca="1" si="44"/>
        <v>362300.10738620703</v>
      </c>
      <c r="AG70" s="7">
        <f t="shared" ca="1" si="44"/>
        <v>373169.11060779326</v>
      </c>
      <c r="AH70" s="7">
        <f t="shared" ca="1" si="44"/>
        <v>384364.18392602709</v>
      </c>
      <c r="AI70" s="7">
        <f t="shared" ca="1" si="44"/>
        <v>395895.10944380792</v>
      </c>
      <c r="AJ70" s="7">
        <f t="shared" ca="1" si="45"/>
        <v>407771.96272712218</v>
      </c>
      <c r="AK70" s="7">
        <f t="shared" ca="1" si="45"/>
        <v>420005.12160893588</v>
      </c>
      <c r="AL70" s="7">
        <f t="shared" ca="1" si="45"/>
        <v>432605.27525720396</v>
      </c>
      <c r="AM70" s="7">
        <f t="shared" ca="1" si="45"/>
        <v>445583.43351492006</v>
      </c>
    </row>
    <row r="71" spans="1:39" x14ac:dyDescent="0.2">
      <c r="A71" s="3" t="str">
        <f>TEXT(Inputs!$B$70,"")</f>
        <v>Qormi</v>
      </c>
      <c r="C71" s="7">
        <f ca="1">Inputs!B71*(1+princ)^ProRate</f>
        <v>225486.40785841495</v>
      </c>
      <c r="D71" s="7">
        <f t="shared" ca="1" si="43"/>
        <v>232251.00009416742</v>
      </c>
      <c r="E71" s="7">
        <f t="shared" ca="1" si="43"/>
        <v>239218.53009699244</v>
      </c>
      <c r="F71" s="7">
        <f t="shared" ca="1" si="43"/>
        <v>246395.08599990222</v>
      </c>
      <c r="G71" s="7">
        <f t="shared" ca="1" si="43"/>
        <v>253786.93857989929</v>
      </c>
      <c r="H71" s="7">
        <f t="shared" ca="1" si="43"/>
        <v>261400.54673729627</v>
      </c>
      <c r="I71" s="7">
        <f t="shared" ca="1" si="43"/>
        <v>269242.56313941517</v>
      </c>
      <c r="J71" s="7">
        <f t="shared" ca="1" si="43"/>
        <v>277319.84003359766</v>
      </c>
      <c r="K71" s="7">
        <f t="shared" ca="1" si="43"/>
        <v>285639.43523460563</v>
      </c>
      <c r="L71" s="7">
        <f t="shared" ca="1" si="43"/>
        <v>294208.6182916438</v>
      </c>
      <c r="M71" s="7">
        <f t="shared" ca="1" si="43"/>
        <v>303034.87684039312</v>
      </c>
      <c r="N71" s="7">
        <f t="shared" ca="1" si="43"/>
        <v>312125.9231456049</v>
      </c>
      <c r="O71" s="7">
        <f t="shared" ca="1" si="43"/>
        <v>321489.70083997305</v>
      </c>
      <c r="P71" s="7">
        <f t="shared" ca="1" si="43"/>
        <v>331134.39186517225</v>
      </c>
      <c r="Q71" s="7">
        <f t="shared" ca="1" si="43"/>
        <v>341068.42362112744</v>
      </c>
      <c r="R71" s="7">
        <f t="shared" ca="1" si="43"/>
        <v>351300.47632976127</v>
      </c>
      <c r="S71" s="7">
        <f t="shared" ca="1" si="43"/>
        <v>361839.49061965413</v>
      </c>
      <c r="T71" s="7">
        <f t="shared" ca="1" si="44"/>
        <v>372694.67533824377</v>
      </c>
      <c r="U71" s="7">
        <f t="shared" ca="1" si="44"/>
        <v>383875.51559839112</v>
      </c>
      <c r="V71" s="7">
        <f t="shared" ca="1" si="44"/>
        <v>395391.7810663429</v>
      </c>
      <c r="W71" s="7">
        <f t="shared" ca="1" si="44"/>
        <v>407253.53449833317</v>
      </c>
      <c r="X71" s="7">
        <f t="shared" ca="1" si="44"/>
        <v>419471.14053328318</v>
      </c>
      <c r="Y71" s="7">
        <f t="shared" ca="1" si="44"/>
        <v>432055.2747492817</v>
      </c>
      <c r="Z71" s="7">
        <f t="shared" ca="1" si="44"/>
        <v>445016.93299176014</v>
      </c>
      <c r="AA71" s="7">
        <f t="shared" ca="1" si="44"/>
        <v>458367.44098151295</v>
      </c>
      <c r="AB71" s="7">
        <f t="shared" ca="1" si="44"/>
        <v>472118.46421095834</v>
      </c>
      <c r="AC71" s="7">
        <f t="shared" ca="1" si="44"/>
        <v>486282.01813728712</v>
      </c>
      <c r="AD71" s="7">
        <f t="shared" ca="1" si="44"/>
        <v>500870.47868140572</v>
      </c>
      <c r="AE71" s="7">
        <f t="shared" ca="1" si="44"/>
        <v>515896.59304184793</v>
      </c>
      <c r="AF71" s="7">
        <f t="shared" ca="1" si="44"/>
        <v>531373.49083310342</v>
      </c>
      <c r="AG71" s="7">
        <f t="shared" ca="1" si="44"/>
        <v>547314.69555809652</v>
      </c>
      <c r="AH71" s="7">
        <f t="shared" ca="1" si="44"/>
        <v>563734.13642483938</v>
      </c>
      <c r="AI71" s="7">
        <f t="shared" ca="1" si="44"/>
        <v>580646.16051758453</v>
      </c>
      <c r="AJ71" s="7">
        <f t="shared" ca="1" si="45"/>
        <v>598065.54533311212</v>
      </c>
      <c r="AK71" s="7">
        <f t="shared" ca="1" si="45"/>
        <v>616007.51169310545</v>
      </c>
      <c r="AL71" s="7">
        <f t="shared" ca="1" si="45"/>
        <v>634487.73704389867</v>
      </c>
      <c r="AM71" s="7">
        <f t="shared" ca="1" si="45"/>
        <v>653522.36915521568</v>
      </c>
    </row>
    <row r="72" spans="1:39" x14ac:dyDescent="0.2">
      <c r="A72" s="3" t="str">
        <f>TEXT(Inputs!$B$75,"")</f>
        <v>Gudja</v>
      </c>
      <c r="C72" s="7">
        <f ca="1">Inputs!B76*(1+princ)^ProRate</f>
        <v>81995.057403059982</v>
      </c>
      <c r="D72" s="7">
        <f t="shared" ca="1" si="43"/>
        <v>84454.909125151782</v>
      </c>
      <c r="E72" s="7">
        <f t="shared" ca="1" si="43"/>
        <v>86988.556398906338</v>
      </c>
      <c r="F72" s="7">
        <f t="shared" ca="1" si="43"/>
        <v>89598.213090873527</v>
      </c>
      <c r="G72" s="7">
        <f t="shared" ca="1" si="43"/>
        <v>92286.159483599738</v>
      </c>
      <c r="H72" s="7">
        <f t="shared" ca="1" si="43"/>
        <v>95054.744268107737</v>
      </c>
      <c r="I72" s="7">
        <f t="shared" ca="1" si="43"/>
        <v>97906.386596150973</v>
      </c>
      <c r="J72" s="7">
        <f t="shared" ca="1" si="43"/>
        <v>100843.57819403551</v>
      </c>
      <c r="K72" s="7">
        <f t="shared" ca="1" si="43"/>
        <v>103868.88553985658</v>
      </c>
      <c r="L72" s="7">
        <f t="shared" ca="1" si="43"/>
        <v>106984.95210605228</v>
      </c>
      <c r="M72" s="7">
        <f t="shared" ca="1" si="43"/>
        <v>110194.50066923385</v>
      </c>
      <c r="N72" s="7">
        <f t="shared" ca="1" si="43"/>
        <v>113500.33568931087</v>
      </c>
      <c r="O72" s="7">
        <f t="shared" ca="1" si="43"/>
        <v>116905.3457599902</v>
      </c>
      <c r="P72" s="7">
        <f t="shared" ca="1" si="43"/>
        <v>120412.50613278992</v>
      </c>
      <c r="Q72" s="7">
        <f t="shared" ca="1" si="43"/>
        <v>124024.88131677362</v>
      </c>
      <c r="R72" s="7">
        <f t="shared" ca="1" si="43"/>
        <v>127745.62775627684</v>
      </c>
      <c r="S72" s="7">
        <f t="shared" ca="1" si="43"/>
        <v>131577.99658896515</v>
      </c>
      <c r="T72" s="7">
        <f t="shared" ca="1" si="44"/>
        <v>135525.3364866341</v>
      </c>
      <c r="U72" s="7">
        <f t="shared" ca="1" si="44"/>
        <v>139591.09658123311</v>
      </c>
      <c r="V72" s="7">
        <f t="shared" ca="1" si="44"/>
        <v>143778.82947867012</v>
      </c>
      <c r="W72" s="7">
        <f t="shared" ca="1" si="44"/>
        <v>148092.19436303023</v>
      </c>
      <c r="X72" s="7">
        <f t="shared" ca="1" si="44"/>
        <v>152534.96019392114</v>
      </c>
      <c r="Y72" s="7">
        <f t="shared" ca="1" si="44"/>
        <v>157111.00899973878</v>
      </c>
      <c r="Z72" s="7">
        <f t="shared" ca="1" si="44"/>
        <v>161824.33926973096</v>
      </c>
      <c r="AA72" s="7">
        <f t="shared" ca="1" si="44"/>
        <v>166679.0694478229</v>
      </c>
      <c r="AB72" s="7">
        <f t="shared" ca="1" si="44"/>
        <v>171679.44153125759</v>
      </c>
      <c r="AC72" s="7">
        <f t="shared" ca="1" si="44"/>
        <v>176829.82477719532</v>
      </c>
      <c r="AD72" s="7">
        <f t="shared" ca="1" si="44"/>
        <v>182134.71952051119</v>
      </c>
      <c r="AE72" s="7">
        <f t="shared" ca="1" si="44"/>
        <v>187598.76110612653</v>
      </c>
      <c r="AF72" s="7">
        <f t="shared" ca="1" si="44"/>
        <v>193226.72393931032</v>
      </c>
      <c r="AG72" s="7">
        <f t="shared" ca="1" si="44"/>
        <v>199023.52565748963</v>
      </c>
      <c r="AH72" s="7">
        <f t="shared" ca="1" si="44"/>
        <v>204994.23142721434</v>
      </c>
      <c r="AI72" s="7">
        <f t="shared" ca="1" si="44"/>
        <v>211144.05837003078</v>
      </c>
      <c r="AJ72" s="7">
        <f t="shared" ca="1" si="45"/>
        <v>217478.38012113172</v>
      </c>
      <c r="AK72" s="7">
        <f t="shared" ca="1" si="45"/>
        <v>224002.73152476567</v>
      </c>
      <c r="AL72" s="7">
        <f t="shared" ca="1" si="45"/>
        <v>230722.81347050864</v>
      </c>
      <c r="AM72" s="7">
        <f t="shared" ca="1" si="45"/>
        <v>237644.49787462392</v>
      </c>
    </row>
    <row r="73" spans="1:39" x14ac:dyDescent="0.2">
      <c r="A73" s="3" t="str">
        <f>TEXT(Inputs!$B$80,"")</f>
        <v>Marsa</v>
      </c>
      <c r="C73" s="7">
        <f ca="1">Inputs!B81*(1+princ)^ProRate</f>
        <v>122992.58610458997</v>
      </c>
      <c r="D73" s="7">
        <f t="shared" ca="1" si="43"/>
        <v>126682.36368772767</v>
      </c>
      <c r="E73" s="7">
        <f t="shared" ca="1" si="43"/>
        <v>130482.83459835951</v>
      </c>
      <c r="F73" s="7">
        <f t="shared" ca="1" si="43"/>
        <v>134397.31963631031</v>
      </c>
      <c r="G73" s="7">
        <f t="shared" ca="1" si="43"/>
        <v>138429.23922539962</v>
      </c>
      <c r="H73" s="7">
        <f t="shared" ca="1" si="43"/>
        <v>142582.11640216163</v>
      </c>
      <c r="I73" s="7">
        <f t="shared" ca="1" si="43"/>
        <v>146859.57989422648</v>
      </c>
      <c r="J73" s="7">
        <f t="shared" ca="1" si="43"/>
        <v>151265.36729105329</v>
      </c>
      <c r="K73" s="7">
        <f t="shared" ca="1" si="43"/>
        <v>155803.32830978491</v>
      </c>
      <c r="L73" s="7">
        <f t="shared" ca="1" si="43"/>
        <v>160477.42815907847</v>
      </c>
      <c r="M73" s="7">
        <f t="shared" ca="1" si="43"/>
        <v>165291.75100385083</v>
      </c>
      <c r="N73" s="7">
        <f t="shared" ca="1" si="43"/>
        <v>170250.50353396637</v>
      </c>
      <c r="O73" s="7">
        <f t="shared" ca="1" si="43"/>
        <v>175358.01863998536</v>
      </c>
      <c r="P73" s="7">
        <f t="shared" ca="1" si="43"/>
        <v>180618.75919918492</v>
      </c>
      <c r="Q73" s="7">
        <f t="shared" ca="1" si="43"/>
        <v>186037.32197516048</v>
      </c>
      <c r="R73" s="7">
        <f t="shared" ca="1" si="43"/>
        <v>191618.4416344153</v>
      </c>
      <c r="S73" s="7">
        <f t="shared" ca="1" si="43"/>
        <v>197366.99488344777</v>
      </c>
      <c r="T73" s="7">
        <f t="shared" ca="1" si="44"/>
        <v>203288.00472995121</v>
      </c>
      <c r="U73" s="7">
        <f t="shared" ca="1" si="44"/>
        <v>209386.64487184974</v>
      </c>
      <c r="V73" s="7">
        <f t="shared" ca="1" si="44"/>
        <v>215668.24421800525</v>
      </c>
      <c r="W73" s="7">
        <f t="shared" ca="1" si="44"/>
        <v>222138.29154454541</v>
      </c>
      <c r="X73" s="7">
        <f t="shared" ca="1" si="44"/>
        <v>228802.44029088179</v>
      </c>
      <c r="Y73" s="7">
        <f t="shared" ca="1" si="44"/>
        <v>235666.51349960823</v>
      </c>
      <c r="Z73" s="7">
        <f t="shared" ca="1" si="44"/>
        <v>242736.5089045965</v>
      </c>
      <c r="AA73" s="7">
        <f t="shared" ca="1" si="44"/>
        <v>250018.60417173439</v>
      </c>
      <c r="AB73" s="7">
        <f t="shared" ca="1" si="44"/>
        <v>257519.16229688644</v>
      </c>
      <c r="AC73" s="7">
        <f t="shared" ca="1" si="44"/>
        <v>265244.73716579302</v>
      </c>
      <c r="AD73" s="7">
        <f t="shared" ca="1" si="44"/>
        <v>273202.07928076683</v>
      </c>
      <c r="AE73" s="7">
        <f t="shared" ca="1" si="44"/>
        <v>281398.14165918983</v>
      </c>
      <c r="AF73" s="7">
        <f t="shared" ca="1" si="44"/>
        <v>289840.08590896556</v>
      </c>
      <c r="AG73" s="7">
        <f t="shared" ca="1" si="44"/>
        <v>298535.28848623455</v>
      </c>
      <c r="AH73" s="7">
        <f t="shared" ca="1" si="44"/>
        <v>307491.34714082157</v>
      </c>
      <c r="AI73" s="7">
        <f t="shared" ca="1" si="44"/>
        <v>316716.08755504625</v>
      </c>
      <c r="AJ73" s="7">
        <f t="shared" ca="1" si="45"/>
        <v>326217.57018169767</v>
      </c>
      <c r="AK73" s="7">
        <f t="shared" ca="1" si="45"/>
        <v>336004.09728714859</v>
      </c>
      <c r="AL73" s="7">
        <f t="shared" ca="1" si="45"/>
        <v>346084.22020576306</v>
      </c>
      <c r="AM73" s="7">
        <f t="shared" ca="1" si="45"/>
        <v>356466.74681193597</v>
      </c>
    </row>
    <row r="74" spans="1:39" x14ac:dyDescent="0.2">
      <c r="A74" s="4" t="s">
        <v>194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">
      <c r="A75" s="3" t="str">
        <f>TEXT(Inputs!$B$87,"")</f>
        <v>Jewelry</v>
      </c>
      <c r="C75" s="7">
        <f ca="1">Inputs!B88*(1+A1inc)^ProRate</f>
        <v>50831.955131348885</v>
      </c>
      <c r="D75" s="7">
        <f t="shared" ref="D75:AM75" ca="1" si="46">C75*(1+A1inc)</f>
        <v>51848.594233975862</v>
      </c>
      <c r="E75" s="7">
        <f t="shared" ca="1" si="46"/>
        <v>52885.566118655377</v>
      </c>
      <c r="F75" s="7">
        <f t="shared" ca="1" si="46"/>
        <v>53943.277441028484</v>
      </c>
      <c r="G75" s="7">
        <f t="shared" ca="1" si="46"/>
        <v>55022.142989849053</v>
      </c>
      <c r="H75" s="7">
        <f t="shared" ca="1" si="46"/>
        <v>56122.585849646035</v>
      </c>
      <c r="I75" s="7">
        <f t="shared" ca="1" si="46"/>
        <v>57245.037566638959</v>
      </c>
      <c r="J75" s="7">
        <f t="shared" ca="1" si="46"/>
        <v>58389.938317971741</v>
      </c>
      <c r="K75" s="7">
        <f t="shared" ca="1" si="46"/>
        <v>59557.73708433118</v>
      </c>
      <c r="L75" s="7">
        <f t="shared" ca="1" si="46"/>
        <v>60748.891826017803</v>
      </c>
      <c r="M75" s="7">
        <f t="shared" ca="1" si="46"/>
        <v>61963.869662538164</v>
      </c>
      <c r="N75" s="7">
        <f t="shared" ca="1" si="46"/>
        <v>63203.147055788926</v>
      </c>
      <c r="O75" s="7">
        <f t="shared" ca="1" si="46"/>
        <v>64467.209996904705</v>
      </c>
      <c r="P75" s="7">
        <f t="shared" ca="1" si="46"/>
        <v>65756.554196842801</v>
      </c>
      <c r="Q75" s="7">
        <f t="shared" ca="1" si="46"/>
        <v>67071.685280779653</v>
      </c>
      <c r="R75" s="7">
        <f t="shared" ca="1" si="46"/>
        <v>68413.118986395246</v>
      </c>
      <c r="S75" s="7">
        <f t="shared" ca="1" si="46"/>
        <v>69781.381366123154</v>
      </c>
      <c r="T75" s="7">
        <f t="shared" ca="1" si="46"/>
        <v>71177.008993445619</v>
      </c>
      <c r="U75" s="7">
        <f t="shared" ca="1" si="46"/>
        <v>72600.549173314532</v>
      </c>
      <c r="V75" s="7">
        <f t="shared" ca="1" si="46"/>
        <v>74052.560156780819</v>
      </c>
      <c r="W75" s="7">
        <f t="shared" ca="1" si="46"/>
        <v>75533.611359916438</v>
      </c>
      <c r="X75" s="7">
        <f t="shared" ca="1" si="46"/>
        <v>77044.283587114769</v>
      </c>
      <c r="Y75" s="7">
        <f t="shared" ca="1" si="46"/>
        <v>78585.169258857059</v>
      </c>
      <c r="Z75" s="7">
        <f t="shared" ca="1" si="46"/>
        <v>80156.8726440342</v>
      </c>
      <c r="AA75" s="7">
        <f t="shared" ca="1" si="46"/>
        <v>81760.010096914892</v>
      </c>
      <c r="AB75" s="7">
        <f t="shared" ca="1" si="46"/>
        <v>83395.210298853184</v>
      </c>
      <c r="AC75" s="7">
        <f t="shared" ca="1" si="46"/>
        <v>85063.114504830242</v>
      </c>
      <c r="AD75" s="7">
        <f t="shared" ca="1" si="46"/>
        <v>86764.376794926851</v>
      </c>
      <c r="AE75" s="7">
        <f t="shared" ca="1" si="46"/>
        <v>88499.664330825384</v>
      </c>
      <c r="AF75" s="7">
        <f t="shared" ca="1" si="46"/>
        <v>90269.657617441888</v>
      </c>
      <c r="AG75" s="7">
        <f t="shared" ca="1" si="46"/>
        <v>92075.050769790731</v>
      </c>
      <c r="AH75" s="7">
        <f t="shared" ca="1" si="46"/>
        <v>93916.551785186544</v>
      </c>
      <c r="AI75" s="7">
        <f t="shared" ca="1" si="46"/>
        <v>95794.882820890271</v>
      </c>
      <c r="AJ75" s="7">
        <f t="shared" ca="1" si="46"/>
        <v>97710.780477308072</v>
      </c>
      <c r="AK75" s="7">
        <f t="shared" ca="1" si="46"/>
        <v>99664.99608685424</v>
      </c>
      <c r="AL75" s="7">
        <f t="shared" ca="1" si="46"/>
        <v>101658.29600859132</v>
      </c>
      <c r="AM75" s="7">
        <f t="shared" ca="1" si="46"/>
        <v>103691.46192876315</v>
      </c>
    </row>
    <row r="76" spans="1:39" x14ac:dyDescent="0.2">
      <c r="A76" s="3" t="str">
        <f>TEXT(Inputs!$B$92,"")</f>
        <v>Car</v>
      </c>
      <c r="C76" s="7">
        <f ca="1">Inputs!B93*(1+A2inc)^ProRate</f>
        <v>38326.250080955608</v>
      </c>
      <c r="D76" s="7">
        <f t="shared" ref="D76:AM76" ca="1" si="47">C76*(1+A2inc)</f>
        <v>36409.937576907825</v>
      </c>
      <c r="E76" s="7">
        <f t="shared" ca="1" si="47"/>
        <v>34589.440698062434</v>
      </c>
      <c r="F76" s="7">
        <f t="shared" ca="1" si="47"/>
        <v>32859.968663159307</v>
      </c>
      <c r="G76" s="7">
        <f t="shared" ca="1" si="47"/>
        <v>31216.970230001341</v>
      </c>
      <c r="H76" s="7">
        <f t="shared" ca="1" si="47"/>
        <v>29656.121718501272</v>
      </c>
      <c r="I76" s="7">
        <f t="shared" ca="1" si="47"/>
        <v>28173.315632576207</v>
      </c>
      <c r="J76" s="7">
        <f t="shared" ca="1" si="47"/>
        <v>26764.649850947397</v>
      </c>
      <c r="K76" s="7">
        <f t="shared" ca="1" si="47"/>
        <v>25426.417358400027</v>
      </c>
      <c r="L76" s="7">
        <f t="shared" ca="1" si="47"/>
        <v>24155.096490480024</v>
      </c>
      <c r="M76" s="7">
        <f t="shared" ca="1" si="47"/>
        <v>22947.341665956021</v>
      </c>
      <c r="N76" s="7">
        <f t="shared" ca="1" si="47"/>
        <v>21799.974582658218</v>
      </c>
      <c r="O76" s="7">
        <f t="shared" ca="1" si="47"/>
        <v>20709.975853525306</v>
      </c>
      <c r="P76" s="7">
        <f t="shared" ca="1" si="47"/>
        <v>19674.47706084904</v>
      </c>
      <c r="Q76" s="7">
        <f t="shared" ca="1" si="47"/>
        <v>18690.753207806589</v>
      </c>
      <c r="R76" s="7">
        <f t="shared" ca="1" si="47"/>
        <v>17756.215547416257</v>
      </c>
      <c r="S76" s="7">
        <f t="shared" ca="1" si="47"/>
        <v>16868.404770045443</v>
      </c>
      <c r="T76" s="7">
        <f t="shared" ca="1" si="47"/>
        <v>16024.98453154317</v>
      </c>
      <c r="U76" s="7">
        <f t="shared" ca="1" si="47"/>
        <v>15223.735304966011</v>
      </c>
      <c r="V76" s="7">
        <f t="shared" ca="1" si="47"/>
        <v>14462.548539717709</v>
      </c>
      <c r="W76" s="7">
        <f t="shared" ca="1" si="47"/>
        <v>13739.421112731823</v>
      </c>
      <c r="X76" s="7">
        <f t="shared" ca="1" si="47"/>
        <v>13052.450057095231</v>
      </c>
      <c r="Y76" s="7">
        <f t="shared" ca="1" si="47"/>
        <v>12399.82755424047</v>
      </c>
      <c r="Z76" s="7">
        <f t="shared" ca="1" si="47"/>
        <v>11779.836176528446</v>
      </c>
      <c r="AA76" s="7">
        <f t="shared" ca="1" si="47"/>
        <v>11190.844367702024</v>
      </c>
      <c r="AB76" s="7">
        <f t="shared" ca="1" si="47"/>
        <v>10631.302149316922</v>
      </c>
      <c r="AC76" s="7">
        <f t="shared" ca="1" si="47"/>
        <v>10099.737041851075</v>
      </c>
      <c r="AD76" s="7">
        <f t="shared" ca="1" si="47"/>
        <v>9594.7501897585207</v>
      </c>
      <c r="AE76" s="7">
        <f t="shared" ca="1" si="47"/>
        <v>9115.0126802705945</v>
      </c>
      <c r="AF76" s="7">
        <f t="shared" ca="1" si="47"/>
        <v>8659.2620462570649</v>
      </c>
      <c r="AG76" s="7">
        <f t="shared" ca="1" si="47"/>
        <v>8226.2989439442117</v>
      </c>
      <c r="AH76" s="7">
        <f t="shared" ca="1" si="47"/>
        <v>7814.9839967470007</v>
      </c>
      <c r="AI76" s="7">
        <f t="shared" ca="1" si="47"/>
        <v>7424.23479690965</v>
      </c>
      <c r="AJ76" s="7">
        <f t="shared" ca="1" si="47"/>
        <v>7053.023057064167</v>
      </c>
      <c r="AK76" s="7">
        <f t="shared" ca="1" si="47"/>
        <v>6700.3719042109587</v>
      </c>
      <c r="AL76" s="7">
        <f t="shared" ca="1" si="47"/>
        <v>6365.3533090004103</v>
      </c>
      <c r="AM76" s="7">
        <f t="shared" ca="1" si="47"/>
        <v>6047.0856435503892</v>
      </c>
    </row>
    <row r="77" spans="1:39" x14ac:dyDescent="0.2">
      <c r="A77" s="3" t="str">
        <f>TEXT(Inputs!$B$97,"")</f>
        <v>Painting</v>
      </c>
      <c r="C77" s="7">
        <f ca="1">Inputs!B98*(1+A3inc)^ProRate</f>
        <v>20498.764350764995</v>
      </c>
      <c r="D77" s="7">
        <f t="shared" ref="D77:AM77" ca="1" si="48">C77*(1+A3inc)</f>
        <v>21113.727281287946</v>
      </c>
      <c r="E77" s="7">
        <f t="shared" ca="1" si="48"/>
        <v>21747.139099726584</v>
      </c>
      <c r="F77" s="7">
        <f t="shared" ca="1" si="48"/>
        <v>22399.553272718382</v>
      </c>
      <c r="G77" s="7">
        <f t="shared" ca="1" si="48"/>
        <v>23071.539870899935</v>
      </c>
      <c r="H77" s="7">
        <f t="shared" ca="1" si="48"/>
        <v>23763.686067026934</v>
      </c>
      <c r="I77" s="7">
        <f t="shared" ca="1" si="48"/>
        <v>24476.596649037743</v>
      </c>
      <c r="J77" s="7">
        <f t="shared" ca="1" si="48"/>
        <v>25210.894548508877</v>
      </c>
      <c r="K77" s="7">
        <f t="shared" ca="1" si="48"/>
        <v>25967.221384964145</v>
      </c>
      <c r="L77" s="7">
        <f t="shared" ca="1" si="48"/>
        <v>26746.238026513071</v>
      </c>
      <c r="M77" s="7">
        <f t="shared" ca="1" si="48"/>
        <v>27548.625167308463</v>
      </c>
      <c r="N77" s="7">
        <f t="shared" ca="1" si="48"/>
        <v>28375.083922327718</v>
      </c>
      <c r="O77" s="7">
        <f t="shared" ca="1" si="48"/>
        <v>29226.336439997551</v>
      </c>
      <c r="P77" s="7">
        <f t="shared" ca="1" si="48"/>
        <v>30103.126533197479</v>
      </c>
      <c r="Q77" s="7">
        <f t="shared" ca="1" si="48"/>
        <v>31006.220329193406</v>
      </c>
      <c r="R77" s="7">
        <f t="shared" ca="1" si="48"/>
        <v>31936.406939069209</v>
      </c>
      <c r="S77" s="7">
        <f t="shared" ca="1" si="48"/>
        <v>32894.499147241288</v>
      </c>
      <c r="T77" s="7">
        <f t="shared" ca="1" si="48"/>
        <v>33881.334121658525</v>
      </c>
      <c r="U77" s="7">
        <f t="shared" ca="1" si="48"/>
        <v>34897.774145308278</v>
      </c>
      <c r="V77" s="7">
        <f t="shared" ca="1" si="48"/>
        <v>35944.707369667529</v>
      </c>
      <c r="W77" s="7">
        <f t="shared" ca="1" si="48"/>
        <v>37023.048590757557</v>
      </c>
      <c r="X77" s="7">
        <f t="shared" ca="1" si="48"/>
        <v>38133.740048480286</v>
      </c>
      <c r="Y77" s="7">
        <f t="shared" ca="1" si="48"/>
        <v>39277.752249934696</v>
      </c>
      <c r="Z77" s="7">
        <f t="shared" ca="1" si="48"/>
        <v>40456.08481743274</v>
      </c>
      <c r="AA77" s="7">
        <f t="shared" ca="1" si="48"/>
        <v>41669.767361955724</v>
      </c>
      <c r="AB77" s="7">
        <f t="shared" ca="1" si="48"/>
        <v>42919.860382814397</v>
      </c>
      <c r="AC77" s="7">
        <f t="shared" ca="1" si="48"/>
        <v>44207.456194298829</v>
      </c>
      <c r="AD77" s="7">
        <f t="shared" ca="1" si="48"/>
        <v>45533.679880127798</v>
      </c>
      <c r="AE77" s="7">
        <f t="shared" ca="1" si="48"/>
        <v>46899.690276531634</v>
      </c>
      <c r="AF77" s="7">
        <f t="shared" ca="1" si="48"/>
        <v>48306.680984827581</v>
      </c>
      <c r="AG77" s="7">
        <f t="shared" ca="1" si="48"/>
        <v>49755.881414372408</v>
      </c>
      <c r="AH77" s="7">
        <f t="shared" ca="1" si="48"/>
        <v>51248.557856803585</v>
      </c>
      <c r="AI77" s="7">
        <f t="shared" ca="1" si="48"/>
        <v>52786.014592507694</v>
      </c>
      <c r="AJ77" s="7">
        <f t="shared" ca="1" si="48"/>
        <v>54369.59503028293</v>
      </c>
      <c r="AK77" s="7">
        <f t="shared" ca="1" si="48"/>
        <v>56000.682881191417</v>
      </c>
      <c r="AL77" s="7">
        <f t="shared" ca="1" si="48"/>
        <v>57680.70336762716</v>
      </c>
      <c r="AM77" s="7">
        <f t="shared" ca="1" si="48"/>
        <v>59411.12446865598</v>
      </c>
    </row>
    <row r="78" spans="1:39" x14ac:dyDescent="0.2">
      <c r="A78" s="3" t="str">
        <f>TEXT(Inputs!$B$102,"")</f>
        <v>Boat</v>
      </c>
      <c r="C78" s="7">
        <f ca="1">Inputs!B103*(1+A4inc)^ProRate</f>
        <v>172468.12536430024</v>
      </c>
      <c r="D78" s="7">
        <f t="shared" ref="D78:AM78" ca="1" si="49">C78*(1+A4inc)</f>
        <v>163844.71909608523</v>
      </c>
      <c r="E78" s="7">
        <f t="shared" ca="1" si="49"/>
        <v>155652.48314128097</v>
      </c>
      <c r="F78" s="7">
        <f t="shared" ca="1" si="49"/>
        <v>147869.85898421693</v>
      </c>
      <c r="G78" s="7">
        <f t="shared" ca="1" si="49"/>
        <v>140476.36603500607</v>
      </c>
      <c r="H78" s="7">
        <f t="shared" ca="1" si="49"/>
        <v>133452.54773325575</v>
      </c>
      <c r="I78" s="7">
        <f t="shared" ca="1" si="49"/>
        <v>126779.92034659296</v>
      </c>
      <c r="J78" s="7">
        <f t="shared" ca="1" si="49"/>
        <v>120440.9243292633</v>
      </c>
      <c r="K78" s="7">
        <f t="shared" ca="1" si="49"/>
        <v>114418.87811280013</v>
      </c>
      <c r="L78" s="7">
        <f t="shared" ca="1" si="49"/>
        <v>108697.93420716011</v>
      </c>
      <c r="M78" s="7">
        <f t="shared" ca="1" si="49"/>
        <v>103263.03749680211</v>
      </c>
      <c r="N78" s="7">
        <f t="shared" ca="1" si="49"/>
        <v>98099.885621961992</v>
      </c>
      <c r="O78" s="7">
        <f t="shared" ca="1" si="49"/>
        <v>93194.891340863891</v>
      </c>
      <c r="P78" s="7">
        <f t="shared" ca="1" si="49"/>
        <v>88535.146773820699</v>
      </c>
      <c r="Q78" s="7">
        <f t="shared" ca="1" si="49"/>
        <v>84108.389435129662</v>
      </c>
      <c r="R78" s="7">
        <f t="shared" ca="1" si="49"/>
        <v>79902.96996337318</v>
      </c>
      <c r="S78" s="7">
        <f t="shared" ca="1" si="49"/>
        <v>75907.821465204514</v>
      </c>
      <c r="T78" s="7">
        <f t="shared" ca="1" si="49"/>
        <v>72112.43039194429</v>
      </c>
      <c r="U78" s="7">
        <f t="shared" ca="1" si="49"/>
        <v>68506.808872347072</v>
      </c>
      <c r="V78" s="7">
        <f t="shared" ca="1" si="49"/>
        <v>65081.468428729713</v>
      </c>
      <c r="W78" s="7">
        <f t="shared" ca="1" si="49"/>
        <v>61827.395007293228</v>
      </c>
      <c r="X78" s="7">
        <f t="shared" ca="1" si="49"/>
        <v>58736.025256928566</v>
      </c>
      <c r="Y78" s="7">
        <f t="shared" ca="1" si="49"/>
        <v>55799.223994082138</v>
      </c>
      <c r="Z78" s="7">
        <f t="shared" ca="1" si="49"/>
        <v>53009.262794378032</v>
      </c>
      <c r="AA78" s="7">
        <f t="shared" ca="1" si="49"/>
        <v>50358.799654659131</v>
      </c>
      <c r="AB78" s="7">
        <f t="shared" ca="1" si="49"/>
        <v>47840.85967192617</v>
      </c>
      <c r="AC78" s="7">
        <f t="shared" ca="1" si="49"/>
        <v>45448.816688329862</v>
      </c>
      <c r="AD78" s="7">
        <f t="shared" ca="1" si="49"/>
        <v>43176.375853913363</v>
      </c>
      <c r="AE78" s="7">
        <f t="shared" ca="1" si="49"/>
        <v>41017.557061217696</v>
      </c>
      <c r="AF78" s="7">
        <f t="shared" ca="1" si="49"/>
        <v>38966.679208156813</v>
      </c>
      <c r="AG78" s="7">
        <f t="shared" ca="1" si="49"/>
        <v>37018.34524774897</v>
      </c>
      <c r="AH78" s="7">
        <f t="shared" ca="1" si="49"/>
        <v>35167.427985361523</v>
      </c>
      <c r="AI78" s="7">
        <f t="shared" ca="1" si="49"/>
        <v>33409.056586093444</v>
      </c>
      <c r="AJ78" s="7">
        <f t="shared" ca="1" si="49"/>
        <v>31738.603756788769</v>
      </c>
      <c r="AK78" s="7">
        <f t="shared" ca="1" si="49"/>
        <v>30151.673568949329</v>
      </c>
      <c r="AL78" s="7">
        <f t="shared" ca="1" si="49"/>
        <v>28644.089890501862</v>
      </c>
      <c r="AM78" s="7">
        <f t="shared" ca="1" si="49"/>
        <v>27211.885395976769</v>
      </c>
    </row>
    <row r="79" spans="1:39" x14ac:dyDescent="0.2">
      <c r="A79" s="3" t="str">
        <f>TEXT(Inputs!$B$107,"")</f>
        <v>Antiques</v>
      </c>
      <c r="C79" s="7">
        <f ca="1">Inputs!B108*(1+A5inc)^ProRate</f>
        <v>83364.406415412173</v>
      </c>
      <c r="D79" s="7">
        <f t="shared" ref="D79:AM79" ca="1" si="50">C79*(1+A5inc)</f>
        <v>85031.694543720412</v>
      </c>
      <c r="E79" s="7">
        <f t="shared" ca="1" si="50"/>
        <v>86732.32843459482</v>
      </c>
      <c r="F79" s="7">
        <f t="shared" ca="1" si="50"/>
        <v>88466.975003286716</v>
      </c>
      <c r="G79" s="7">
        <f t="shared" ca="1" si="50"/>
        <v>90236.314503352449</v>
      </c>
      <c r="H79" s="7">
        <f t="shared" ca="1" si="50"/>
        <v>92041.040793419495</v>
      </c>
      <c r="I79" s="7">
        <f t="shared" ca="1" si="50"/>
        <v>93881.86160928788</v>
      </c>
      <c r="J79" s="7">
        <f t="shared" ca="1" si="50"/>
        <v>95759.498841473644</v>
      </c>
      <c r="K79" s="7">
        <f t="shared" ca="1" si="50"/>
        <v>97674.688818303111</v>
      </c>
      <c r="L79" s="7">
        <f t="shared" ca="1" si="50"/>
        <v>99628.182594669182</v>
      </c>
      <c r="M79" s="7">
        <f t="shared" ca="1" si="50"/>
        <v>101620.74624656257</v>
      </c>
      <c r="N79" s="7">
        <f t="shared" ca="1" si="50"/>
        <v>103653.16117149382</v>
      </c>
      <c r="O79" s="7">
        <f t="shared" ca="1" si="50"/>
        <v>105726.2243949237</v>
      </c>
      <c r="P79" s="7">
        <f t="shared" ca="1" si="50"/>
        <v>107840.74888282218</v>
      </c>
      <c r="Q79" s="7">
        <f t="shared" ca="1" si="50"/>
        <v>109997.56386047862</v>
      </c>
      <c r="R79" s="7">
        <f t="shared" ca="1" si="50"/>
        <v>112197.5151376882</v>
      </c>
      <c r="S79" s="7">
        <f t="shared" ca="1" si="50"/>
        <v>114441.46544044197</v>
      </c>
      <c r="T79" s="7">
        <f t="shared" ca="1" si="50"/>
        <v>116730.29474925081</v>
      </c>
      <c r="U79" s="7">
        <f t="shared" ca="1" si="50"/>
        <v>119064.90064423582</v>
      </c>
      <c r="V79" s="7">
        <f t="shared" ca="1" si="50"/>
        <v>121446.19865712053</v>
      </c>
      <c r="W79" s="7">
        <f t="shared" ca="1" si="50"/>
        <v>123875.12263026295</v>
      </c>
      <c r="X79" s="7">
        <f t="shared" ca="1" si="50"/>
        <v>126352.62508286821</v>
      </c>
      <c r="Y79" s="7">
        <f t="shared" ca="1" si="50"/>
        <v>128879.67758452558</v>
      </c>
      <c r="Z79" s="7">
        <f t="shared" ca="1" si="50"/>
        <v>131457.27113621609</v>
      </c>
      <c r="AA79" s="7">
        <f t="shared" ca="1" si="50"/>
        <v>134086.41655894043</v>
      </c>
      <c r="AB79" s="7">
        <f t="shared" ca="1" si="50"/>
        <v>136768.14489011923</v>
      </c>
      <c r="AC79" s="7">
        <f t="shared" ca="1" si="50"/>
        <v>139503.50778792161</v>
      </c>
      <c r="AD79" s="7">
        <f t="shared" ca="1" si="50"/>
        <v>142293.57794368005</v>
      </c>
      <c r="AE79" s="7">
        <f t="shared" ca="1" si="50"/>
        <v>145139.44950255365</v>
      </c>
      <c r="AF79" s="7">
        <f t="shared" ca="1" si="50"/>
        <v>148042.23849260472</v>
      </c>
      <c r="AG79" s="7">
        <f t="shared" ca="1" si="50"/>
        <v>151003.08326245681</v>
      </c>
      <c r="AH79" s="7">
        <f t="shared" ca="1" si="50"/>
        <v>154023.14492770596</v>
      </c>
      <c r="AI79" s="7">
        <f t="shared" ca="1" si="50"/>
        <v>157103.60782626009</v>
      </c>
      <c r="AJ79" s="7">
        <f t="shared" ca="1" si="50"/>
        <v>160245.67998278531</v>
      </c>
      <c r="AK79" s="7">
        <f t="shared" ca="1" si="50"/>
        <v>163450.59358244101</v>
      </c>
      <c r="AL79" s="7">
        <f t="shared" ca="1" si="50"/>
        <v>166719.60545408985</v>
      </c>
      <c r="AM79" s="7">
        <f t="shared" ca="1" si="50"/>
        <v>170053.99756317164</v>
      </c>
    </row>
    <row r="80" spans="1:39" x14ac:dyDescent="0.2">
      <c r="A80" s="4" t="s">
        <v>12</v>
      </c>
      <c r="C80" s="7">
        <f ca="1">Inputs!B10*(1+stinc)^ProRate</f>
        <v>31987.064369139065</v>
      </c>
      <c r="D80" s="7">
        <f ca="1">C80*(1+IF(AND(Inputs!$B$218&lt;&gt;"",D$2=Inputs!$B$218),-Inputs!$B$219,IF(AND(Inputs!$B$218&lt;&gt;"",D$2&gt;Inputs!$B$218,D$2&lt;=Inputs!$B$218+Inputs!$B$220),(1/(1-Inputs!$B$219))^(1/Inputs!$B$220)-1,IF(AND(Inputs!$B$223&lt;&gt;"",D$2=Inputs!$B$223),-Inputs!$B$224,IF(AND(Inputs!$B$223&lt;&gt;"",D$2&gt;Inputs!$B$223,D$2&lt;=Inputs!$B$223+Inputs!$B$225),(1/(1-Inputs!$B$224))^(1/Inputs!$B$225)-1,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stinc)))))))))))</f>
        <v>27189.004713768205</v>
      </c>
      <c r="E80" s="7">
        <f ca="1">D80*(1+IF(AND(Inputs!$B$218&lt;&gt;"",E$2=Inputs!$B$218),-Inputs!$B$219,IF(AND(Inputs!$B$218&lt;&gt;"",E$2&gt;Inputs!$B$218,E$2&lt;=Inputs!$B$218+Inputs!$B$220),(1/(1-Inputs!$B$219))^(1/Inputs!$B$220)-1,IF(AND(Inputs!$B$223&lt;&gt;"",E$2=Inputs!$B$223),-Inputs!$B$224,IF(AND(Inputs!$B$223&lt;&gt;"",E$2&gt;Inputs!$B$223,E$2&lt;=Inputs!$B$223+Inputs!$B$225),(1/(1-Inputs!$B$224))^(1/Inputs!$B$225)-1,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stinc)))))))))))</f>
        <v>31987.064369139065</v>
      </c>
      <c r="F80" s="7">
        <f ca="1">E80*(1+IF(AND(Inputs!$B$218&lt;&gt;"",F$2=Inputs!$B$218),-Inputs!$B$219,IF(AND(Inputs!$B$218&lt;&gt;"",F$2&gt;Inputs!$B$218,F$2&lt;=Inputs!$B$218+Inputs!$B$220),(1/(1-Inputs!$B$219))^(1/Inputs!$B$220)-1,IF(AND(Inputs!$B$223&lt;&gt;"",F$2=Inputs!$B$223),-Inputs!$B$224,IF(AND(Inputs!$B$223&lt;&gt;"",F$2&gt;Inputs!$B$223,F$2&lt;=Inputs!$B$223+Inputs!$B$225),(1/(1-Inputs!$B$224))^(1/Inputs!$B$225)-1,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stinc)))))))))))</f>
        <v>34546.029518670191</v>
      </c>
      <c r="G80" s="7">
        <f ca="1">F80*(1+IF(AND(Inputs!$B$218&lt;&gt;"",G$2=Inputs!$B$218),-Inputs!$B$219,IF(AND(Inputs!$B$218&lt;&gt;"",G$2&gt;Inputs!$B$218,G$2&lt;=Inputs!$B$218+Inputs!$B$220),(1/(1-Inputs!$B$219))^(1/Inputs!$B$220)-1,IF(AND(Inputs!$B$223&lt;&gt;"",G$2=Inputs!$B$223),-Inputs!$B$224,IF(AND(Inputs!$B$223&lt;&gt;"",G$2&gt;Inputs!$B$223,G$2&lt;=Inputs!$B$223+Inputs!$B$225),(1/(1-Inputs!$B$224))^(1/Inputs!$B$225)-1,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stinc)))))))))))</f>
        <v>37309.711880163806</v>
      </c>
      <c r="H80" s="7">
        <f ca="1">G80*(1+IF(AND(Inputs!$B$218&lt;&gt;"",H$2=Inputs!$B$218),-Inputs!$B$219,IF(AND(Inputs!$B$218&lt;&gt;"",H$2&gt;Inputs!$B$218,H$2&lt;=Inputs!$B$218+Inputs!$B$220),(1/(1-Inputs!$B$219))^(1/Inputs!$B$220)-1,IF(AND(Inputs!$B$223&lt;&gt;"",H$2=Inputs!$B$223),-Inputs!$B$224,IF(AND(Inputs!$B$223&lt;&gt;"",H$2&gt;Inputs!$B$223,H$2&lt;=Inputs!$B$223+Inputs!$B$225),(1/(1-Inputs!$B$224))^(1/Inputs!$B$225)-1,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stinc)))))))))))</f>
        <v>40294.488830576913</v>
      </c>
      <c r="I80" s="7">
        <f ca="1">H80*(1+IF(AND(Inputs!$B$218&lt;&gt;"",I$2=Inputs!$B$218),-Inputs!$B$219,IF(AND(Inputs!$B$218&lt;&gt;"",I$2&gt;Inputs!$B$218,I$2&lt;=Inputs!$B$218+Inputs!$B$220),(1/(1-Inputs!$B$219))^(1/Inputs!$B$220)-1,IF(AND(Inputs!$B$223&lt;&gt;"",I$2=Inputs!$B$223),-Inputs!$B$224,IF(AND(Inputs!$B$223&lt;&gt;"",I$2&gt;Inputs!$B$223,I$2&lt;=Inputs!$B$223+Inputs!$B$225),(1/(1-Inputs!$B$224))^(1/Inputs!$B$225)-1,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stinc)))))))))))</f>
        <v>32235.591064461532</v>
      </c>
      <c r="J80" s="7">
        <f ca="1">I80*(1+IF(AND(Inputs!$B$218&lt;&gt;"",J$2=Inputs!$B$218),-Inputs!$B$219,IF(AND(Inputs!$B$218&lt;&gt;"",J$2&gt;Inputs!$B$218,J$2&lt;=Inputs!$B$218+Inputs!$B$220),(1/(1-Inputs!$B$219))^(1/Inputs!$B$220)-1,IF(AND(Inputs!$B$223&lt;&gt;"",J$2=Inputs!$B$223),-Inputs!$B$224,IF(AND(Inputs!$B$223&lt;&gt;"",J$2&gt;Inputs!$B$223,J$2&lt;=Inputs!$B$223+Inputs!$B$225),(1/(1-Inputs!$B$224))^(1/Inputs!$B$225)-1,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stinc)))))))))))</f>
        <v>34724.73782147887</v>
      </c>
      <c r="K80" s="7">
        <f ca="1">J80*(1+IF(AND(Inputs!$B$218&lt;&gt;"",K$2=Inputs!$B$218),-Inputs!$B$219,IF(AND(Inputs!$B$218&lt;&gt;"",K$2&gt;Inputs!$B$218,K$2&lt;=Inputs!$B$218+Inputs!$B$220),(1/(1-Inputs!$B$219))^(1/Inputs!$B$220)-1,IF(AND(Inputs!$B$223&lt;&gt;"",K$2=Inputs!$B$223),-Inputs!$B$224,IF(AND(Inputs!$B$223&lt;&gt;"",K$2&gt;Inputs!$B$223,K$2&lt;=Inputs!$B$223+Inputs!$B$225),(1/(1-Inputs!$B$224))^(1/Inputs!$B$225)-1,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stinc)))))))))))</f>
        <v>37406.089882428132</v>
      </c>
      <c r="L80" s="7">
        <f ca="1">K80*(1+IF(AND(Inputs!$B$218&lt;&gt;"",L$2=Inputs!$B$218),-Inputs!$B$219,IF(AND(Inputs!$B$218&lt;&gt;"",L$2&gt;Inputs!$B$218,L$2&lt;=Inputs!$B$218+Inputs!$B$220),(1/(1-Inputs!$B$219))^(1/Inputs!$B$220)-1,IF(AND(Inputs!$B$223&lt;&gt;"",L$2=Inputs!$B$223),-Inputs!$B$224,IF(AND(Inputs!$B$223&lt;&gt;"",L$2&gt;Inputs!$B$223,L$2&lt;=Inputs!$B$223+Inputs!$B$225),(1/(1-Inputs!$B$224))^(1/Inputs!$B$225)-1,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stinc)))))))))))</f>
        <v>40294.48883057692</v>
      </c>
      <c r="M80" s="7">
        <f ca="1">L80*(1+IF(AND(Inputs!$B$218&lt;&gt;"",M$2=Inputs!$B$218),-Inputs!$B$219,IF(AND(Inputs!$B$218&lt;&gt;"",M$2&gt;Inputs!$B$218,M$2&lt;=Inputs!$B$218+Inputs!$B$220),(1/(1-Inputs!$B$219))^(1/Inputs!$B$220)-1,IF(AND(Inputs!$B$223&lt;&gt;"",M$2=Inputs!$B$223),-Inputs!$B$224,IF(AND(Inputs!$B$223&lt;&gt;"",M$2&gt;Inputs!$B$223,M$2&lt;=Inputs!$B$223+Inputs!$B$225),(1/(1-Inputs!$B$224))^(1/Inputs!$B$225)-1,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stinc)))))))))))</f>
        <v>43518.047937023075</v>
      </c>
      <c r="N80" s="7">
        <f ca="1">M80*(1+IF(AND(Inputs!$B$218&lt;&gt;"",N$2=Inputs!$B$218),-Inputs!$B$219,IF(AND(Inputs!$B$218&lt;&gt;"",N$2&gt;Inputs!$B$218,N$2&lt;=Inputs!$B$218+Inputs!$B$220),(1/(1-Inputs!$B$219))^(1/Inputs!$B$220)-1,IF(AND(Inputs!$B$223&lt;&gt;"",N$2=Inputs!$B$223),-Inputs!$B$224,IF(AND(Inputs!$B$223&lt;&gt;"",N$2&gt;Inputs!$B$223,N$2&lt;=Inputs!$B$223+Inputs!$B$225),(1/(1-Inputs!$B$224))^(1/Inputs!$B$225)-1,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stinc)))))))))))</f>
        <v>40036.604102061232</v>
      </c>
      <c r="O80" s="7">
        <f ca="1">N80*(1+IF(AND(Inputs!$B$218&lt;&gt;"",O$2=Inputs!$B$218),-Inputs!$B$219,IF(AND(Inputs!$B$218&lt;&gt;"",O$2&gt;Inputs!$B$218,O$2&lt;=Inputs!$B$218+Inputs!$B$220),(1/(1-Inputs!$B$219))^(1/Inputs!$B$220)-1,IF(AND(Inputs!$B$223&lt;&gt;"",O$2=Inputs!$B$223),-Inputs!$B$224,IF(AND(Inputs!$B$223&lt;&gt;"",O$2&gt;Inputs!$B$223,O$2&lt;=Inputs!$B$223+Inputs!$B$225),(1/(1-Inputs!$B$224))^(1/Inputs!$B$225)-1,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stinc)))))))))))</f>
        <v>41164.984650000522</v>
      </c>
      <c r="P80" s="7">
        <f ca="1">O80*(1+IF(AND(Inputs!$B$218&lt;&gt;"",P$2=Inputs!$B$218),-Inputs!$B$219,IF(AND(Inputs!$B$218&lt;&gt;"",P$2&gt;Inputs!$B$218,P$2&lt;=Inputs!$B$218+Inputs!$B$220),(1/(1-Inputs!$B$219))^(1/Inputs!$B$220)-1,IF(AND(Inputs!$B$223&lt;&gt;"",P$2=Inputs!$B$223),-Inputs!$B$224,IF(AND(Inputs!$B$223&lt;&gt;"",P$2&gt;Inputs!$B$223,P$2&lt;=Inputs!$B$223+Inputs!$B$225),(1/(1-Inputs!$B$224))^(1/Inputs!$B$225)-1,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stinc)))))))))))</f>
        <v>42325.167162405181</v>
      </c>
      <c r="Q80" s="7">
        <f ca="1">P80*(1+IF(AND(Inputs!$B$218&lt;&gt;"",Q$2=Inputs!$B$218),-Inputs!$B$219,IF(AND(Inputs!$B$218&lt;&gt;"",Q$2&gt;Inputs!$B$218,Q$2&lt;=Inputs!$B$218+Inputs!$B$220),(1/(1-Inputs!$B$219))^(1/Inputs!$B$220)-1,IF(AND(Inputs!$B$223&lt;&gt;"",Q$2=Inputs!$B$223),-Inputs!$B$224,IF(AND(Inputs!$B$223&lt;&gt;"",Q$2&gt;Inputs!$B$223,Q$2&lt;=Inputs!$B$223+Inputs!$B$225),(1/(1-Inputs!$B$224))^(1/Inputs!$B$225)-1,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stinc)))))))))))</f>
        <v>43518.047937023082</v>
      </c>
      <c r="R80" s="7">
        <f ca="1">Q80*(1+IF(AND(Inputs!$B$218&lt;&gt;"",R$2=Inputs!$B$218),-Inputs!$B$219,IF(AND(Inputs!$B$218&lt;&gt;"",R$2&gt;Inputs!$B$218,R$2&lt;=Inputs!$B$218+Inputs!$B$220),(1/(1-Inputs!$B$219))^(1/Inputs!$B$220)-1,IF(AND(Inputs!$B$223&lt;&gt;"",R$2=Inputs!$B$223),-Inputs!$B$224,IF(AND(Inputs!$B$223&lt;&gt;"",R$2&gt;Inputs!$B$223,R$2&lt;=Inputs!$B$223+Inputs!$B$225),(1/(1-Inputs!$B$224))^(1/Inputs!$B$225)-1,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stinc)))))))))))</f>
        <v>46999.491771984933</v>
      </c>
      <c r="S80" s="7">
        <f ca="1">R80*(1+IF(AND(Inputs!$B$218&lt;&gt;"",S$2=Inputs!$B$218),-Inputs!$B$219,IF(AND(Inputs!$B$218&lt;&gt;"",S$2&gt;Inputs!$B$218,S$2&lt;=Inputs!$B$218+Inputs!$B$220),(1/(1-Inputs!$B$219))^(1/Inputs!$B$220)-1,IF(AND(Inputs!$B$223&lt;&gt;"",S$2=Inputs!$B$223),-Inputs!$B$224,IF(AND(Inputs!$B$223&lt;&gt;"",S$2&gt;Inputs!$B$223,S$2&lt;=Inputs!$B$223+Inputs!$B$225),(1/(1-Inputs!$B$224))^(1/Inputs!$B$225)-1,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stinc)))))))))))</f>
        <v>50759.451113743729</v>
      </c>
      <c r="T80" s="7">
        <f ca="1">S80*(1+IF(AND(Inputs!$B$218&lt;&gt;"",T$2=Inputs!$B$218),-Inputs!$B$219,IF(AND(Inputs!$B$218&lt;&gt;"",T$2&gt;Inputs!$B$218,T$2&lt;=Inputs!$B$218+Inputs!$B$220),(1/(1-Inputs!$B$219))^(1/Inputs!$B$220)-1,IF(AND(Inputs!$B$223&lt;&gt;"",T$2=Inputs!$B$223),-Inputs!$B$224,IF(AND(Inputs!$B$223&lt;&gt;"",T$2&gt;Inputs!$B$223,T$2&lt;=Inputs!$B$223+Inputs!$B$225),(1/(1-Inputs!$B$224))^(1/Inputs!$B$225)-1,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stinc)))))))))))</f>
        <v>54820.20720284323</v>
      </c>
      <c r="U80" s="7">
        <f ca="1">T80*(1+IF(AND(Inputs!$B$218&lt;&gt;"",U$2=Inputs!$B$218),-Inputs!$B$219,IF(AND(Inputs!$B$218&lt;&gt;"",U$2&gt;Inputs!$B$218,U$2&lt;=Inputs!$B$218+Inputs!$B$220),(1/(1-Inputs!$B$219))^(1/Inputs!$B$220)-1,IF(AND(Inputs!$B$223&lt;&gt;"",U$2=Inputs!$B$223),-Inputs!$B$224,IF(AND(Inputs!$B$223&lt;&gt;"",U$2&gt;Inputs!$B$223,U$2&lt;=Inputs!$B$223+Inputs!$B$225),(1/(1-Inputs!$B$224))^(1/Inputs!$B$225)-1,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stinc)))))))))))</f>
        <v>59205.823779070692</v>
      </c>
      <c r="V80" s="7">
        <f ca="1">U80*(1+IF(AND(Inputs!$B$218&lt;&gt;"",V$2=Inputs!$B$218),-Inputs!$B$219,IF(AND(Inputs!$B$218&lt;&gt;"",V$2&gt;Inputs!$B$218,V$2&lt;=Inputs!$B$218+Inputs!$B$220),(1/(1-Inputs!$B$219))^(1/Inputs!$B$220)-1,IF(AND(Inputs!$B$223&lt;&gt;"",V$2=Inputs!$B$223),-Inputs!$B$224,IF(AND(Inputs!$B$223&lt;&gt;"",V$2&gt;Inputs!$B$223,V$2&lt;=Inputs!$B$223+Inputs!$B$225),(1/(1-Inputs!$B$224))^(1/Inputs!$B$225)-1,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stinc)))))))))))</f>
        <v>48548.775498837967</v>
      </c>
      <c r="W80" s="7">
        <f ca="1">V80*(1+IF(AND(Inputs!$B$218&lt;&gt;"",W$2=Inputs!$B$218),-Inputs!$B$219,IF(AND(Inputs!$B$218&lt;&gt;"",W$2&gt;Inputs!$B$218,W$2&lt;=Inputs!$B$218+Inputs!$B$220),(1/(1-Inputs!$B$219))^(1/Inputs!$B$220)-1,IF(AND(Inputs!$B$223&lt;&gt;"",W$2=Inputs!$B$223),-Inputs!$B$224,IF(AND(Inputs!$B$223&lt;&gt;"",W$2&gt;Inputs!$B$223,W$2&lt;=Inputs!$B$223+Inputs!$B$225),(1/(1-Inputs!$B$224))^(1/Inputs!$B$225)-1,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stinc)))))))))))</f>
        <v>53613.153674017958</v>
      </c>
      <c r="X80" s="7">
        <f ca="1">W80*(1+IF(AND(Inputs!$B$218&lt;&gt;"",X$2=Inputs!$B$218),-Inputs!$B$219,IF(AND(Inputs!$B$218&lt;&gt;"",X$2&gt;Inputs!$B$218,X$2&lt;=Inputs!$B$218+Inputs!$B$220),(1/(1-Inputs!$B$219))^(1/Inputs!$B$220)-1,IF(AND(Inputs!$B$223&lt;&gt;"",X$2=Inputs!$B$223),-Inputs!$B$224,IF(AND(Inputs!$B$223&lt;&gt;"",X$2&gt;Inputs!$B$223,X$2&lt;=Inputs!$B$223+Inputs!$B$225),(1/(1-Inputs!$B$224))^(1/Inputs!$B$225)-1,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stinc)))))))))))</f>
        <v>59205.823779070692</v>
      </c>
      <c r="Y80" s="7">
        <f ca="1">X80*(1+IF(AND(Inputs!$B$218&lt;&gt;"",Y$2=Inputs!$B$218),-Inputs!$B$219,IF(AND(Inputs!$B$218&lt;&gt;"",Y$2&gt;Inputs!$B$218,Y$2&lt;=Inputs!$B$218+Inputs!$B$220),(1/(1-Inputs!$B$219))^(1/Inputs!$B$220)-1,IF(AND(Inputs!$B$223&lt;&gt;"",Y$2=Inputs!$B$223),-Inputs!$B$224,IF(AND(Inputs!$B$223&lt;&gt;"",Y$2&gt;Inputs!$B$223,Y$2&lt;=Inputs!$B$223+Inputs!$B$225),(1/(1-Inputs!$B$224))^(1/Inputs!$B$225)-1,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stinc)))))))))))</f>
        <v>63942.289681396353</v>
      </c>
      <c r="Z80" s="7">
        <f ca="1">Y80*(1+IF(AND(Inputs!$B$218&lt;&gt;"",Z$2=Inputs!$B$218),-Inputs!$B$219,IF(AND(Inputs!$B$218&lt;&gt;"",Z$2&gt;Inputs!$B$218,Z$2&lt;=Inputs!$B$218+Inputs!$B$220),(1/(1-Inputs!$B$219))^(1/Inputs!$B$220)-1,IF(AND(Inputs!$B$223&lt;&gt;"",Z$2=Inputs!$B$223),-Inputs!$B$224,IF(AND(Inputs!$B$223&lt;&gt;"",Z$2&gt;Inputs!$B$223,Z$2&lt;=Inputs!$B$223+Inputs!$B$225),(1/(1-Inputs!$B$224))^(1/Inputs!$B$225)-1,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stinc)))))))))))</f>
        <v>69057.672855908066</v>
      </c>
      <c r="AA80" s="7">
        <f ca="1">Z80*(1+IF(AND(Inputs!$B$218&lt;&gt;"",AA$2=Inputs!$B$218),-Inputs!$B$219,IF(AND(Inputs!$B$218&lt;&gt;"",AA$2&gt;Inputs!$B$218,AA$2&lt;=Inputs!$B$218+Inputs!$B$220),(1/(1-Inputs!$B$219))^(1/Inputs!$B$220)-1,IF(AND(Inputs!$B$223&lt;&gt;"",AA$2=Inputs!$B$223),-Inputs!$B$224,IF(AND(Inputs!$B$223&lt;&gt;"",AA$2&gt;Inputs!$B$223,AA$2&lt;=Inputs!$B$223+Inputs!$B$225),(1/(1-Inputs!$B$224))^(1/Inputs!$B$225)-1,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stinc)))))))))))</f>
        <v>49721.524456253806</v>
      </c>
      <c r="AB80" s="7">
        <f ca="1">AA80*(1+IF(AND(Inputs!$B$218&lt;&gt;"",AB$2=Inputs!$B$218),-Inputs!$B$219,IF(AND(Inputs!$B$218&lt;&gt;"",AB$2&gt;Inputs!$B$218,AB$2&lt;=Inputs!$B$218+Inputs!$B$220),(1/(1-Inputs!$B$219))^(1/Inputs!$B$220)-1,IF(AND(Inputs!$B$223&lt;&gt;"",AB$2=Inputs!$B$223),-Inputs!$B$224,IF(AND(Inputs!$B$223&lt;&gt;"",AB$2&gt;Inputs!$B$223,AB$2&lt;=Inputs!$B$223+Inputs!$B$225),(1/(1-Inputs!$B$224))^(1/Inputs!$B$225)-1,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stinc)))))))))))</f>
        <v>52519.714049979637</v>
      </c>
      <c r="AC80" s="7">
        <f ca="1">AB80*(1+IF(AND(Inputs!$B$218&lt;&gt;"",AC$2=Inputs!$B$218),-Inputs!$B$219,IF(AND(Inputs!$B$218&lt;&gt;"",AC$2&gt;Inputs!$B$218,AC$2&lt;=Inputs!$B$218+Inputs!$B$220),(1/(1-Inputs!$B$219))^(1/Inputs!$B$220)-1,IF(AND(Inputs!$B$223&lt;&gt;"",AC$2=Inputs!$B$223),-Inputs!$B$224,IF(AND(Inputs!$B$223&lt;&gt;"",AC$2&gt;Inputs!$B$223,AC$2&lt;=Inputs!$B$223+Inputs!$B$225),(1/(1-Inputs!$B$224))^(1/Inputs!$B$225)-1,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stinc)))))))))))</f>
        <v>55475.377998887889</v>
      </c>
      <c r="AD80" s="7">
        <f ca="1">AC80*(1+IF(AND(Inputs!$B$218&lt;&gt;"",AD$2=Inputs!$B$218),-Inputs!$B$219,IF(AND(Inputs!$B$218&lt;&gt;"",AD$2&gt;Inputs!$B$218,AD$2&lt;=Inputs!$B$218+Inputs!$B$220),(1/(1-Inputs!$B$219))^(1/Inputs!$B$220)-1,IF(AND(Inputs!$B$223&lt;&gt;"",AD$2=Inputs!$B$223),-Inputs!$B$224,IF(AND(Inputs!$B$223&lt;&gt;"",AD$2&gt;Inputs!$B$223,AD$2&lt;=Inputs!$B$223+Inputs!$B$225),(1/(1-Inputs!$B$224))^(1/Inputs!$B$225)-1,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stinc)))))))))))</f>
        <v>58597.378523249739</v>
      </c>
      <c r="AE80" s="7">
        <f ca="1">AD80*(1+IF(AND(Inputs!$B$218&lt;&gt;"",AE$2=Inputs!$B$218),-Inputs!$B$219,IF(AND(Inputs!$B$218&lt;&gt;"",AE$2&gt;Inputs!$B$218,AE$2&lt;=Inputs!$B$218+Inputs!$B$220),(1/(1-Inputs!$B$219))^(1/Inputs!$B$220)-1,IF(AND(Inputs!$B$223&lt;&gt;"",AE$2=Inputs!$B$223),-Inputs!$B$224,IF(AND(Inputs!$B$223&lt;&gt;"",AE$2&gt;Inputs!$B$223,AE$2&lt;=Inputs!$B$223+Inputs!$B$225),(1/(1-Inputs!$B$224))^(1/Inputs!$B$225)-1,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stinc)))))))))))</f>
        <v>61895.076584531678</v>
      </c>
      <c r="AF80" s="7">
        <f ca="1">AE80*(1+IF(AND(Inputs!$B$218&lt;&gt;"",AF$2=Inputs!$B$218),-Inputs!$B$219,IF(AND(Inputs!$B$218&lt;&gt;"",AF$2&gt;Inputs!$B$218,AF$2&lt;=Inputs!$B$218+Inputs!$B$220),(1/(1-Inputs!$B$219))^(1/Inputs!$B$220)-1,IF(AND(Inputs!$B$223&lt;&gt;"",AF$2=Inputs!$B$223),-Inputs!$B$224,IF(AND(Inputs!$B$223&lt;&gt;"",AF$2&gt;Inputs!$B$223,AF$2&lt;=Inputs!$B$223+Inputs!$B$225),(1/(1-Inputs!$B$224))^(1/Inputs!$B$225)-1,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stinc)))))))))))</f>
        <v>65378.359953167732</v>
      </c>
      <c r="AG80" s="7">
        <f ca="1">AF80*(1+IF(AND(Inputs!$B$218&lt;&gt;"",AG$2=Inputs!$B$218),-Inputs!$B$219,IF(AND(Inputs!$B$218&lt;&gt;"",AG$2&gt;Inputs!$B$218,AG$2&lt;=Inputs!$B$218+Inputs!$B$220),(1/(1-Inputs!$B$219))^(1/Inputs!$B$220)-1,IF(AND(Inputs!$B$223&lt;&gt;"",AG$2=Inputs!$B$223),-Inputs!$B$224,IF(AND(Inputs!$B$223&lt;&gt;"",AG$2&gt;Inputs!$B$223,AG$2&lt;=Inputs!$B$223+Inputs!$B$225),(1/(1-Inputs!$B$224))^(1/Inputs!$B$225)-1,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stinc)))))))))))</f>
        <v>69057.672855908095</v>
      </c>
      <c r="AH80" s="7">
        <f ca="1">AG80*(1+IF(AND(Inputs!$B$218&lt;&gt;"",AH$2=Inputs!$B$218),-Inputs!$B$219,IF(AND(Inputs!$B$218&lt;&gt;"",AH$2&gt;Inputs!$B$218,AH$2&lt;=Inputs!$B$218+Inputs!$B$220),(1/(1-Inputs!$B$219))^(1/Inputs!$B$220)-1,IF(AND(Inputs!$B$223&lt;&gt;"",AH$2=Inputs!$B$223),-Inputs!$B$224,IF(AND(Inputs!$B$223&lt;&gt;"",AH$2&gt;Inputs!$B$223,AH$2&lt;=Inputs!$B$223+Inputs!$B$225),(1/(1-Inputs!$B$224))^(1/Inputs!$B$225)-1,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stinc)))))))))))</f>
        <v>74582.286684380742</v>
      </c>
      <c r="AI80" s="7">
        <f ca="1">AH80*(1+IF(AND(Inputs!$B$218&lt;&gt;"",AI$2=Inputs!$B$218),-Inputs!$B$219,IF(AND(Inputs!$B$218&lt;&gt;"",AI$2&gt;Inputs!$B$218,AI$2&lt;=Inputs!$B$218+Inputs!$B$220),(1/(1-Inputs!$B$219))^(1/Inputs!$B$220)-1,IF(AND(Inputs!$B$223&lt;&gt;"",AI$2=Inputs!$B$223),-Inputs!$B$224,IF(AND(Inputs!$B$223&lt;&gt;"",AI$2&gt;Inputs!$B$223,AI$2&lt;=Inputs!$B$223+Inputs!$B$225),(1/(1-Inputs!$B$224))^(1/Inputs!$B$225)-1,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stinc)))))))))))</f>
        <v>80548.869619131205</v>
      </c>
      <c r="AJ80" s="7">
        <f ca="1">AI80*(1+IF(AND(Inputs!$B$218&lt;&gt;"",AJ$2=Inputs!$B$218),-Inputs!$B$219,IF(AND(Inputs!$B$218&lt;&gt;"",AJ$2&gt;Inputs!$B$218,AJ$2&lt;=Inputs!$B$218+Inputs!$B$220),(1/(1-Inputs!$B$219))^(1/Inputs!$B$220)-1,IF(AND(Inputs!$B$223&lt;&gt;"",AJ$2=Inputs!$B$223),-Inputs!$B$224,IF(AND(Inputs!$B$223&lt;&gt;"",AJ$2&gt;Inputs!$B$223,AJ$2&lt;=Inputs!$B$223+Inputs!$B$225),(1/(1-Inputs!$B$224))^(1/Inputs!$B$225)-1,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stinc)))))))))))</f>
        <v>86992.779188661705</v>
      </c>
      <c r="AK80" s="7">
        <f ca="1">AJ80*(1+IF(AND(Inputs!$B$218&lt;&gt;"",AK$2=Inputs!$B$218),-Inputs!$B$219,IF(AND(Inputs!$B$218&lt;&gt;"",AK$2&gt;Inputs!$B$218,AK$2&lt;=Inputs!$B$218+Inputs!$B$220),(1/(1-Inputs!$B$219))^(1/Inputs!$B$220)-1,IF(AND(Inputs!$B$223&lt;&gt;"",AK$2=Inputs!$B$223),-Inputs!$B$224,IF(AND(Inputs!$B$223&lt;&gt;"",AK$2&gt;Inputs!$B$223,AK$2&lt;=Inputs!$B$223+Inputs!$B$225),(1/(1-Inputs!$B$224))^(1/Inputs!$B$225)-1,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stinc)))))))))))</f>
        <v>93952.201523754644</v>
      </c>
      <c r="AL80" s="7">
        <f ca="1">AK80*(1+IF(AND(Inputs!$B$218&lt;&gt;"",AL$2=Inputs!$B$218),-Inputs!$B$219,IF(AND(Inputs!$B$218&lt;&gt;"",AL$2&gt;Inputs!$B$218,AL$2&lt;=Inputs!$B$218+Inputs!$B$220),(1/(1-Inputs!$B$219))^(1/Inputs!$B$220)-1,IF(AND(Inputs!$B$223&lt;&gt;"",AL$2=Inputs!$B$223),-Inputs!$B$224,IF(AND(Inputs!$B$223&lt;&gt;"",AL$2&gt;Inputs!$B$223,AL$2&lt;=Inputs!$B$223+Inputs!$B$225),(1/(1-Inputs!$B$224))^(1/Inputs!$B$225)-1,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stinc)))))))))))</f>
        <v>101468.37764565503</v>
      </c>
      <c r="AM80" s="7">
        <f ca="1">AL80*(1+IF(AND(Inputs!$B$218&lt;&gt;"",AM$2=Inputs!$B$218),-Inputs!$B$219,IF(AND(Inputs!$B$218&lt;&gt;"",AM$2&gt;Inputs!$B$218,AM$2&lt;=Inputs!$B$218+Inputs!$B$220),(1/(1-Inputs!$B$219))^(1/Inputs!$B$220)-1,IF(AND(Inputs!$B$223&lt;&gt;"",AM$2=Inputs!$B$223),-Inputs!$B$224,IF(AND(Inputs!$B$223&lt;&gt;"",AM$2&gt;Inputs!$B$223,AM$2&lt;=Inputs!$B$223+Inputs!$B$225),(1/(1-Inputs!$B$224))^(1/Inputs!$B$225)-1,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stinc)))))))))))</f>
        <v>109585.84785730744</v>
      </c>
    </row>
    <row r="81" spans="1:39" x14ac:dyDescent="0.2">
      <c r="A81" s="4" t="s">
        <v>2</v>
      </c>
      <c r="C81" s="7">
        <f ca="1">-MAX(FV(Inputs!$B16/12,C$1*12+MthOff,Inputs!$B17,-Inputs!$B15),0)</f>
        <v>-43173.554028497994</v>
      </c>
      <c r="D81" s="7">
        <f ca="1">-MAX(FV(Inputs!$B16/12,D$1*12+MthOff,Inputs!$B17,-Inputs!$B15),0)</f>
        <v>-34753.61277530963</v>
      </c>
      <c r="E81" s="7">
        <f ca="1">-MAX(FV(Inputs!$B16/12,E$1*12+MthOff,Inputs!$B17,-Inputs!$B15),0)</f>
        <v>-26077.570951749931</v>
      </c>
      <c r="F81" s="7">
        <f ca="1">-MAX(FV(Inputs!$B16/12,F$1*12+MthOff,Inputs!$B17,-Inputs!$B15),0)</f>
        <v>-17137.639013905144</v>
      </c>
      <c r="G81" s="7">
        <f ca="1">-MAX(FV(Inputs!$B16/12,G$1*12+MthOff,Inputs!$B17,-Inputs!$B15),0)</f>
        <v>-7925.7904914290921</v>
      </c>
      <c r="H81" s="7">
        <f ca="1">-MAX(FV(Inputs!$B16/12,H$1*12+MthOff,Inputs!$B17,-Inputs!$B15),0)</f>
        <v>0</v>
      </c>
      <c r="I81" s="7">
        <f ca="1">-MAX(FV(Inputs!$B16/12,I$1*12+MthOff,Inputs!$B17,-Inputs!$B15),0)</f>
        <v>0</v>
      </c>
      <c r="J81" s="7">
        <f ca="1">-MAX(FV(Inputs!$B16/12,J$1*12+MthOff,Inputs!$B17,-Inputs!$B15),0)</f>
        <v>0</v>
      </c>
      <c r="K81" s="7">
        <f ca="1">-MAX(FV(Inputs!$B16/12,K$1*12+MthOff,Inputs!$B17,-Inputs!$B15),0)</f>
        <v>0</v>
      </c>
      <c r="L81" s="7">
        <f ca="1">-MAX(FV(Inputs!$B16/12,L$1*12+MthOff,Inputs!$B17,-Inputs!$B15),0)</f>
        <v>0</v>
      </c>
      <c r="M81" s="7">
        <f ca="1">-MAX(FV(Inputs!$B16/12,M$1*12+MthOff,Inputs!$B17,-Inputs!$B15),0)</f>
        <v>0</v>
      </c>
      <c r="N81" s="7">
        <f ca="1">-MAX(FV(Inputs!$B16/12,N$1*12+MthOff,Inputs!$B17,-Inputs!$B15),0)</f>
        <v>0</v>
      </c>
      <c r="O81" s="7">
        <f ca="1">-MAX(FV(Inputs!$B16/12,O$1*12+MthOff,Inputs!$B17,-Inputs!$B15),0)</f>
        <v>0</v>
      </c>
      <c r="P81" s="7">
        <f ca="1">-MAX(FV(Inputs!$B16/12,P$1*12+MthOff,Inputs!$B17,-Inputs!$B15),0)</f>
        <v>0</v>
      </c>
      <c r="Q81" s="7">
        <f ca="1">-MAX(FV(Inputs!$B16/12,Q$1*12+MthOff,Inputs!$B17,-Inputs!$B15),0)</f>
        <v>0</v>
      </c>
      <c r="R81" s="7">
        <f ca="1">-MAX(FV(Inputs!$B16/12,R$1*12+MthOff,Inputs!$B17,-Inputs!$B15),0)</f>
        <v>0</v>
      </c>
      <c r="S81" s="7">
        <f ca="1">-MAX(FV(Inputs!$B16/12,S$1*12+MthOff,Inputs!$B17,-Inputs!$B15),0)</f>
        <v>0</v>
      </c>
      <c r="T81" s="7">
        <f ca="1">-MAX(FV(Inputs!$B16/12,T$1*12+MthOff,Inputs!$B17,-Inputs!$B15),0)</f>
        <v>0</v>
      </c>
      <c r="U81" s="7">
        <f ca="1">-MAX(FV(Inputs!$B16/12,U$1*12+MthOff,Inputs!$B17,-Inputs!$B15),0)</f>
        <v>0</v>
      </c>
      <c r="V81" s="7">
        <f ca="1">-MAX(FV(Inputs!$B16/12,V$1*12+MthOff,Inputs!$B17,-Inputs!$B15),0)</f>
        <v>0</v>
      </c>
      <c r="W81" s="7">
        <f ca="1">-MAX(FV(Inputs!$B16/12,W$1*12+MthOff,Inputs!$B17,-Inputs!$B15),0)</f>
        <v>0</v>
      </c>
      <c r="X81" s="7">
        <f ca="1">-MAX(FV(Inputs!$B16/12,X$1*12+MthOff,Inputs!$B17,-Inputs!$B15),0)</f>
        <v>0</v>
      </c>
      <c r="Y81" s="7">
        <f ca="1">-MAX(FV(Inputs!$B16/12,Y$1*12+MthOff,Inputs!$B17,-Inputs!$B15),0)</f>
        <v>0</v>
      </c>
      <c r="Z81" s="7">
        <f ca="1">-MAX(FV(Inputs!$B16/12,Z$1*12+MthOff,Inputs!$B17,-Inputs!$B15),0)</f>
        <v>0</v>
      </c>
      <c r="AA81" s="7">
        <f ca="1">-MAX(FV(Inputs!$B16/12,AA$1*12+MthOff,Inputs!$B17,-Inputs!$B15),0)</f>
        <v>0</v>
      </c>
      <c r="AB81" s="7">
        <f ca="1">-MAX(FV(Inputs!$B16/12,AB$1*12+MthOff,Inputs!$B17,-Inputs!$B15),0)</f>
        <v>0</v>
      </c>
      <c r="AC81" s="7">
        <f ca="1">-MAX(FV(Inputs!$B16/12,AC$1*12+MthOff,Inputs!$B17,-Inputs!$B15),0)</f>
        <v>0</v>
      </c>
      <c r="AD81" s="7">
        <f ca="1">-MAX(FV(Inputs!$B16/12,AD$1*12+MthOff,Inputs!$B17,-Inputs!$B15),0)</f>
        <v>0</v>
      </c>
      <c r="AE81" s="7">
        <f ca="1">-MAX(FV(Inputs!$B16/12,AE$1*12+MthOff,Inputs!$B17,-Inputs!$B15),0)</f>
        <v>0</v>
      </c>
      <c r="AF81" s="7">
        <f ca="1">-MAX(FV(Inputs!$B16/12,AF$1*12+MthOff,Inputs!$B17,-Inputs!$B15),0)</f>
        <v>0</v>
      </c>
      <c r="AG81" s="7">
        <f ca="1">-MAX(FV(Inputs!$B16/12,AG$1*12+MthOff,Inputs!$B17,-Inputs!$B15),0)</f>
        <v>0</v>
      </c>
      <c r="AH81" s="7">
        <f ca="1">-MAX(FV(Inputs!$B16/12,AH$1*12+MthOff,Inputs!$B17,-Inputs!$B15),0)</f>
        <v>0</v>
      </c>
      <c r="AI81" s="7">
        <f ca="1">-MAX(FV(Inputs!$B16/12,AI$1*12+MthOff,Inputs!$B17,-Inputs!$B15),0)</f>
        <v>0</v>
      </c>
      <c r="AJ81" s="7">
        <f ca="1">-MAX(FV(Inputs!$B16/12,AJ$1*12+MthOff,Inputs!$B17,-Inputs!$B15),0)</f>
        <v>0</v>
      </c>
      <c r="AK81" s="7">
        <f ca="1">-MAX(FV(Inputs!$B16/12,AK$1*12+MthOff,Inputs!$B17,-Inputs!$B15),0)</f>
        <v>0</v>
      </c>
      <c r="AL81" s="7">
        <f ca="1">-MAX(FV(Inputs!$B16/12,AL$1*12+MthOff,Inputs!$B17,-Inputs!$B15),0)</f>
        <v>0</v>
      </c>
      <c r="AM81" s="7">
        <f ca="1">-MAX(FV(Inputs!$B16/12,AM$1*12+MthOff,Inputs!$B17,-Inputs!$B15),0)</f>
        <v>0</v>
      </c>
    </row>
    <row r="82" spans="1:39" x14ac:dyDescent="0.2">
      <c r="A82" s="4" t="s">
        <v>198</v>
      </c>
      <c r="C82" s="7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</row>
    <row r="83" spans="1:39" x14ac:dyDescent="0.2">
      <c r="A83" s="3" t="str">
        <f>TEXT(Inputs!$B$60,"")</f>
        <v>Sliema</v>
      </c>
      <c r="C83" s="7">
        <f ca="1">-MAX(FV(Inputs!$B128/12,C$1*12+MthOff,Inputs!$B129,-Inputs!$B127),0)</f>
        <v>-46207.530015832221</v>
      </c>
      <c r="D83" s="7">
        <f ca="1">-MAX(FV(Inputs!$B128/12,D$1*12+MthOff,Inputs!$B129,-Inputs!$B127),0)</f>
        <v>-41529.784875172016</v>
      </c>
      <c r="E83" s="7">
        <f ca="1">-MAX(FV(Inputs!$B128/12,E$1*12+MthOff,Inputs!$B129,-Inputs!$B127),0)</f>
        <v>-36709.76163986107</v>
      </c>
      <c r="F83" s="7">
        <f ca="1">-MAX(FV(Inputs!$B128/12,F$1*12+MthOff,Inputs!$B129,-Inputs!$B127),0)</f>
        <v>-31743.132785502858</v>
      </c>
      <c r="G83" s="7">
        <f ca="1">-MAX(FV(Inputs!$B128/12,G$1*12+MthOff,Inputs!$B129,-Inputs!$B127),0)</f>
        <v>-26625.439161905048</v>
      </c>
      <c r="H83" s="7">
        <f ca="1">-MAX(FV(Inputs!$B128/12,H$1*12+MthOff,Inputs!$B129,-Inputs!$B127),0)</f>
        <v>-21352.085989555409</v>
      </c>
      <c r="I83" s="7">
        <f ca="1">-MAX(FV(Inputs!$B128/12,I$1*12+MthOff,Inputs!$B129,-Inputs!$B127),0)</f>
        <v>-15918.338734325836</v>
      </c>
      <c r="J83" s="7">
        <f ca="1">-MAX(FV(Inputs!$B128/12,J$1*12+MthOff,Inputs!$B129,-Inputs!$B127),0)</f>
        <v>-10319.318856702368</v>
      </c>
      <c r="K83" s="7">
        <f ca="1">-MAX(FV(Inputs!$B128/12,K$1*12+MthOff,Inputs!$B129,-Inputs!$B127),0)</f>
        <v>-4549.9994317232195</v>
      </c>
      <c r="L83" s="7">
        <f ca="1">-MAX(FV(Inputs!$B128/12,L$1*12+MthOff,Inputs!$B129,-Inputs!$B127),0)</f>
        <v>0</v>
      </c>
      <c r="M83" s="7">
        <f ca="1">-MAX(FV(Inputs!$B128/12,M$1*12+MthOff,Inputs!$B129,-Inputs!$B127),0)</f>
        <v>0</v>
      </c>
      <c r="N83" s="7">
        <f ca="1">-MAX(FV(Inputs!$B128/12,N$1*12+MthOff,Inputs!$B129,-Inputs!$B127),0)</f>
        <v>0</v>
      </c>
      <c r="O83" s="7">
        <f ca="1">-MAX(FV(Inputs!$B128/12,O$1*12+MthOff,Inputs!$B129,-Inputs!$B127),0)</f>
        <v>0</v>
      </c>
      <c r="P83" s="7">
        <f ca="1">-MAX(FV(Inputs!$B128/12,P$1*12+MthOff,Inputs!$B129,-Inputs!$B127),0)</f>
        <v>0</v>
      </c>
      <c r="Q83" s="7">
        <f ca="1">-MAX(FV(Inputs!$B128/12,Q$1*12+MthOff,Inputs!$B129,-Inputs!$B127),0)</f>
        <v>0</v>
      </c>
      <c r="R83" s="7">
        <f ca="1">-MAX(FV(Inputs!$B128/12,R$1*12+MthOff,Inputs!$B129,-Inputs!$B127),0)</f>
        <v>0</v>
      </c>
      <c r="S83" s="7">
        <f ca="1">-MAX(FV(Inputs!$B128/12,S$1*12+MthOff,Inputs!$B129,-Inputs!$B127),0)</f>
        <v>0</v>
      </c>
      <c r="T83" s="7">
        <f ca="1">-MAX(FV(Inputs!$B128/12,T$1*12+MthOff,Inputs!$B129,-Inputs!$B127),0)</f>
        <v>0</v>
      </c>
      <c r="U83" s="7">
        <f ca="1">-MAX(FV(Inputs!$B128/12,U$1*12+MthOff,Inputs!$B129,-Inputs!$B127),0)</f>
        <v>0</v>
      </c>
      <c r="V83" s="7">
        <f ca="1">-MAX(FV(Inputs!$B128/12,V$1*12+MthOff,Inputs!$B129,-Inputs!$B127),0)</f>
        <v>0</v>
      </c>
      <c r="W83" s="7">
        <f ca="1">-MAX(FV(Inputs!$B128/12,W$1*12+MthOff,Inputs!$B129,-Inputs!$B127),0)</f>
        <v>0</v>
      </c>
      <c r="X83" s="7">
        <f ca="1">-MAX(FV(Inputs!$B128/12,X$1*12+MthOff,Inputs!$B129,-Inputs!$B127),0)</f>
        <v>0</v>
      </c>
      <c r="Y83" s="7">
        <f ca="1">-MAX(FV(Inputs!$B128/12,Y$1*12+MthOff,Inputs!$B129,-Inputs!$B127),0)</f>
        <v>0</v>
      </c>
      <c r="Z83" s="7">
        <f ca="1">-MAX(FV(Inputs!$B128/12,Z$1*12+MthOff,Inputs!$B129,-Inputs!$B127),0)</f>
        <v>0</v>
      </c>
      <c r="AA83" s="7">
        <f ca="1">-MAX(FV(Inputs!$B128/12,AA$1*12+MthOff,Inputs!$B129,-Inputs!$B127),0)</f>
        <v>0</v>
      </c>
      <c r="AB83" s="7">
        <f ca="1">-MAX(FV(Inputs!$B128/12,AB$1*12+MthOff,Inputs!$B129,-Inputs!$B127),0)</f>
        <v>0</v>
      </c>
      <c r="AC83" s="7">
        <f ca="1">-MAX(FV(Inputs!$B128/12,AC$1*12+MthOff,Inputs!$B129,-Inputs!$B127),0)</f>
        <v>0</v>
      </c>
      <c r="AD83" s="7">
        <f ca="1">-MAX(FV(Inputs!$B128/12,AD$1*12+MthOff,Inputs!$B129,-Inputs!$B127),0)</f>
        <v>0</v>
      </c>
      <c r="AE83" s="7">
        <f ca="1">-MAX(FV(Inputs!$B128/12,AE$1*12+MthOff,Inputs!$B129,-Inputs!$B127),0)</f>
        <v>0</v>
      </c>
      <c r="AF83" s="7">
        <f ca="1">-MAX(FV(Inputs!$B128/12,AF$1*12+MthOff,Inputs!$B129,-Inputs!$B127),0)</f>
        <v>0</v>
      </c>
      <c r="AG83" s="7">
        <f ca="1">-MAX(FV(Inputs!$B128/12,AG$1*12+MthOff,Inputs!$B129,-Inputs!$B127),0)</f>
        <v>0</v>
      </c>
      <c r="AH83" s="7">
        <f ca="1">-MAX(FV(Inputs!$B128/12,AH$1*12+MthOff,Inputs!$B129,-Inputs!$B127),0)</f>
        <v>0</v>
      </c>
      <c r="AI83" s="7">
        <f ca="1">-MAX(FV(Inputs!$B128/12,AI$1*12+MthOff,Inputs!$B129,-Inputs!$B127),0)</f>
        <v>0</v>
      </c>
      <c r="AJ83" s="7">
        <f ca="1">-MAX(FV(Inputs!$B128/12,AJ$1*12+MthOff,Inputs!$B129,-Inputs!$B127),0)</f>
        <v>0</v>
      </c>
      <c r="AK83" s="7">
        <f ca="1">-MAX(FV(Inputs!$B128/12,AK$1*12+MthOff,Inputs!$B129,-Inputs!$B127),0)</f>
        <v>0</v>
      </c>
      <c r="AL83" s="7">
        <f ca="1">-MAX(FV(Inputs!$B128/12,AL$1*12+MthOff,Inputs!$B129,-Inputs!$B127),0)</f>
        <v>0</v>
      </c>
      <c r="AM83" s="7">
        <f ca="1">-MAX(FV(Inputs!$B128/12,AM$1*12+MthOff,Inputs!$B129,-Inputs!$B127),0)</f>
        <v>0</v>
      </c>
    </row>
    <row r="84" spans="1:39" x14ac:dyDescent="0.2">
      <c r="A84" s="3" t="str">
        <f>TEXT(Inputs!$B$65,"")</f>
        <v>Gzira</v>
      </c>
      <c r="C84" s="7">
        <f ca="1">-MAX(FV(Inputs!$B133/12,C$1*12+MthOff,Inputs!$B134,-Inputs!$B132),0)</f>
        <v>-6627.6670411890118</v>
      </c>
      <c r="D84" s="7">
        <f ca="1">-MAX(FV(Inputs!$B133/12,D$1*12+MthOff,Inputs!$B134,-Inputs!$B132),0)</f>
        <v>-4339.3195483066884</v>
      </c>
      <c r="E84" s="7">
        <f ca="1">-MAX(FV(Inputs!$B133/12,E$1*12+MthOff,Inputs!$B134,-Inputs!$B132),0)</f>
        <v>-2004.7832357051393</v>
      </c>
      <c r="F84" s="7">
        <f ca="1">-MAX(FV(Inputs!$B133/12,F$1*12+MthOff,Inputs!$B134,-Inputs!$B132),0)</f>
        <v>0</v>
      </c>
      <c r="G84" s="7">
        <f ca="1">-MAX(FV(Inputs!$B133/12,G$1*12+MthOff,Inputs!$B134,-Inputs!$B132),0)</f>
        <v>0</v>
      </c>
      <c r="H84" s="7">
        <f ca="1">-MAX(FV(Inputs!$B133/12,H$1*12+MthOff,Inputs!$B134,-Inputs!$B132),0)</f>
        <v>0</v>
      </c>
      <c r="I84" s="7">
        <f ca="1">-MAX(FV(Inputs!$B133/12,I$1*12+MthOff,Inputs!$B134,-Inputs!$B132),0)</f>
        <v>0</v>
      </c>
      <c r="J84" s="7">
        <f ca="1">-MAX(FV(Inputs!$B133/12,J$1*12+MthOff,Inputs!$B134,-Inputs!$B132),0)</f>
        <v>0</v>
      </c>
      <c r="K84" s="7">
        <f ca="1">-MAX(FV(Inputs!$B133/12,K$1*12+MthOff,Inputs!$B134,-Inputs!$B132),0)</f>
        <v>0</v>
      </c>
      <c r="L84" s="7">
        <f ca="1">-MAX(FV(Inputs!$B133/12,L$1*12+MthOff,Inputs!$B134,-Inputs!$B132),0)</f>
        <v>0</v>
      </c>
      <c r="M84" s="7">
        <f ca="1">-MAX(FV(Inputs!$B133/12,M$1*12+MthOff,Inputs!$B134,-Inputs!$B132),0)</f>
        <v>0</v>
      </c>
      <c r="N84" s="7">
        <f ca="1">-MAX(FV(Inputs!$B133/12,N$1*12+MthOff,Inputs!$B134,-Inputs!$B132),0)</f>
        <v>0</v>
      </c>
      <c r="O84" s="7">
        <f ca="1">-MAX(FV(Inputs!$B133/12,O$1*12+MthOff,Inputs!$B134,-Inputs!$B132),0)</f>
        <v>0</v>
      </c>
      <c r="P84" s="7">
        <f ca="1">-MAX(FV(Inputs!$B133/12,P$1*12+MthOff,Inputs!$B134,-Inputs!$B132),0)</f>
        <v>0</v>
      </c>
      <c r="Q84" s="7">
        <f ca="1">-MAX(FV(Inputs!$B133/12,Q$1*12+MthOff,Inputs!$B134,-Inputs!$B132),0)</f>
        <v>0</v>
      </c>
      <c r="R84" s="7">
        <f ca="1">-MAX(FV(Inputs!$B133/12,R$1*12+MthOff,Inputs!$B134,-Inputs!$B132),0)</f>
        <v>0</v>
      </c>
      <c r="S84" s="7">
        <f ca="1">-MAX(FV(Inputs!$B133/12,S$1*12+MthOff,Inputs!$B134,-Inputs!$B132),0)</f>
        <v>0</v>
      </c>
      <c r="T84" s="7">
        <f ca="1">-MAX(FV(Inputs!$B133/12,T$1*12+MthOff,Inputs!$B134,-Inputs!$B132),0)</f>
        <v>0</v>
      </c>
      <c r="U84" s="7">
        <f ca="1">-MAX(FV(Inputs!$B133/12,U$1*12+MthOff,Inputs!$B134,-Inputs!$B132),0)</f>
        <v>0</v>
      </c>
      <c r="V84" s="7">
        <f ca="1">-MAX(FV(Inputs!$B133/12,V$1*12+MthOff,Inputs!$B134,-Inputs!$B132),0)</f>
        <v>0</v>
      </c>
      <c r="W84" s="7">
        <f ca="1">-MAX(FV(Inputs!$B133/12,W$1*12+MthOff,Inputs!$B134,-Inputs!$B132),0)</f>
        <v>0</v>
      </c>
      <c r="X84" s="7">
        <f ca="1">-MAX(FV(Inputs!$B133/12,X$1*12+MthOff,Inputs!$B134,-Inputs!$B132),0)</f>
        <v>0</v>
      </c>
      <c r="Y84" s="7">
        <f ca="1">-MAX(FV(Inputs!$B133/12,Y$1*12+MthOff,Inputs!$B134,-Inputs!$B132),0)</f>
        <v>0</v>
      </c>
      <c r="Z84" s="7">
        <f ca="1">-MAX(FV(Inputs!$B133/12,Z$1*12+MthOff,Inputs!$B134,-Inputs!$B132),0)</f>
        <v>0</v>
      </c>
      <c r="AA84" s="7">
        <f ca="1">-MAX(FV(Inputs!$B133/12,AA$1*12+MthOff,Inputs!$B134,-Inputs!$B132),0)</f>
        <v>0</v>
      </c>
      <c r="AB84" s="7">
        <f ca="1">-MAX(FV(Inputs!$B133/12,AB$1*12+MthOff,Inputs!$B134,-Inputs!$B132),0)</f>
        <v>0</v>
      </c>
      <c r="AC84" s="7">
        <f ca="1">-MAX(FV(Inputs!$B133/12,AC$1*12+MthOff,Inputs!$B134,-Inputs!$B132),0)</f>
        <v>0</v>
      </c>
      <c r="AD84" s="7">
        <f ca="1">-MAX(FV(Inputs!$B133/12,AD$1*12+MthOff,Inputs!$B134,-Inputs!$B132),0)</f>
        <v>0</v>
      </c>
      <c r="AE84" s="7">
        <f ca="1">-MAX(FV(Inputs!$B133/12,AE$1*12+MthOff,Inputs!$B134,-Inputs!$B132),0)</f>
        <v>0</v>
      </c>
      <c r="AF84" s="7">
        <f ca="1">-MAX(FV(Inputs!$B133/12,AF$1*12+MthOff,Inputs!$B134,-Inputs!$B132),0)</f>
        <v>0</v>
      </c>
      <c r="AG84" s="7">
        <f ca="1">-MAX(FV(Inputs!$B133/12,AG$1*12+MthOff,Inputs!$B134,-Inputs!$B132),0)</f>
        <v>0</v>
      </c>
      <c r="AH84" s="7">
        <f ca="1">-MAX(FV(Inputs!$B133/12,AH$1*12+MthOff,Inputs!$B134,-Inputs!$B132),0)</f>
        <v>0</v>
      </c>
      <c r="AI84" s="7">
        <f ca="1">-MAX(FV(Inputs!$B133/12,AI$1*12+MthOff,Inputs!$B134,-Inputs!$B132),0)</f>
        <v>0</v>
      </c>
      <c r="AJ84" s="7">
        <f ca="1">-MAX(FV(Inputs!$B133/12,AJ$1*12+MthOff,Inputs!$B134,-Inputs!$B132),0)</f>
        <v>0</v>
      </c>
      <c r="AK84" s="7">
        <f ca="1">-MAX(FV(Inputs!$B133/12,AK$1*12+MthOff,Inputs!$B134,-Inputs!$B132),0)</f>
        <v>0</v>
      </c>
      <c r="AL84" s="7">
        <f ca="1">-MAX(FV(Inputs!$B133/12,AL$1*12+MthOff,Inputs!$B134,-Inputs!$B132),0)</f>
        <v>0</v>
      </c>
      <c r="AM84" s="7">
        <f ca="1">-MAX(FV(Inputs!$B133/12,AM$1*12+MthOff,Inputs!$B134,-Inputs!$B132),0)</f>
        <v>0</v>
      </c>
    </row>
    <row r="85" spans="1:39" x14ac:dyDescent="0.2">
      <c r="A85" s="3" t="str">
        <f>TEXT(Inputs!$B$70,"")</f>
        <v>Qormi</v>
      </c>
      <c r="C85" s="7">
        <f ca="1">-MAX(FV(Inputs!$B138/12,C$1*12+MthOff,Inputs!$B139,-Inputs!$B137),0)</f>
        <v>-13089.450262401593</v>
      </c>
      <c r="D85" s="7">
        <f ca="1">-MAX(FV(Inputs!$B138/12,D$1*12+MthOff,Inputs!$B139,-Inputs!$B137),0)</f>
        <v>-10689.417507150618</v>
      </c>
      <c r="E85" s="7">
        <f ca="1">-MAX(FV(Inputs!$B138/12,E$1*12+MthOff,Inputs!$B139,-Inputs!$B137),0)</f>
        <v>-8166.5945211626622</v>
      </c>
      <c r="F85" s="7">
        <f ca="1">-MAX(FV(Inputs!$B138/12,F$1*12+MthOff,Inputs!$B139,-Inputs!$B137),0)</f>
        <v>-5514.6991231919146</v>
      </c>
      <c r="G85" s="7">
        <f ca="1">-MAX(FV(Inputs!$B138/12,G$1*12+MthOff,Inputs!$B139,-Inputs!$B137),0)</f>
        <v>-2727.1277236771257</v>
      </c>
      <c r="H85" s="7">
        <f ca="1">-MAX(FV(Inputs!$B138/12,H$1*12+MthOff,Inputs!$B139,-Inputs!$B137),0)</f>
        <v>0</v>
      </c>
      <c r="I85" s="7">
        <f ca="1">-MAX(FV(Inputs!$B138/12,I$1*12+MthOff,Inputs!$B139,-Inputs!$B137),0)</f>
        <v>0</v>
      </c>
      <c r="J85" s="7">
        <f ca="1">-MAX(FV(Inputs!$B138/12,J$1*12+MthOff,Inputs!$B139,-Inputs!$B137),0)</f>
        <v>0</v>
      </c>
      <c r="K85" s="7">
        <f ca="1">-MAX(FV(Inputs!$B138/12,K$1*12+MthOff,Inputs!$B139,-Inputs!$B137),0)</f>
        <v>0</v>
      </c>
      <c r="L85" s="7">
        <f ca="1">-MAX(FV(Inputs!$B138/12,L$1*12+MthOff,Inputs!$B139,-Inputs!$B137),0)</f>
        <v>0</v>
      </c>
      <c r="M85" s="7">
        <f ca="1">-MAX(FV(Inputs!$B138/12,M$1*12+MthOff,Inputs!$B139,-Inputs!$B137),0)</f>
        <v>0</v>
      </c>
      <c r="N85" s="7">
        <f ca="1">-MAX(FV(Inputs!$B138/12,N$1*12+MthOff,Inputs!$B139,-Inputs!$B137),0)</f>
        <v>0</v>
      </c>
      <c r="O85" s="7">
        <f ca="1">-MAX(FV(Inputs!$B138/12,O$1*12+MthOff,Inputs!$B139,-Inputs!$B137),0)</f>
        <v>0</v>
      </c>
      <c r="P85" s="7">
        <f ca="1">-MAX(FV(Inputs!$B138/12,P$1*12+MthOff,Inputs!$B139,-Inputs!$B137),0)</f>
        <v>0</v>
      </c>
      <c r="Q85" s="7">
        <f ca="1">-MAX(FV(Inputs!$B138/12,Q$1*12+MthOff,Inputs!$B139,-Inputs!$B137),0)</f>
        <v>0</v>
      </c>
      <c r="R85" s="7">
        <f ca="1">-MAX(FV(Inputs!$B138/12,R$1*12+MthOff,Inputs!$B139,-Inputs!$B137),0)</f>
        <v>0</v>
      </c>
      <c r="S85" s="7">
        <f ca="1">-MAX(FV(Inputs!$B138/12,S$1*12+MthOff,Inputs!$B139,-Inputs!$B137),0)</f>
        <v>0</v>
      </c>
      <c r="T85" s="7">
        <f ca="1">-MAX(FV(Inputs!$B138/12,T$1*12+MthOff,Inputs!$B139,-Inputs!$B137),0)</f>
        <v>0</v>
      </c>
      <c r="U85" s="7">
        <f ca="1">-MAX(FV(Inputs!$B138/12,U$1*12+MthOff,Inputs!$B139,-Inputs!$B137),0)</f>
        <v>0</v>
      </c>
      <c r="V85" s="7">
        <f ca="1">-MAX(FV(Inputs!$B138/12,V$1*12+MthOff,Inputs!$B139,-Inputs!$B137),0)</f>
        <v>0</v>
      </c>
      <c r="W85" s="7">
        <f ca="1">-MAX(FV(Inputs!$B138/12,W$1*12+MthOff,Inputs!$B139,-Inputs!$B137),0)</f>
        <v>0</v>
      </c>
      <c r="X85" s="7">
        <f ca="1">-MAX(FV(Inputs!$B138/12,X$1*12+MthOff,Inputs!$B139,-Inputs!$B137),0)</f>
        <v>0</v>
      </c>
      <c r="Y85" s="7">
        <f ca="1">-MAX(FV(Inputs!$B138/12,Y$1*12+MthOff,Inputs!$B139,-Inputs!$B137),0)</f>
        <v>0</v>
      </c>
      <c r="Z85" s="7">
        <f ca="1">-MAX(FV(Inputs!$B138/12,Z$1*12+MthOff,Inputs!$B139,-Inputs!$B137),0)</f>
        <v>0</v>
      </c>
      <c r="AA85" s="7">
        <f ca="1">-MAX(FV(Inputs!$B138/12,AA$1*12+MthOff,Inputs!$B139,-Inputs!$B137),0)</f>
        <v>0</v>
      </c>
      <c r="AB85" s="7">
        <f ca="1">-MAX(FV(Inputs!$B138/12,AB$1*12+MthOff,Inputs!$B139,-Inputs!$B137),0)</f>
        <v>0</v>
      </c>
      <c r="AC85" s="7">
        <f ca="1">-MAX(FV(Inputs!$B138/12,AC$1*12+MthOff,Inputs!$B139,-Inputs!$B137),0)</f>
        <v>0</v>
      </c>
      <c r="AD85" s="7">
        <f ca="1">-MAX(FV(Inputs!$B138/12,AD$1*12+MthOff,Inputs!$B139,-Inputs!$B137),0)</f>
        <v>0</v>
      </c>
      <c r="AE85" s="7">
        <f ca="1">-MAX(FV(Inputs!$B138/12,AE$1*12+MthOff,Inputs!$B139,-Inputs!$B137),0)</f>
        <v>0</v>
      </c>
      <c r="AF85" s="7">
        <f ca="1">-MAX(FV(Inputs!$B138/12,AF$1*12+MthOff,Inputs!$B139,-Inputs!$B137),0)</f>
        <v>0</v>
      </c>
      <c r="AG85" s="7">
        <f ca="1">-MAX(FV(Inputs!$B138/12,AG$1*12+MthOff,Inputs!$B139,-Inputs!$B137),0)</f>
        <v>0</v>
      </c>
      <c r="AH85" s="7">
        <f ca="1">-MAX(FV(Inputs!$B138/12,AH$1*12+MthOff,Inputs!$B139,-Inputs!$B137),0)</f>
        <v>0</v>
      </c>
      <c r="AI85" s="7">
        <f ca="1">-MAX(FV(Inputs!$B138/12,AI$1*12+MthOff,Inputs!$B139,-Inputs!$B137),0)</f>
        <v>0</v>
      </c>
      <c r="AJ85" s="7">
        <f ca="1">-MAX(FV(Inputs!$B138/12,AJ$1*12+MthOff,Inputs!$B139,-Inputs!$B137),0)</f>
        <v>0</v>
      </c>
      <c r="AK85" s="7">
        <f ca="1">-MAX(FV(Inputs!$B138/12,AK$1*12+MthOff,Inputs!$B139,-Inputs!$B137),0)</f>
        <v>0</v>
      </c>
      <c r="AL85" s="7">
        <f ca="1">-MAX(FV(Inputs!$B138/12,AL$1*12+MthOff,Inputs!$B139,-Inputs!$B137),0)</f>
        <v>0</v>
      </c>
      <c r="AM85" s="7">
        <f ca="1">-MAX(FV(Inputs!$B138/12,AM$1*12+MthOff,Inputs!$B139,-Inputs!$B137),0)</f>
        <v>0</v>
      </c>
    </row>
    <row r="86" spans="1:39" x14ac:dyDescent="0.2">
      <c r="A86" s="3" t="str">
        <f>TEXT(Inputs!$B$75,"")</f>
        <v>Gudja</v>
      </c>
      <c r="C86" s="7">
        <f ca="1">-MAX(FV(Inputs!$B143/12,C$1*12+MthOff,Inputs!$B144,-Inputs!$B142),0)</f>
        <v>-3952.5608629982789</v>
      </c>
      <c r="D86" s="7">
        <f ca="1">-MAX(FV(Inputs!$B143/12,D$1*12+MthOff,Inputs!$B144,-Inputs!$B142),0)</f>
        <v>-3063.4916845977205</v>
      </c>
      <c r="E86" s="7">
        <f ca="1">-MAX(FV(Inputs!$B143/12,E$1*12+MthOff,Inputs!$B144,-Inputs!$B142),0)</f>
        <v>-2156.4772176748579</v>
      </c>
      <c r="F86" s="7">
        <f ca="1">-MAX(FV(Inputs!$B143/12,F$1*12+MthOff,Inputs!$B144,-Inputs!$B142),0)</f>
        <v>-1231.15524814336</v>
      </c>
      <c r="G86" s="7">
        <f ca="1">-MAX(FV(Inputs!$B143/12,G$1*12+MthOff,Inputs!$B144,-Inputs!$B142),0)</f>
        <v>-287.15625085893407</v>
      </c>
      <c r="H86" s="7">
        <f ca="1">-MAX(FV(Inputs!$B143/12,H$1*12+MthOff,Inputs!$B144,-Inputs!$B142),0)</f>
        <v>0</v>
      </c>
      <c r="I86" s="7">
        <f ca="1">-MAX(FV(Inputs!$B143/12,I$1*12+MthOff,Inputs!$B144,-Inputs!$B142),0)</f>
        <v>0</v>
      </c>
      <c r="J86" s="7">
        <f ca="1">-MAX(FV(Inputs!$B143/12,J$1*12+MthOff,Inputs!$B144,-Inputs!$B142),0)</f>
        <v>0</v>
      </c>
      <c r="K86" s="7">
        <f ca="1">-MAX(FV(Inputs!$B143/12,K$1*12+MthOff,Inputs!$B144,-Inputs!$B142),0)</f>
        <v>0</v>
      </c>
      <c r="L86" s="7">
        <f ca="1">-MAX(FV(Inputs!$B143/12,L$1*12+MthOff,Inputs!$B144,-Inputs!$B142),0)</f>
        <v>0</v>
      </c>
      <c r="M86" s="7">
        <f ca="1">-MAX(FV(Inputs!$B143/12,M$1*12+MthOff,Inputs!$B144,-Inputs!$B142),0)</f>
        <v>0</v>
      </c>
      <c r="N86" s="7">
        <f ca="1">-MAX(FV(Inputs!$B143/12,N$1*12+MthOff,Inputs!$B144,-Inputs!$B142),0)</f>
        <v>0</v>
      </c>
      <c r="O86" s="7">
        <f ca="1">-MAX(FV(Inputs!$B143/12,O$1*12+MthOff,Inputs!$B144,-Inputs!$B142),0)</f>
        <v>0</v>
      </c>
      <c r="P86" s="7">
        <f ca="1">-MAX(FV(Inputs!$B143/12,P$1*12+MthOff,Inputs!$B144,-Inputs!$B142),0)</f>
        <v>0</v>
      </c>
      <c r="Q86" s="7">
        <f ca="1">-MAX(FV(Inputs!$B143/12,Q$1*12+MthOff,Inputs!$B144,-Inputs!$B142),0)</f>
        <v>0</v>
      </c>
      <c r="R86" s="7">
        <f ca="1">-MAX(FV(Inputs!$B143/12,R$1*12+MthOff,Inputs!$B144,-Inputs!$B142),0)</f>
        <v>0</v>
      </c>
      <c r="S86" s="7">
        <f ca="1">-MAX(FV(Inputs!$B143/12,S$1*12+MthOff,Inputs!$B144,-Inputs!$B142),0)</f>
        <v>0</v>
      </c>
      <c r="T86" s="7">
        <f ca="1">-MAX(FV(Inputs!$B143/12,T$1*12+MthOff,Inputs!$B144,-Inputs!$B142),0)</f>
        <v>0</v>
      </c>
      <c r="U86" s="7">
        <f ca="1">-MAX(FV(Inputs!$B143/12,U$1*12+MthOff,Inputs!$B144,-Inputs!$B142),0)</f>
        <v>0</v>
      </c>
      <c r="V86" s="7">
        <f ca="1">-MAX(FV(Inputs!$B143/12,V$1*12+MthOff,Inputs!$B144,-Inputs!$B142),0)</f>
        <v>0</v>
      </c>
      <c r="W86" s="7">
        <f ca="1">-MAX(FV(Inputs!$B143/12,W$1*12+MthOff,Inputs!$B144,-Inputs!$B142),0)</f>
        <v>0</v>
      </c>
      <c r="X86" s="7">
        <f ca="1">-MAX(FV(Inputs!$B143/12,X$1*12+MthOff,Inputs!$B144,-Inputs!$B142),0)</f>
        <v>0</v>
      </c>
      <c r="Y86" s="7">
        <f ca="1">-MAX(FV(Inputs!$B143/12,Y$1*12+MthOff,Inputs!$B144,-Inputs!$B142),0)</f>
        <v>0</v>
      </c>
      <c r="Z86" s="7">
        <f ca="1">-MAX(FV(Inputs!$B143/12,Z$1*12+MthOff,Inputs!$B144,-Inputs!$B142),0)</f>
        <v>0</v>
      </c>
      <c r="AA86" s="7">
        <f ca="1">-MAX(FV(Inputs!$B143/12,AA$1*12+MthOff,Inputs!$B144,-Inputs!$B142),0)</f>
        <v>0</v>
      </c>
      <c r="AB86" s="7">
        <f ca="1">-MAX(FV(Inputs!$B143/12,AB$1*12+MthOff,Inputs!$B144,-Inputs!$B142),0)</f>
        <v>0</v>
      </c>
      <c r="AC86" s="7">
        <f ca="1">-MAX(FV(Inputs!$B143/12,AC$1*12+MthOff,Inputs!$B144,-Inputs!$B142),0)</f>
        <v>0</v>
      </c>
      <c r="AD86" s="7">
        <f ca="1">-MAX(FV(Inputs!$B143/12,AD$1*12+MthOff,Inputs!$B144,-Inputs!$B142),0)</f>
        <v>0</v>
      </c>
      <c r="AE86" s="7">
        <f ca="1">-MAX(FV(Inputs!$B143/12,AE$1*12+MthOff,Inputs!$B144,-Inputs!$B142),0)</f>
        <v>0</v>
      </c>
      <c r="AF86" s="7">
        <f ca="1">-MAX(FV(Inputs!$B143/12,AF$1*12+MthOff,Inputs!$B144,-Inputs!$B142),0)</f>
        <v>0</v>
      </c>
      <c r="AG86" s="7">
        <f ca="1">-MAX(FV(Inputs!$B143/12,AG$1*12+MthOff,Inputs!$B144,-Inputs!$B142),0)</f>
        <v>0</v>
      </c>
      <c r="AH86" s="7">
        <f ca="1">-MAX(FV(Inputs!$B143/12,AH$1*12+MthOff,Inputs!$B144,-Inputs!$B142),0)</f>
        <v>0</v>
      </c>
      <c r="AI86" s="7">
        <f ca="1">-MAX(FV(Inputs!$B143/12,AI$1*12+MthOff,Inputs!$B144,-Inputs!$B142),0)</f>
        <v>0</v>
      </c>
      <c r="AJ86" s="7">
        <f ca="1">-MAX(FV(Inputs!$B143/12,AJ$1*12+MthOff,Inputs!$B144,-Inputs!$B142),0)</f>
        <v>0</v>
      </c>
      <c r="AK86" s="7">
        <f ca="1">-MAX(FV(Inputs!$B143/12,AK$1*12+MthOff,Inputs!$B144,-Inputs!$B142),0)</f>
        <v>0</v>
      </c>
      <c r="AL86" s="7">
        <f ca="1">-MAX(FV(Inputs!$B143/12,AL$1*12+MthOff,Inputs!$B144,-Inputs!$B142),0)</f>
        <v>0</v>
      </c>
      <c r="AM86" s="7">
        <f ca="1">-MAX(FV(Inputs!$B143/12,AM$1*12+MthOff,Inputs!$B144,-Inputs!$B142),0)</f>
        <v>0</v>
      </c>
    </row>
    <row r="87" spans="1:39" x14ac:dyDescent="0.2">
      <c r="A87" s="3" t="str">
        <f>TEXT(Inputs!$B$80,"")</f>
        <v>Marsa</v>
      </c>
      <c r="C87" s="7">
        <f ca="1">-MAX(FV(Inputs!$B148/12,C$1*12+MthOff,Inputs!$B149,-Inputs!$B147),0)</f>
        <v>-8551.2061659277369</v>
      </c>
      <c r="D87" s="7">
        <f ca="1">-MAX(FV(Inputs!$B148/12,D$1*12+MthOff,Inputs!$B149,-Inputs!$B147),0)</f>
        <v>-7351.3333523807905</v>
      </c>
      <c r="E87" s="7">
        <f ca="1">-MAX(FV(Inputs!$B148/12,E$1*12+MthOff,Inputs!$B149,-Inputs!$B147),0)</f>
        <v>-6114.965259035298</v>
      </c>
      <c r="F87" s="7">
        <f ca="1">-MAX(FV(Inputs!$B148/12,F$1*12+MthOff,Inputs!$B149,-Inputs!$B147),0)</f>
        <v>-4840.9918470333869</v>
      </c>
      <c r="G87" s="7">
        <f ca="1">-MAX(FV(Inputs!$B148/12,G$1*12+MthOff,Inputs!$B149,-Inputs!$B147),0)</f>
        <v>-3528.2693146230595</v>
      </c>
      <c r="H87" s="7">
        <f ca="1">-MAX(FV(Inputs!$B148/12,H$1*12+MthOff,Inputs!$B149,-Inputs!$B147),0)</f>
        <v>-2175.6190702275599</v>
      </c>
      <c r="I87" s="7">
        <f ca="1">-MAX(FV(Inputs!$B148/12,I$1*12+MthOff,Inputs!$B149,-Inputs!$B147),0)</f>
        <v>-781.82667427947126</v>
      </c>
      <c r="J87" s="7">
        <f ca="1">-MAX(FV(Inputs!$B148/12,J$1*12+MthOff,Inputs!$B149,-Inputs!$B147),0)</f>
        <v>0</v>
      </c>
      <c r="K87" s="7">
        <f ca="1">-MAX(FV(Inputs!$B148/12,K$1*12+MthOff,Inputs!$B149,-Inputs!$B147),0)</f>
        <v>0</v>
      </c>
      <c r="L87" s="7">
        <f ca="1">-MAX(FV(Inputs!$B148/12,L$1*12+MthOff,Inputs!$B149,-Inputs!$B147),0)</f>
        <v>0</v>
      </c>
      <c r="M87" s="7">
        <f ca="1">-MAX(FV(Inputs!$B148/12,M$1*12+MthOff,Inputs!$B149,-Inputs!$B147),0)</f>
        <v>0</v>
      </c>
      <c r="N87" s="7">
        <f ca="1">-MAX(FV(Inputs!$B148/12,N$1*12+MthOff,Inputs!$B149,-Inputs!$B147),0)</f>
        <v>0</v>
      </c>
      <c r="O87" s="7">
        <f ca="1">-MAX(FV(Inputs!$B148/12,O$1*12+MthOff,Inputs!$B149,-Inputs!$B147),0)</f>
        <v>0</v>
      </c>
      <c r="P87" s="7">
        <f ca="1">-MAX(FV(Inputs!$B148/12,P$1*12+MthOff,Inputs!$B149,-Inputs!$B147),0)</f>
        <v>0</v>
      </c>
      <c r="Q87" s="7">
        <f ca="1">-MAX(FV(Inputs!$B148/12,Q$1*12+MthOff,Inputs!$B149,-Inputs!$B147),0)</f>
        <v>0</v>
      </c>
      <c r="R87" s="7">
        <f ca="1">-MAX(FV(Inputs!$B148/12,R$1*12+MthOff,Inputs!$B149,-Inputs!$B147),0)</f>
        <v>0</v>
      </c>
      <c r="S87" s="7">
        <f ca="1">-MAX(FV(Inputs!$B148/12,S$1*12+MthOff,Inputs!$B149,-Inputs!$B147),0)</f>
        <v>0</v>
      </c>
      <c r="T87" s="7">
        <f ca="1">-MAX(FV(Inputs!$B148/12,T$1*12+MthOff,Inputs!$B149,-Inputs!$B147),0)</f>
        <v>0</v>
      </c>
      <c r="U87" s="7">
        <f ca="1">-MAX(FV(Inputs!$B148/12,U$1*12+MthOff,Inputs!$B149,-Inputs!$B147),0)</f>
        <v>0</v>
      </c>
      <c r="V87" s="7">
        <f ca="1">-MAX(FV(Inputs!$B148/12,V$1*12+MthOff,Inputs!$B149,-Inputs!$B147),0)</f>
        <v>0</v>
      </c>
      <c r="W87" s="7">
        <f ca="1">-MAX(FV(Inputs!$B148/12,W$1*12+MthOff,Inputs!$B149,-Inputs!$B147),0)</f>
        <v>0</v>
      </c>
      <c r="X87" s="7">
        <f ca="1">-MAX(FV(Inputs!$B148/12,X$1*12+MthOff,Inputs!$B149,-Inputs!$B147),0)</f>
        <v>0</v>
      </c>
      <c r="Y87" s="7">
        <f ca="1">-MAX(FV(Inputs!$B148/12,Y$1*12+MthOff,Inputs!$B149,-Inputs!$B147),0)</f>
        <v>0</v>
      </c>
      <c r="Z87" s="7">
        <f ca="1">-MAX(FV(Inputs!$B148/12,Z$1*12+MthOff,Inputs!$B149,-Inputs!$B147),0)</f>
        <v>0</v>
      </c>
      <c r="AA87" s="7">
        <f ca="1">-MAX(FV(Inputs!$B148/12,AA$1*12+MthOff,Inputs!$B149,-Inputs!$B147),0)</f>
        <v>0</v>
      </c>
      <c r="AB87" s="7">
        <f ca="1">-MAX(FV(Inputs!$B148/12,AB$1*12+MthOff,Inputs!$B149,-Inputs!$B147),0)</f>
        <v>0</v>
      </c>
      <c r="AC87" s="7">
        <f ca="1">-MAX(FV(Inputs!$B148/12,AC$1*12+MthOff,Inputs!$B149,-Inputs!$B147),0)</f>
        <v>0</v>
      </c>
      <c r="AD87" s="7">
        <f ca="1">-MAX(FV(Inputs!$B148/12,AD$1*12+MthOff,Inputs!$B149,-Inputs!$B147),0)</f>
        <v>0</v>
      </c>
      <c r="AE87" s="7">
        <f ca="1">-MAX(FV(Inputs!$B148/12,AE$1*12+MthOff,Inputs!$B149,-Inputs!$B147),0)</f>
        <v>0</v>
      </c>
      <c r="AF87" s="7">
        <f ca="1">-MAX(FV(Inputs!$B148/12,AF$1*12+MthOff,Inputs!$B149,-Inputs!$B147),0)</f>
        <v>0</v>
      </c>
      <c r="AG87" s="7">
        <f ca="1">-MAX(FV(Inputs!$B148/12,AG$1*12+MthOff,Inputs!$B149,-Inputs!$B147),0)</f>
        <v>0</v>
      </c>
      <c r="AH87" s="7">
        <f ca="1">-MAX(FV(Inputs!$B148/12,AH$1*12+MthOff,Inputs!$B149,-Inputs!$B147),0)</f>
        <v>0</v>
      </c>
      <c r="AI87" s="7">
        <f ca="1">-MAX(FV(Inputs!$B148/12,AI$1*12+MthOff,Inputs!$B149,-Inputs!$B147),0)</f>
        <v>0</v>
      </c>
      <c r="AJ87" s="7">
        <f ca="1">-MAX(FV(Inputs!$B148/12,AJ$1*12+MthOff,Inputs!$B149,-Inputs!$B147),0)</f>
        <v>0</v>
      </c>
      <c r="AK87" s="7">
        <f ca="1">-MAX(FV(Inputs!$B148/12,AK$1*12+MthOff,Inputs!$B149,-Inputs!$B147),0)</f>
        <v>0</v>
      </c>
      <c r="AL87" s="7">
        <f ca="1">-MAX(FV(Inputs!$B148/12,AL$1*12+MthOff,Inputs!$B149,-Inputs!$B147),0)</f>
        <v>0</v>
      </c>
      <c r="AM87" s="7">
        <f ca="1">-MAX(FV(Inputs!$B148/12,AM$1*12+MthOff,Inputs!$B149,-Inputs!$B147),0)</f>
        <v>0</v>
      </c>
    </row>
    <row r="88" spans="1:39" x14ac:dyDescent="0.2">
      <c r="A88" s="3" t="str">
        <f>TEXT(Inputs!$B$87,"")</f>
        <v>Jewelry</v>
      </c>
      <c r="C88" s="7">
        <f ca="1">-MAX(FV(Inputs!$B153/12,C$1*12+MthOff,Inputs!$B154,-Inputs!$B152),0)</f>
        <v>-1804.7138362359074</v>
      </c>
      <c r="D88" s="7">
        <f ca="1">-MAX(FV(Inputs!$B153/12,D$1*12+MthOff,Inputs!$B154,-Inputs!$B152),0)</f>
        <v>-947.12722711486958</v>
      </c>
      <c r="E88" s="7">
        <f ca="1">-MAX(FV(Inputs!$B153/12,E$1*12+MthOff,Inputs!$B154,-Inputs!$B152),0)</f>
        <v>-63.456300641196776</v>
      </c>
      <c r="F88" s="7">
        <f ca="1">-MAX(FV(Inputs!$B153/12,F$1*12+MthOff,Inputs!$B154,-Inputs!$B152),0)</f>
        <v>0</v>
      </c>
      <c r="G88" s="7">
        <f ca="1">-MAX(FV(Inputs!$B153/12,G$1*12+MthOff,Inputs!$B154,-Inputs!$B152),0)</f>
        <v>0</v>
      </c>
      <c r="H88" s="7">
        <f ca="1">-MAX(FV(Inputs!$B153/12,H$1*12+MthOff,Inputs!$B154,-Inputs!$B152),0)</f>
        <v>0</v>
      </c>
      <c r="I88" s="7">
        <f ca="1">-MAX(FV(Inputs!$B153/12,I$1*12+MthOff,Inputs!$B154,-Inputs!$B152),0)</f>
        <v>0</v>
      </c>
      <c r="J88" s="7">
        <f ca="1">-MAX(FV(Inputs!$B153/12,J$1*12+MthOff,Inputs!$B154,-Inputs!$B152),0)</f>
        <v>0</v>
      </c>
      <c r="K88" s="7">
        <f ca="1">-MAX(FV(Inputs!$B153/12,K$1*12+MthOff,Inputs!$B154,-Inputs!$B152),0)</f>
        <v>0</v>
      </c>
      <c r="L88" s="7">
        <f ca="1">-MAX(FV(Inputs!$B153/12,L$1*12+MthOff,Inputs!$B154,-Inputs!$B152),0)</f>
        <v>0</v>
      </c>
      <c r="M88" s="7">
        <f ca="1">-MAX(FV(Inputs!$B153/12,M$1*12+MthOff,Inputs!$B154,-Inputs!$B152),0)</f>
        <v>0</v>
      </c>
      <c r="N88" s="7">
        <f ca="1">-MAX(FV(Inputs!$B153/12,N$1*12+MthOff,Inputs!$B154,-Inputs!$B152),0)</f>
        <v>0</v>
      </c>
      <c r="O88" s="7">
        <f ca="1">-MAX(FV(Inputs!$B153/12,O$1*12+MthOff,Inputs!$B154,-Inputs!$B152),0)</f>
        <v>0</v>
      </c>
      <c r="P88" s="7">
        <f ca="1">-MAX(FV(Inputs!$B153/12,P$1*12+MthOff,Inputs!$B154,-Inputs!$B152),0)</f>
        <v>0</v>
      </c>
      <c r="Q88" s="7">
        <f ca="1">-MAX(FV(Inputs!$B153/12,Q$1*12+MthOff,Inputs!$B154,-Inputs!$B152),0)</f>
        <v>0</v>
      </c>
      <c r="R88" s="7">
        <f ca="1">-MAX(FV(Inputs!$B153/12,R$1*12+MthOff,Inputs!$B154,-Inputs!$B152),0)</f>
        <v>0</v>
      </c>
      <c r="S88" s="7">
        <f ca="1">-MAX(FV(Inputs!$B153/12,S$1*12+MthOff,Inputs!$B154,-Inputs!$B152),0)</f>
        <v>0</v>
      </c>
      <c r="T88" s="7">
        <f ca="1">-MAX(FV(Inputs!$B153/12,T$1*12+MthOff,Inputs!$B154,-Inputs!$B152),0)</f>
        <v>0</v>
      </c>
      <c r="U88" s="7">
        <f ca="1">-MAX(FV(Inputs!$B153/12,U$1*12+MthOff,Inputs!$B154,-Inputs!$B152),0)</f>
        <v>0</v>
      </c>
      <c r="V88" s="7">
        <f ca="1">-MAX(FV(Inputs!$B153/12,V$1*12+MthOff,Inputs!$B154,-Inputs!$B152),0)</f>
        <v>0</v>
      </c>
      <c r="W88" s="7">
        <f ca="1">-MAX(FV(Inputs!$B153/12,W$1*12+MthOff,Inputs!$B154,-Inputs!$B152),0)</f>
        <v>0</v>
      </c>
      <c r="X88" s="7">
        <f ca="1">-MAX(FV(Inputs!$B153/12,X$1*12+MthOff,Inputs!$B154,-Inputs!$B152),0)</f>
        <v>0</v>
      </c>
      <c r="Y88" s="7">
        <f ca="1">-MAX(FV(Inputs!$B153/12,Y$1*12+MthOff,Inputs!$B154,-Inputs!$B152),0)</f>
        <v>0</v>
      </c>
      <c r="Z88" s="7">
        <f ca="1">-MAX(FV(Inputs!$B153/12,Z$1*12+MthOff,Inputs!$B154,-Inputs!$B152),0)</f>
        <v>0</v>
      </c>
      <c r="AA88" s="7">
        <f ca="1">-MAX(FV(Inputs!$B153/12,AA$1*12+MthOff,Inputs!$B154,-Inputs!$B152),0)</f>
        <v>0</v>
      </c>
      <c r="AB88" s="7">
        <f ca="1">-MAX(FV(Inputs!$B153/12,AB$1*12+MthOff,Inputs!$B154,-Inputs!$B152),0)</f>
        <v>0</v>
      </c>
      <c r="AC88" s="7">
        <f ca="1">-MAX(FV(Inputs!$B153/12,AC$1*12+MthOff,Inputs!$B154,-Inputs!$B152),0)</f>
        <v>0</v>
      </c>
      <c r="AD88" s="7">
        <f ca="1">-MAX(FV(Inputs!$B153/12,AD$1*12+MthOff,Inputs!$B154,-Inputs!$B152),0)</f>
        <v>0</v>
      </c>
      <c r="AE88" s="7">
        <f ca="1">-MAX(FV(Inputs!$B153/12,AE$1*12+MthOff,Inputs!$B154,-Inputs!$B152),0)</f>
        <v>0</v>
      </c>
      <c r="AF88" s="7">
        <f ca="1">-MAX(FV(Inputs!$B153/12,AF$1*12+MthOff,Inputs!$B154,-Inputs!$B152),0)</f>
        <v>0</v>
      </c>
      <c r="AG88" s="7">
        <f ca="1">-MAX(FV(Inputs!$B153/12,AG$1*12+MthOff,Inputs!$B154,-Inputs!$B152),0)</f>
        <v>0</v>
      </c>
      <c r="AH88" s="7">
        <f ca="1">-MAX(FV(Inputs!$B153/12,AH$1*12+MthOff,Inputs!$B154,-Inputs!$B152),0)</f>
        <v>0</v>
      </c>
      <c r="AI88" s="7">
        <f ca="1">-MAX(FV(Inputs!$B153/12,AI$1*12+MthOff,Inputs!$B154,-Inputs!$B152),0)</f>
        <v>0</v>
      </c>
      <c r="AJ88" s="7">
        <f ca="1">-MAX(FV(Inputs!$B153/12,AJ$1*12+MthOff,Inputs!$B154,-Inputs!$B152),0)</f>
        <v>0</v>
      </c>
      <c r="AK88" s="7">
        <f ca="1">-MAX(FV(Inputs!$B153/12,AK$1*12+MthOff,Inputs!$B154,-Inputs!$B152),0)</f>
        <v>0</v>
      </c>
      <c r="AL88" s="7">
        <f ca="1">-MAX(FV(Inputs!$B153/12,AL$1*12+MthOff,Inputs!$B154,-Inputs!$B152),0)</f>
        <v>0</v>
      </c>
      <c r="AM88" s="7">
        <f ca="1">-MAX(FV(Inputs!$B153/12,AM$1*12+MthOff,Inputs!$B154,-Inputs!$B152),0)</f>
        <v>0</v>
      </c>
    </row>
    <row r="89" spans="1:39" x14ac:dyDescent="0.2">
      <c r="A89" s="3" t="str">
        <f>TEXT(Inputs!$B$92,"")</f>
        <v>Car</v>
      </c>
      <c r="C89" s="7">
        <f ca="1">-MAX(FV(Inputs!$B158/12,C$1*12+MthOff,Inputs!$B159,-Inputs!$B157),0)</f>
        <v>-5234.2745926297666</v>
      </c>
      <c r="D89" s="7">
        <f ca="1">-MAX(FV(Inputs!$B158/12,D$1*12+MthOff,Inputs!$B159,-Inputs!$B157),0)</f>
        <v>-4298.4122995765474</v>
      </c>
      <c r="E89" s="7">
        <f ca="1">-MAX(FV(Inputs!$B158/12,E$1*12+MthOff,Inputs!$B159,-Inputs!$B157),0)</f>
        <v>-3343.6602291314293</v>
      </c>
      <c r="F89" s="7">
        <f ca="1">-MAX(FV(Inputs!$B158/12,F$1*12+MthOff,Inputs!$B159,-Inputs!$B157),0)</f>
        <v>-2369.6371033087999</v>
      </c>
      <c r="G89" s="7">
        <f ca="1">-MAX(FV(Inputs!$B158/12,G$1*12+MthOff,Inputs!$B159,-Inputs!$B157),0)</f>
        <v>-1375.9539482725622</v>
      </c>
      <c r="H89" s="7">
        <f ca="1">-MAX(FV(Inputs!$B158/12,H$1*12+MthOff,Inputs!$B159,-Inputs!$B157),0)</f>
        <v>-362.21393900035582</v>
      </c>
      <c r="I89" s="7">
        <f ca="1">-MAX(FV(Inputs!$B158/12,I$1*12+MthOff,Inputs!$B159,-Inputs!$B157),0)</f>
        <v>0</v>
      </c>
      <c r="J89" s="7">
        <f ca="1">-MAX(FV(Inputs!$B158/12,J$1*12+MthOff,Inputs!$B159,-Inputs!$B157),0)</f>
        <v>0</v>
      </c>
      <c r="K89" s="7">
        <f ca="1">-MAX(FV(Inputs!$B158/12,K$1*12+MthOff,Inputs!$B159,-Inputs!$B157),0)</f>
        <v>0</v>
      </c>
      <c r="L89" s="7">
        <f ca="1">-MAX(FV(Inputs!$B158/12,L$1*12+MthOff,Inputs!$B159,-Inputs!$B157),0)</f>
        <v>0</v>
      </c>
      <c r="M89" s="7">
        <f ca="1">-MAX(FV(Inputs!$B158/12,M$1*12+MthOff,Inputs!$B159,-Inputs!$B157),0)</f>
        <v>0</v>
      </c>
      <c r="N89" s="7">
        <f ca="1">-MAX(FV(Inputs!$B158/12,N$1*12+MthOff,Inputs!$B159,-Inputs!$B157),0)</f>
        <v>0</v>
      </c>
      <c r="O89" s="7">
        <f ca="1">-MAX(FV(Inputs!$B158/12,O$1*12+MthOff,Inputs!$B159,-Inputs!$B157),0)</f>
        <v>0</v>
      </c>
      <c r="P89" s="7">
        <f ca="1">-MAX(FV(Inputs!$B158/12,P$1*12+MthOff,Inputs!$B159,-Inputs!$B157),0)</f>
        <v>0</v>
      </c>
      <c r="Q89" s="7">
        <f ca="1">-MAX(FV(Inputs!$B158/12,Q$1*12+MthOff,Inputs!$B159,-Inputs!$B157),0)</f>
        <v>0</v>
      </c>
      <c r="R89" s="7">
        <f ca="1">-MAX(FV(Inputs!$B158/12,R$1*12+MthOff,Inputs!$B159,-Inputs!$B157),0)</f>
        <v>0</v>
      </c>
      <c r="S89" s="7">
        <f ca="1">-MAX(FV(Inputs!$B158/12,S$1*12+MthOff,Inputs!$B159,-Inputs!$B157),0)</f>
        <v>0</v>
      </c>
      <c r="T89" s="7">
        <f ca="1">-MAX(FV(Inputs!$B158/12,T$1*12+MthOff,Inputs!$B159,-Inputs!$B157),0)</f>
        <v>0</v>
      </c>
      <c r="U89" s="7">
        <f ca="1">-MAX(FV(Inputs!$B158/12,U$1*12+MthOff,Inputs!$B159,-Inputs!$B157),0)</f>
        <v>0</v>
      </c>
      <c r="V89" s="7">
        <f ca="1">-MAX(FV(Inputs!$B158/12,V$1*12+MthOff,Inputs!$B159,-Inputs!$B157),0)</f>
        <v>0</v>
      </c>
      <c r="W89" s="7">
        <f ca="1">-MAX(FV(Inputs!$B158/12,W$1*12+MthOff,Inputs!$B159,-Inputs!$B157),0)</f>
        <v>0</v>
      </c>
      <c r="X89" s="7">
        <f ca="1">-MAX(FV(Inputs!$B158/12,X$1*12+MthOff,Inputs!$B159,-Inputs!$B157),0)</f>
        <v>0</v>
      </c>
      <c r="Y89" s="7">
        <f ca="1">-MAX(FV(Inputs!$B158/12,Y$1*12+MthOff,Inputs!$B159,-Inputs!$B157),0)</f>
        <v>0</v>
      </c>
      <c r="Z89" s="7">
        <f ca="1">-MAX(FV(Inputs!$B158/12,Z$1*12+MthOff,Inputs!$B159,-Inputs!$B157),0)</f>
        <v>0</v>
      </c>
      <c r="AA89" s="7">
        <f ca="1">-MAX(FV(Inputs!$B158/12,AA$1*12+MthOff,Inputs!$B159,-Inputs!$B157),0)</f>
        <v>0</v>
      </c>
      <c r="AB89" s="7">
        <f ca="1">-MAX(FV(Inputs!$B158/12,AB$1*12+MthOff,Inputs!$B159,-Inputs!$B157),0)</f>
        <v>0</v>
      </c>
      <c r="AC89" s="7">
        <f ca="1">-MAX(FV(Inputs!$B158/12,AC$1*12+MthOff,Inputs!$B159,-Inputs!$B157),0)</f>
        <v>0</v>
      </c>
      <c r="AD89" s="7">
        <f ca="1">-MAX(FV(Inputs!$B158/12,AD$1*12+MthOff,Inputs!$B159,-Inputs!$B157),0)</f>
        <v>0</v>
      </c>
      <c r="AE89" s="7">
        <f ca="1">-MAX(FV(Inputs!$B158/12,AE$1*12+MthOff,Inputs!$B159,-Inputs!$B157),0)</f>
        <v>0</v>
      </c>
      <c r="AF89" s="7">
        <f ca="1">-MAX(FV(Inputs!$B158/12,AF$1*12+MthOff,Inputs!$B159,-Inputs!$B157),0)</f>
        <v>0</v>
      </c>
      <c r="AG89" s="7">
        <f ca="1">-MAX(FV(Inputs!$B158/12,AG$1*12+MthOff,Inputs!$B159,-Inputs!$B157),0)</f>
        <v>0</v>
      </c>
      <c r="AH89" s="7">
        <f ca="1">-MAX(FV(Inputs!$B158/12,AH$1*12+MthOff,Inputs!$B159,-Inputs!$B157),0)</f>
        <v>0</v>
      </c>
      <c r="AI89" s="7">
        <f ca="1">-MAX(FV(Inputs!$B158/12,AI$1*12+MthOff,Inputs!$B159,-Inputs!$B157),0)</f>
        <v>0</v>
      </c>
      <c r="AJ89" s="7">
        <f ca="1">-MAX(FV(Inputs!$B158/12,AJ$1*12+MthOff,Inputs!$B159,-Inputs!$B157),0)</f>
        <v>0</v>
      </c>
      <c r="AK89" s="7">
        <f ca="1">-MAX(FV(Inputs!$B158/12,AK$1*12+MthOff,Inputs!$B159,-Inputs!$B157),0)</f>
        <v>0</v>
      </c>
      <c r="AL89" s="7">
        <f ca="1">-MAX(FV(Inputs!$B158/12,AL$1*12+MthOff,Inputs!$B159,-Inputs!$B157),0)</f>
        <v>0</v>
      </c>
      <c r="AM89" s="7">
        <f ca="1">-MAX(FV(Inputs!$B158/12,AM$1*12+MthOff,Inputs!$B159,-Inputs!$B157),0)</f>
        <v>0</v>
      </c>
    </row>
    <row r="90" spans="1:39" x14ac:dyDescent="0.2">
      <c r="A90" s="3" t="str">
        <f>TEXT(Inputs!$B$97,"")</f>
        <v>Painting</v>
      </c>
      <c r="C90" s="7">
        <f ca="1">-MAX(FV(Inputs!$B163/12,C$1*12+MthOff,Inputs!$B164,-Inputs!$B162),0)</f>
        <v>-6544.7251312007966</v>
      </c>
      <c r="D90" s="7">
        <f ca="1">-MAX(FV(Inputs!$B163/12,D$1*12+MthOff,Inputs!$B164,-Inputs!$B162),0)</f>
        <v>-5344.7087535753089</v>
      </c>
      <c r="E90" s="7">
        <f ca="1">-MAX(FV(Inputs!$B163/12,E$1*12+MthOff,Inputs!$B164,-Inputs!$B162),0)</f>
        <v>-4083.2972605813311</v>
      </c>
      <c r="F90" s="7">
        <f ca="1">-MAX(FV(Inputs!$B163/12,F$1*12+MthOff,Inputs!$B164,-Inputs!$B162),0)</f>
        <v>-2757.3495615959573</v>
      </c>
      <c r="G90" s="7">
        <f ca="1">-MAX(FV(Inputs!$B163/12,G$1*12+MthOff,Inputs!$B164,-Inputs!$B162),0)</f>
        <v>-1363.5638618385628</v>
      </c>
      <c r="H90" s="7">
        <f ca="1">-MAX(FV(Inputs!$B163/12,H$1*12+MthOff,Inputs!$B164,-Inputs!$B162),0)</f>
        <v>0</v>
      </c>
      <c r="I90" s="7">
        <f ca="1">-MAX(FV(Inputs!$B163/12,I$1*12+MthOff,Inputs!$B164,-Inputs!$B162),0)</f>
        <v>0</v>
      </c>
      <c r="J90" s="7">
        <f ca="1">-MAX(FV(Inputs!$B163/12,J$1*12+MthOff,Inputs!$B164,-Inputs!$B162),0)</f>
        <v>0</v>
      </c>
      <c r="K90" s="7">
        <f ca="1">-MAX(FV(Inputs!$B163/12,K$1*12+MthOff,Inputs!$B164,-Inputs!$B162),0)</f>
        <v>0</v>
      </c>
      <c r="L90" s="7">
        <f ca="1">-MAX(FV(Inputs!$B163/12,L$1*12+MthOff,Inputs!$B164,-Inputs!$B162),0)</f>
        <v>0</v>
      </c>
      <c r="M90" s="7">
        <f ca="1">-MAX(FV(Inputs!$B163/12,M$1*12+MthOff,Inputs!$B164,-Inputs!$B162),0)</f>
        <v>0</v>
      </c>
      <c r="N90" s="7">
        <f ca="1">-MAX(FV(Inputs!$B163/12,N$1*12+MthOff,Inputs!$B164,-Inputs!$B162),0)</f>
        <v>0</v>
      </c>
      <c r="O90" s="7">
        <f ca="1">-MAX(FV(Inputs!$B163/12,O$1*12+MthOff,Inputs!$B164,-Inputs!$B162),0)</f>
        <v>0</v>
      </c>
      <c r="P90" s="7">
        <f ca="1">-MAX(FV(Inputs!$B163/12,P$1*12+MthOff,Inputs!$B164,-Inputs!$B162),0)</f>
        <v>0</v>
      </c>
      <c r="Q90" s="7">
        <f ca="1">-MAX(FV(Inputs!$B163/12,Q$1*12+MthOff,Inputs!$B164,-Inputs!$B162),0)</f>
        <v>0</v>
      </c>
      <c r="R90" s="7">
        <f ca="1">-MAX(FV(Inputs!$B163/12,R$1*12+MthOff,Inputs!$B164,-Inputs!$B162),0)</f>
        <v>0</v>
      </c>
      <c r="S90" s="7">
        <f ca="1">-MAX(FV(Inputs!$B163/12,S$1*12+MthOff,Inputs!$B164,-Inputs!$B162),0)</f>
        <v>0</v>
      </c>
      <c r="T90" s="7">
        <f ca="1">-MAX(FV(Inputs!$B163/12,T$1*12+MthOff,Inputs!$B164,-Inputs!$B162),0)</f>
        <v>0</v>
      </c>
      <c r="U90" s="7">
        <f ca="1">-MAX(FV(Inputs!$B163/12,U$1*12+MthOff,Inputs!$B164,-Inputs!$B162),0)</f>
        <v>0</v>
      </c>
      <c r="V90" s="7">
        <f ca="1">-MAX(FV(Inputs!$B163/12,V$1*12+MthOff,Inputs!$B164,-Inputs!$B162),0)</f>
        <v>0</v>
      </c>
      <c r="W90" s="7">
        <f ca="1">-MAX(FV(Inputs!$B163/12,W$1*12+MthOff,Inputs!$B164,-Inputs!$B162),0)</f>
        <v>0</v>
      </c>
      <c r="X90" s="7">
        <f ca="1">-MAX(FV(Inputs!$B163/12,X$1*12+MthOff,Inputs!$B164,-Inputs!$B162),0)</f>
        <v>0</v>
      </c>
      <c r="Y90" s="7">
        <f ca="1">-MAX(FV(Inputs!$B163/12,Y$1*12+MthOff,Inputs!$B164,-Inputs!$B162),0)</f>
        <v>0</v>
      </c>
      <c r="Z90" s="7">
        <f ca="1">-MAX(FV(Inputs!$B163/12,Z$1*12+MthOff,Inputs!$B164,-Inputs!$B162),0)</f>
        <v>0</v>
      </c>
      <c r="AA90" s="7">
        <f ca="1">-MAX(FV(Inputs!$B163/12,AA$1*12+MthOff,Inputs!$B164,-Inputs!$B162),0)</f>
        <v>0</v>
      </c>
      <c r="AB90" s="7">
        <f ca="1">-MAX(FV(Inputs!$B163/12,AB$1*12+MthOff,Inputs!$B164,-Inputs!$B162),0)</f>
        <v>0</v>
      </c>
      <c r="AC90" s="7">
        <f ca="1">-MAX(FV(Inputs!$B163/12,AC$1*12+MthOff,Inputs!$B164,-Inputs!$B162),0)</f>
        <v>0</v>
      </c>
      <c r="AD90" s="7">
        <f ca="1">-MAX(FV(Inputs!$B163/12,AD$1*12+MthOff,Inputs!$B164,-Inputs!$B162),0)</f>
        <v>0</v>
      </c>
      <c r="AE90" s="7">
        <f ca="1">-MAX(FV(Inputs!$B163/12,AE$1*12+MthOff,Inputs!$B164,-Inputs!$B162),0)</f>
        <v>0</v>
      </c>
      <c r="AF90" s="7">
        <f ca="1">-MAX(FV(Inputs!$B163/12,AF$1*12+MthOff,Inputs!$B164,-Inputs!$B162),0)</f>
        <v>0</v>
      </c>
      <c r="AG90" s="7">
        <f ca="1">-MAX(FV(Inputs!$B163/12,AG$1*12+MthOff,Inputs!$B164,-Inputs!$B162),0)</f>
        <v>0</v>
      </c>
      <c r="AH90" s="7">
        <f ca="1">-MAX(FV(Inputs!$B163/12,AH$1*12+MthOff,Inputs!$B164,-Inputs!$B162),0)</f>
        <v>0</v>
      </c>
      <c r="AI90" s="7">
        <f ca="1">-MAX(FV(Inputs!$B163/12,AI$1*12+MthOff,Inputs!$B164,-Inputs!$B162),0)</f>
        <v>0</v>
      </c>
      <c r="AJ90" s="7">
        <f ca="1">-MAX(FV(Inputs!$B163/12,AJ$1*12+MthOff,Inputs!$B164,-Inputs!$B162),0)</f>
        <v>0</v>
      </c>
      <c r="AK90" s="7">
        <f ca="1">-MAX(FV(Inputs!$B163/12,AK$1*12+MthOff,Inputs!$B164,-Inputs!$B162),0)</f>
        <v>0</v>
      </c>
      <c r="AL90" s="7">
        <f ca="1">-MAX(FV(Inputs!$B163/12,AL$1*12+MthOff,Inputs!$B164,-Inputs!$B162),0)</f>
        <v>0</v>
      </c>
      <c r="AM90" s="7">
        <f ca="1">-MAX(FV(Inputs!$B163/12,AM$1*12+MthOff,Inputs!$B164,-Inputs!$B162),0)</f>
        <v>0</v>
      </c>
    </row>
    <row r="91" spans="1:39" x14ac:dyDescent="0.2">
      <c r="A91" s="3" t="str">
        <f>TEXT(Inputs!$B$102,"")</f>
        <v>Boat</v>
      </c>
      <c r="C91" s="7">
        <f ca="1">-MAX(FV(Inputs!$B168/12,C$1*12+MthOff,Inputs!$B169,-Inputs!$B167),0)</f>
        <v>-35663.316802941074</v>
      </c>
      <c r="D91" s="7">
        <f ca="1">-MAX(FV(Inputs!$B168/12,D$1*12+MthOff,Inputs!$B169,-Inputs!$B167),0)</f>
        <v>-30165.561226487567</v>
      </c>
      <c r="E91" s="7">
        <f ca="1">-MAX(FV(Inputs!$B168/12,E$1*12+MthOff,Inputs!$B169,-Inputs!$B167),0)</f>
        <v>-24328.716115912546</v>
      </c>
      <c r="F91" s="7">
        <f ca="1">-MAX(FV(Inputs!$B168/12,F$1*12+MthOff,Inputs!$B169,-Inputs!$B167),0)</f>
        <v>-18131.867170725258</v>
      </c>
      <c r="G91" s="7">
        <f ca="1">-MAX(FV(Inputs!$B168/12,G$1*12+MthOff,Inputs!$B169,-Inputs!$B167),0)</f>
        <v>-11552.810142144008</v>
      </c>
      <c r="H91" s="7">
        <f ca="1">-MAX(FV(Inputs!$B168/12,H$1*12+MthOff,Inputs!$B169,-Inputs!$B167),0)</f>
        <v>-4567.971271908129</v>
      </c>
      <c r="I91" s="7">
        <f ca="1">-MAX(FV(Inputs!$B168/12,I$1*12+MthOff,Inputs!$B169,-Inputs!$B167),0)</f>
        <v>0</v>
      </c>
      <c r="J91" s="7">
        <f ca="1">-MAX(FV(Inputs!$B168/12,J$1*12+MthOff,Inputs!$B169,-Inputs!$B167),0)</f>
        <v>0</v>
      </c>
      <c r="K91" s="7">
        <f ca="1">-MAX(FV(Inputs!$B168/12,K$1*12+MthOff,Inputs!$B169,-Inputs!$B167),0)</f>
        <v>0</v>
      </c>
      <c r="L91" s="7">
        <f ca="1">-MAX(FV(Inputs!$B168/12,L$1*12+MthOff,Inputs!$B169,-Inputs!$B167),0)</f>
        <v>0</v>
      </c>
      <c r="M91" s="7">
        <f ca="1">-MAX(FV(Inputs!$B168/12,M$1*12+MthOff,Inputs!$B169,-Inputs!$B167),0)</f>
        <v>0</v>
      </c>
      <c r="N91" s="7">
        <f ca="1">-MAX(FV(Inputs!$B168/12,N$1*12+MthOff,Inputs!$B169,-Inputs!$B167),0)</f>
        <v>0</v>
      </c>
      <c r="O91" s="7">
        <f ca="1">-MAX(FV(Inputs!$B168/12,O$1*12+MthOff,Inputs!$B169,-Inputs!$B167),0)</f>
        <v>0</v>
      </c>
      <c r="P91" s="7">
        <f ca="1">-MAX(FV(Inputs!$B168/12,P$1*12+MthOff,Inputs!$B169,-Inputs!$B167),0)</f>
        <v>0</v>
      </c>
      <c r="Q91" s="7">
        <f ca="1">-MAX(FV(Inputs!$B168/12,Q$1*12+MthOff,Inputs!$B169,-Inputs!$B167),0)</f>
        <v>0</v>
      </c>
      <c r="R91" s="7">
        <f ca="1">-MAX(FV(Inputs!$B168/12,R$1*12+MthOff,Inputs!$B169,-Inputs!$B167),0)</f>
        <v>0</v>
      </c>
      <c r="S91" s="7">
        <f ca="1">-MAX(FV(Inputs!$B168/12,S$1*12+MthOff,Inputs!$B169,-Inputs!$B167),0)</f>
        <v>0</v>
      </c>
      <c r="T91" s="7">
        <f ca="1">-MAX(FV(Inputs!$B168/12,T$1*12+MthOff,Inputs!$B169,-Inputs!$B167),0)</f>
        <v>0</v>
      </c>
      <c r="U91" s="7">
        <f ca="1">-MAX(FV(Inputs!$B168/12,U$1*12+MthOff,Inputs!$B169,-Inputs!$B167),0)</f>
        <v>0</v>
      </c>
      <c r="V91" s="7">
        <f ca="1">-MAX(FV(Inputs!$B168/12,V$1*12+MthOff,Inputs!$B169,-Inputs!$B167),0)</f>
        <v>0</v>
      </c>
      <c r="W91" s="7">
        <f ca="1">-MAX(FV(Inputs!$B168/12,W$1*12+MthOff,Inputs!$B169,-Inputs!$B167),0)</f>
        <v>0</v>
      </c>
      <c r="X91" s="7">
        <f ca="1">-MAX(FV(Inputs!$B168/12,X$1*12+MthOff,Inputs!$B169,-Inputs!$B167),0)</f>
        <v>0</v>
      </c>
      <c r="Y91" s="7">
        <f ca="1">-MAX(FV(Inputs!$B168/12,Y$1*12+MthOff,Inputs!$B169,-Inputs!$B167),0)</f>
        <v>0</v>
      </c>
      <c r="Z91" s="7">
        <f ca="1">-MAX(FV(Inputs!$B168/12,Z$1*12+MthOff,Inputs!$B169,-Inputs!$B167),0)</f>
        <v>0</v>
      </c>
      <c r="AA91" s="7">
        <f ca="1">-MAX(FV(Inputs!$B168/12,AA$1*12+MthOff,Inputs!$B169,-Inputs!$B167),0)</f>
        <v>0</v>
      </c>
      <c r="AB91" s="7">
        <f ca="1">-MAX(FV(Inputs!$B168/12,AB$1*12+MthOff,Inputs!$B169,-Inputs!$B167),0)</f>
        <v>0</v>
      </c>
      <c r="AC91" s="7">
        <f ca="1">-MAX(FV(Inputs!$B168/12,AC$1*12+MthOff,Inputs!$B169,-Inputs!$B167),0)</f>
        <v>0</v>
      </c>
      <c r="AD91" s="7">
        <f ca="1">-MAX(FV(Inputs!$B168/12,AD$1*12+MthOff,Inputs!$B169,-Inputs!$B167),0)</f>
        <v>0</v>
      </c>
      <c r="AE91" s="7">
        <f ca="1">-MAX(FV(Inputs!$B168/12,AE$1*12+MthOff,Inputs!$B169,-Inputs!$B167),0)</f>
        <v>0</v>
      </c>
      <c r="AF91" s="7">
        <f ca="1">-MAX(FV(Inputs!$B168/12,AF$1*12+MthOff,Inputs!$B169,-Inputs!$B167),0)</f>
        <v>0</v>
      </c>
      <c r="AG91" s="7">
        <f ca="1">-MAX(FV(Inputs!$B168/12,AG$1*12+MthOff,Inputs!$B169,-Inputs!$B167),0)</f>
        <v>0</v>
      </c>
      <c r="AH91" s="7">
        <f ca="1">-MAX(FV(Inputs!$B168/12,AH$1*12+MthOff,Inputs!$B169,-Inputs!$B167),0)</f>
        <v>0</v>
      </c>
      <c r="AI91" s="7">
        <f ca="1">-MAX(FV(Inputs!$B168/12,AI$1*12+MthOff,Inputs!$B169,-Inputs!$B167),0)</f>
        <v>0</v>
      </c>
      <c r="AJ91" s="7">
        <f ca="1">-MAX(FV(Inputs!$B168/12,AJ$1*12+MthOff,Inputs!$B169,-Inputs!$B167),0)</f>
        <v>0</v>
      </c>
      <c r="AK91" s="7">
        <f ca="1">-MAX(FV(Inputs!$B168/12,AK$1*12+MthOff,Inputs!$B169,-Inputs!$B167),0)</f>
        <v>0</v>
      </c>
      <c r="AL91" s="7">
        <f ca="1">-MAX(FV(Inputs!$B168/12,AL$1*12+MthOff,Inputs!$B169,-Inputs!$B167),0)</f>
        <v>0</v>
      </c>
      <c r="AM91" s="7">
        <f ca="1">-MAX(FV(Inputs!$B168/12,AM$1*12+MthOff,Inputs!$B169,-Inputs!$B167),0)</f>
        <v>0</v>
      </c>
    </row>
    <row r="92" spans="1:39" x14ac:dyDescent="0.2">
      <c r="A92" s="3" t="str">
        <f>TEXT(Inputs!$B$107,"")</f>
        <v>Antiques</v>
      </c>
      <c r="C92" s="7">
        <f ca="1">-MAX(FV(Inputs!$B173/12,C$1*12+MthOff,Inputs!$B174,-Inputs!$B172),0)</f>
        <v>-2783.6180442430355</v>
      </c>
      <c r="D92" s="7">
        <f ca="1">-MAX(FV(Inputs!$B173/12,D$1*12+MthOff,Inputs!$B174,-Inputs!$B172),0)</f>
        <v>-1529.9823465461</v>
      </c>
      <c r="E92" s="7">
        <f ca="1">-MAX(FV(Inputs!$B173/12,E$1*12+MthOff,Inputs!$B174,-Inputs!$B172),0)</f>
        <v>-238.21611948276723</v>
      </c>
      <c r="F92" s="7">
        <f ca="1">-MAX(FV(Inputs!$B173/12,F$1*12+MthOff,Inputs!$B174,-Inputs!$B172),0)</f>
        <v>0</v>
      </c>
      <c r="G92" s="7">
        <f ca="1">-MAX(FV(Inputs!$B173/12,G$1*12+MthOff,Inputs!$B174,-Inputs!$B172),0)</f>
        <v>0</v>
      </c>
      <c r="H92" s="7">
        <f ca="1">-MAX(FV(Inputs!$B173/12,H$1*12+MthOff,Inputs!$B174,-Inputs!$B172),0)</f>
        <v>0</v>
      </c>
      <c r="I92" s="7">
        <f ca="1">-MAX(FV(Inputs!$B173/12,I$1*12+MthOff,Inputs!$B174,-Inputs!$B172),0)</f>
        <v>0</v>
      </c>
      <c r="J92" s="7">
        <f ca="1">-MAX(FV(Inputs!$B173/12,J$1*12+MthOff,Inputs!$B174,-Inputs!$B172),0)</f>
        <v>0</v>
      </c>
      <c r="K92" s="7">
        <f ca="1">-MAX(FV(Inputs!$B173/12,K$1*12+MthOff,Inputs!$B174,-Inputs!$B172),0)</f>
        <v>0</v>
      </c>
      <c r="L92" s="7">
        <f ca="1">-MAX(FV(Inputs!$B173/12,L$1*12+MthOff,Inputs!$B174,-Inputs!$B172),0)</f>
        <v>0</v>
      </c>
      <c r="M92" s="7">
        <f ca="1">-MAX(FV(Inputs!$B173/12,M$1*12+MthOff,Inputs!$B174,-Inputs!$B172),0)</f>
        <v>0</v>
      </c>
      <c r="N92" s="7">
        <f ca="1">-MAX(FV(Inputs!$B173/12,N$1*12+MthOff,Inputs!$B174,-Inputs!$B172),0)</f>
        <v>0</v>
      </c>
      <c r="O92" s="7">
        <f ca="1">-MAX(FV(Inputs!$B173/12,O$1*12+MthOff,Inputs!$B174,-Inputs!$B172),0)</f>
        <v>0</v>
      </c>
      <c r="P92" s="7">
        <f ca="1">-MAX(FV(Inputs!$B173/12,P$1*12+MthOff,Inputs!$B174,-Inputs!$B172),0)</f>
        <v>0</v>
      </c>
      <c r="Q92" s="7">
        <f ca="1">-MAX(FV(Inputs!$B173/12,Q$1*12+MthOff,Inputs!$B174,-Inputs!$B172),0)</f>
        <v>0</v>
      </c>
      <c r="R92" s="7">
        <f ca="1">-MAX(FV(Inputs!$B173/12,R$1*12+MthOff,Inputs!$B174,-Inputs!$B172),0)</f>
        <v>0</v>
      </c>
      <c r="S92" s="7">
        <f ca="1">-MAX(FV(Inputs!$B173/12,S$1*12+MthOff,Inputs!$B174,-Inputs!$B172),0)</f>
        <v>0</v>
      </c>
      <c r="T92" s="7">
        <f ca="1">-MAX(FV(Inputs!$B173/12,T$1*12+MthOff,Inputs!$B174,-Inputs!$B172),0)</f>
        <v>0</v>
      </c>
      <c r="U92" s="7">
        <f ca="1">-MAX(FV(Inputs!$B173/12,U$1*12+MthOff,Inputs!$B174,-Inputs!$B172),0)</f>
        <v>0</v>
      </c>
      <c r="V92" s="7">
        <f ca="1">-MAX(FV(Inputs!$B173/12,V$1*12+MthOff,Inputs!$B174,-Inputs!$B172),0)</f>
        <v>0</v>
      </c>
      <c r="W92" s="7">
        <f ca="1">-MAX(FV(Inputs!$B173/12,W$1*12+MthOff,Inputs!$B174,-Inputs!$B172),0)</f>
        <v>0</v>
      </c>
      <c r="X92" s="7">
        <f ca="1">-MAX(FV(Inputs!$B173/12,X$1*12+MthOff,Inputs!$B174,-Inputs!$B172),0)</f>
        <v>0</v>
      </c>
      <c r="Y92" s="7">
        <f ca="1">-MAX(FV(Inputs!$B173/12,Y$1*12+MthOff,Inputs!$B174,-Inputs!$B172),0)</f>
        <v>0</v>
      </c>
      <c r="Z92" s="7">
        <f ca="1">-MAX(FV(Inputs!$B173/12,Z$1*12+MthOff,Inputs!$B174,-Inputs!$B172),0)</f>
        <v>0</v>
      </c>
      <c r="AA92" s="7">
        <f ca="1">-MAX(FV(Inputs!$B173/12,AA$1*12+MthOff,Inputs!$B174,-Inputs!$B172),0)</f>
        <v>0</v>
      </c>
      <c r="AB92" s="7">
        <f ca="1">-MAX(FV(Inputs!$B173/12,AB$1*12+MthOff,Inputs!$B174,-Inputs!$B172),0)</f>
        <v>0</v>
      </c>
      <c r="AC92" s="7">
        <f ca="1">-MAX(FV(Inputs!$B173/12,AC$1*12+MthOff,Inputs!$B174,-Inputs!$B172),0)</f>
        <v>0</v>
      </c>
      <c r="AD92" s="7">
        <f ca="1">-MAX(FV(Inputs!$B173/12,AD$1*12+MthOff,Inputs!$B174,-Inputs!$B172),0)</f>
        <v>0</v>
      </c>
      <c r="AE92" s="7">
        <f ca="1">-MAX(FV(Inputs!$B173/12,AE$1*12+MthOff,Inputs!$B174,-Inputs!$B172),0)</f>
        <v>0</v>
      </c>
      <c r="AF92" s="7">
        <f ca="1">-MAX(FV(Inputs!$B173/12,AF$1*12+MthOff,Inputs!$B174,-Inputs!$B172),0)</f>
        <v>0</v>
      </c>
      <c r="AG92" s="7">
        <f ca="1">-MAX(FV(Inputs!$B173/12,AG$1*12+MthOff,Inputs!$B174,-Inputs!$B172),0)</f>
        <v>0</v>
      </c>
      <c r="AH92" s="7">
        <f ca="1">-MAX(FV(Inputs!$B173/12,AH$1*12+MthOff,Inputs!$B174,-Inputs!$B172),0)</f>
        <v>0</v>
      </c>
      <c r="AI92" s="7">
        <f ca="1">-MAX(FV(Inputs!$B173/12,AI$1*12+MthOff,Inputs!$B174,-Inputs!$B172),0)</f>
        <v>0</v>
      </c>
      <c r="AJ92" s="7">
        <f ca="1">-MAX(FV(Inputs!$B173/12,AJ$1*12+MthOff,Inputs!$B174,-Inputs!$B172),0)</f>
        <v>0</v>
      </c>
      <c r="AK92" s="7">
        <f ca="1">-MAX(FV(Inputs!$B173/12,AK$1*12+MthOff,Inputs!$B174,-Inputs!$B172),0)</f>
        <v>0</v>
      </c>
      <c r="AL92" s="7">
        <f ca="1">-MAX(FV(Inputs!$B173/12,AL$1*12+MthOff,Inputs!$B174,-Inputs!$B172),0)</f>
        <v>0</v>
      </c>
      <c r="AM92" s="7">
        <f ca="1">-MAX(FV(Inputs!$B173/12,AM$1*12+MthOff,Inputs!$B174,-Inputs!$B172),0)</f>
        <v>0</v>
      </c>
    </row>
    <row r="93" spans="1:39" x14ac:dyDescent="0.2">
      <c r="A93" s="4" t="s">
        <v>34</v>
      </c>
      <c r="C93" s="7">
        <f ca="1">-MAX(FV(Inputs!$B178/12,C$1*12+MthOff,Inputs!$B179,-Inputs!$B177),0)</f>
        <v>-3693.1592077552655</v>
      </c>
      <c r="D93" s="7">
        <f ca="1">-MAX(FV(Inputs!$B178/12,D$1*12+MthOff,Inputs!$B179,-Inputs!$B177),0)</f>
        <v>-3304.1670679118561</v>
      </c>
      <c r="E93" s="7">
        <f ca="1">-MAX(FV(Inputs!$B178/12,E$1*12+MthOff,Inputs!$B179,-Inputs!$B177),0)</f>
        <v>-2891.1827440504157</v>
      </c>
      <c r="F93" s="7">
        <f ca="1">-MAX(FV(Inputs!$B178/12,F$1*12+MthOff,Inputs!$B179,-Inputs!$B177),0)</f>
        <v>-2452.7264507588625</v>
      </c>
      <c r="G93" s="7">
        <f ca="1">-MAX(FV(Inputs!$B178/12,G$1*12+MthOff,Inputs!$B179,-Inputs!$B177),0)</f>
        <v>-1987.2271326988684</v>
      </c>
      <c r="H93" s="7">
        <f ca="1">-MAX(FV(Inputs!$B178/12,H$1*12+MthOff,Inputs!$B179,-Inputs!$B177),0)</f>
        <v>-1493.0168352765186</v>
      </c>
      <c r="I93" s="7">
        <f ca="1">-MAX(FV(Inputs!$B178/12,I$1*12+MthOff,Inputs!$B179,-Inputs!$B177),0)</f>
        <v>-968.32472810825493</v>
      </c>
      <c r="J93" s="7">
        <f ca="1">-MAX(FV(Inputs!$B178/12,J$1*12+MthOff,Inputs!$B179,-Inputs!$B177),0)</f>
        <v>-411.2707598672805</v>
      </c>
      <c r="K93" s="7">
        <f ca="1">-MAX(FV(Inputs!$B178/12,K$1*12+MthOff,Inputs!$B179,-Inputs!$B177),0)</f>
        <v>0</v>
      </c>
      <c r="L93" s="7">
        <f ca="1">-MAX(FV(Inputs!$B178/12,L$1*12+MthOff,Inputs!$B179,-Inputs!$B177),0)</f>
        <v>0</v>
      </c>
      <c r="M93" s="7">
        <f ca="1">-MAX(FV(Inputs!$B178/12,M$1*12+MthOff,Inputs!$B179,-Inputs!$B177),0)</f>
        <v>0</v>
      </c>
      <c r="N93" s="7">
        <f ca="1">-MAX(FV(Inputs!$B178/12,N$1*12+MthOff,Inputs!$B179,-Inputs!$B177),0)</f>
        <v>0</v>
      </c>
      <c r="O93" s="7">
        <f ca="1">-MAX(FV(Inputs!$B178/12,O$1*12+MthOff,Inputs!$B179,-Inputs!$B177),0)</f>
        <v>0</v>
      </c>
      <c r="P93" s="7">
        <f ca="1">-MAX(FV(Inputs!$B178/12,P$1*12+MthOff,Inputs!$B179,-Inputs!$B177),0)</f>
        <v>0</v>
      </c>
      <c r="Q93" s="7">
        <f ca="1">-MAX(FV(Inputs!$B178/12,Q$1*12+MthOff,Inputs!$B179,-Inputs!$B177),0)</f>
        <v>0</v>
      </c>
      <c r="R93" s="7">
        <f ca="1">-MAX(FV(Inputs!$B178/12,R$1*12+MthOff,Inputs!$B179,-Inputs!$B177),0)</f>
        <v>0</v>
      </c>
      <c r="S93" s="7">
        <f ca="1">-MAX(FV(Inputs!$B178/12,S$1*12+MthOff,Inputs!$B179,-Inputs!$B177),0)</f>
        <v>0</v>
      </c>
      <c r="T93" s="7">
        <f ca="1">-MAX(FV(Inputs!$B178/12,T$1*12+MthOff,Inputs!$B179,-Inputs!$B177),0)</f>
        <v>0</v>
      </c>
      <c r="U93" s="7">
        <f ca="1">-MAX(FV(Inputs!$B178/12,U$1*12+MthOff,Inputs!$B179,-Inputs!$B177),0)</f>
        <v>0</v>
      </c>
      <c r="V93" s="7">
        <f ca="1">-MAX(FV(Inputs!$B178/12,V$1*12+MthOff,Inputs!$B179,-Inputs!$B177),0)</f>
        <v>0</v>
      </c>
      <c r="W93" s="7">
        <f ca="1">-MAX(FV(Inputs!$B178/12,W$1*12+MthOff,Inputs!$B179,-Inputs!$B177),0)</f>
        <v>0</v>
      </c>
      <c r="X93" s="7">
        <f ca="1">-MAX(FV(Inputs!$B178/12,X$1*12+MthOff,Inputs!$B179,-Inputs!$B177),0)</f>
        <v>0</v>
      </c>
      <c r="Y93" s="7">
        <f ca="1">-MAX(FV(Inputs!$B178/12,Y$1*12+MthOff,Inputs!$B179,-Inputs!$B177),0)</f>
        <v>0</v>
      </c>
      <c r="Z93" s="7">
        <f ca="1">-MAX(FV(Inputs!$B178/12,Z$1*12+MthOff,Inputs!$B179,-Inputs!$B177),0)</f>
        <v>0</v>
      </c>
      <c r="AA93" s="7">
        <f ca="1">-MAX(FV(Inputs!$B178/12,AA$1*12+MthOff,Inputs!$B179,-Inputs!$B177),0)</f>
        <v>0</v>
      </c>
      <c r="AB93" s="7">
        <f ca="1">-MAX(FV(Inputs!$B178/12,AB$1*12+MthOff,Inputs!$B179,-Inputs!$B177),0)</f>
        <v>0</v>
      </c>
      <c r="AC93" s="7">
        <f ca="1">-MAX(FV(Inputs!$B178/12,AC$1*12+MthOff,Inputs!$B179,-Inputs!$B177),0)</f>
        <v>0</v>
      </c>
      <c r="AD93" s="7">
        <f ca="1">-MAX(FV(Inputs!$B178/12,AD$1*12+MthOff,Inputs!$B179,-Inputs!$B177),0)</f>
        <v>0</v>
      </c>
      <c r="AE93" s="7">
        <f ca="1">-MAX(FV(Inputs!$B178/12,AE$1*12+MthOff,Inputs!$B179,-Inputs!$B177),0)</f>
        <v>0</v>
      </c>
      <c r="AF93" s="7">
        <f ca="1">-MAX(FV(Inputs!$B178/12,AF$1*12+MthOff,Inputs!$B179,-Inputs!$B177),0)</f>
        <v>0</v>
      </c>
      <c r="AG93" s="7">
        <f ca="1">-MAX(FV(Inputs!$B178/12,AG$1*12+MthOff,Inputs!$B179,-Inputs!$B177),0)</f>
        <v>0</v>
      </c>
      <c r="AH93" s="7">
        <f ca="1">-MAX(FV(Inputs!$B178/12,AH$1*12+MthOff,Inputs!$B179,-Inputs!$B177),0)</f>
        <v>0</v>
      </c>
      <c r="AI93" s="7">
        <f ca="1">-MAX(FV(Inputs!$B178/12,AI$1*12+MthOff,Inputs!$B179,-Inputs!$B177),0)</f>
        <v>0</v>
      </c>
      <c r="AJ93" s="7">
        <f ca="1">-MAX(FV(Inputs!$B178/12,AJ$1*12+MthOff,Inputs!$B179,-Inputs!$B177),0)</f>
        <v>0</v>
      </c>
      <c r="AK93" s="7">
        <f ca="1">-MAX(FV(Inputs!$B178/12,AK$1*12+MthOff,Inputs!$B179,-Inputs!$B177),0)</f>
        <v>0</v>
      </c>
      <c r="AL93" s="7">
        <f ca="1">-MAX(FV(Inputs!$B178/12,AL$1*12+MthOff,Inputs!$B179,-Inputs!$B177),0)</f>
        <v>0</v>
      </c>
      <c r="AM93" s="7">
        <f ca="1">-MAX(FV(Inputs!$B178/12,AM$1*12+MthOff,Inputs!$B179,-Inputs!$B177),0)</f>
        <v>0</v>
      </c>
    </row>
    <row r="94" spans="1:39" x14ac:dyDescent="0.2">
      <c r="A94" s="4"/>
      <c r="C94" s="9">
        <f t="shared" ref="C94:AM94" ca="1" si="51">SUM(C65:C93)</f>
        <v>1789619.3445012956</v>
      </c>
      <c r="D94" s="9">
        <f t="shared" ca="1" si="51"/>
        <v>1864141.9295812796</v>
      </c>
      <c r="E94" s="9">
        <f t="shared" ca="1" si="51"/>
        <v>1957643.3432369996</v>
      </c>
      <c r="F94" s="9">
        <f t="shared" ca="1" si="51"/>
        <v>2032077.1987812216</v>
      </c>
      <c r="G94" s="9">
        <f t="shared" ca="1" si="51"/>
        <v>2139242.5151703316</v>
      </c>
      <c r="H94" s="9">
        <f t="shared" ca="1" si="51"/>
        <v>2253956.2554487754</v>
      </c>
      <c r="I94" s="9">
        <f t="shared" ca="1" si="51"/>
        <v>2373212.3213679679</v>
      </c>
      <c r="J94" s="9">
        <f t="shared" ca="1" si="51"/>
        <v>2503743.3040799322</v>
      </c>
      <c r="K94" s="9">
        <f t="shared" ca="1" si="51"/>
        <v>2622587.507788036</v>
      </c>
      <c r="L94" s="9">
        <f t="shared" ca="1" si="51"/>
        <v>2829759.799733527</v>
      </c>
      <c r="M94" s="9">
        <f t="shared" ca="1" si="51"/>
        <v>2946369.0396144441</v>
      </c>
      <c r="N94" s="9">
        <f t="shared" ca="1" si="51"/>
        <v>3112262.378018612</v>
      </c>
      <c r="O94" s="9">
        <f t="shared" ca="1" si="51"/>
        <v>3290988.2941486929</v>
      </c>
      <c r="P94" s="9">
        <f t="shared" ca="1" si="51"/>
        <v>3478264.257330751</v>
      </c>
      <c r="Q94" s="9">
        <f t="shared" ca="1" si="51"/>
        <v>3674398.8362885136</v>
      </c>
      <c r="R94" s="9">
        <f t="shared" ca="1" si="51"/>
        <v>3881968.1076357253</v>
      </c>
      <c r="S94" s="9">
        <f t="shared" ca="1" si="51"/>
        <v>4099295.1491844193</v>
      </c>
      <c r="T94" s="9">
        <f t="shared" ca="1" si="51"/>
        <v>4217518.2286675833</v>
      </c>
      <c r="U94" s="9">
        <f t="shared" ca="1" si="51"/>
        <v>4348016.8375674505</v>
      </c>
      <c r="V94" s="9">
        <f t="shared" ca="1" si="51"/>
        <v>4468038.3783782618</v>
      </c>
      <c r="W94" s="9">
        <f t="shared" ca="1" si="51"/>
        <v>4608482.5418189578</v>
      </c>
      <c r="X94" s="9">
        <f t="shared" ca="1" si="51"/>
        <v>4754297.2856014045</v>
      </c>
      <c r="Y94" s="9">
        <f t="shared" ca="1" si="51"/>
        <v>4883327.7438893924</v>
      </c>
      <c r="Z94" s="9">
        <f t="shared" ca="1" si="51"/>
        <v>5016832.7738845395</v>
      </c>
      <c r="AA94" s="9">
        <f t="shared" ca="1" si="51"/>
        <v>5130101.1316632601</v>
      </c>
      <c r="AB94" s="9">
        <f t="shared" ca="1" si="51"/>
        <v>5269842.6695800861</v>
      </c>
      <c r="AC94" s="9">
        <f t="shared" ca="1" si="51"/>
        <v>5414209.4095778381</v>
      </c>
      <c r="AD94" s="9">
        <f t="shared" ca="1" si="51"/>
        <v>5563344.1332958816</v>
      </c>
      <c r="AE94" s="9">
        <f t="shared" ca="1" si="51"/>
        <v>5727502.5482548792</v>
      </c>
      <c r="AF94" s="9">
        <f t="shared" ca="1" si="51"/>
        <v>5897237.0542436279</v>
      </c>
      <c r="AG94" s="9">
        <f t="shared" ca="1" si="51"/>
        <v>6072726.9166537076</v>
      </c>
      <c r="AH94" s="9">
        <f t="shared" ca="1" si="51"/>
        <v>6255796.4812535867</v>
      </c>
      <c r="AI94" s="9">
        <f t="shared" ca="1" si="51"/>
        <v>6445223.9270062102</v>
      </c>
      <c r="AJ94" s="9">
        <f t="shared" ca="1" si="51"/>
        <v>6641232.7493223129</v>
      </c>
      <c r="AK94" s="9">
        <f t="shared" ca="1" si="51"/>
        <v>6844056.0976893194</v>
      </c>
      <c r="AL94" s="9">
        <f t="shared" ca="1" si="51"/>
        <v>7053937.2082032925</v>
      </c>
      <c r="AM94" s="9">
        <f t="shared" ca="1" si="51"/>
        <v>7271129.8622714318</v>
      </c>
    </row>
    <row r="95" spans="1:39" x14ac:dyDescent="0.2">
      <c r="A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30" t="s">
        <v>71</v>
      </c>
      <c r="C96" s="7">
        <f t="shared" ref="C96:AM96" ca="1" si="52">C66-buffer</f>
        <v>12809.375000000015</v>
      </c>
      <c r="D96" s="7">
        <f t="shared" ca="1" si="52"/>
        <v>24162.215625000026</v>
      </c>
      <c r="E96" s="7">
        <f t="shared" ca="1" si="52"/>
        <v>41813.279140625047</v>
      </c>
      <c r="F96" s="7">
        <f t="shared" ca="1" si="52"/>
        <v>41803.568657505195</v>
      </c>
      <c r="G96" s="7">
        <f t="shared" ca="1" si="52"/>
        <v>73524.627177360788</v>
      </c>
      <c r="H96" s="7">
        <f t="shared" ca="1" si="52"/>
        <v>111945.76563583669</v>
      </c>
      <c r="I96" s="7">
        <f t="shared" ca="1" si="52"/>
        <v>179058.63493181192</v>
      </c>
      <c r="J96" s="7">
        <f t="shared" ca="1" si="52"/>
        <v>250182.50067145552</v>
      </c>
      <c r="K96" s="7">
        <f t="shared" ca="1" si="52"/>
        <v>308095.70278366783</v>
      </c>
      <c r="L96" s="7">
        <f t="shared" ca="1" si="52"/>
        <v>453640.47280939861</v>
      </c>
      <c r="M96" s="7">
        <f t="shared" ca="1" si="52"/>
        <v>510683.42164108111</v>
      </c>
      <c r="N96" s="7">
        <f t="shared" ca="1" si="52"/>
        <v>621525.85327123245</v>
      </c>
      <c r="O96" s="7">
        <f t="shared" ca="1" si="52"/>
        <v>738362.94313265686</v>
      </c>
      <c r="P96" s="7">
        <f t="shared" ca="1" si="52"/>
        <v>861449.23653079802</v>
      </c>
      <c r="Q96" s="7">
        <f t="shared" ca="1" si="52"/>
        <v>991048.98204238666</v>
      </c>
      <c r="R96" s="7">
        <f t="shared" ca="1" si="52"/>
        <v>1127436.4792682112</v>
      </c>
      <c r="S96" s="7">
        <f t="shared" ca="1" si="52"/>
        <v>1270896.4385593834</v>
      </c>
      <c r="T96" s="7">
        <f t="shared" ca="1" si="52"/>
        <v>1312493.9107349962</v>
      </c>
      <c r="U96" s="7">
        <f t="shared" ca="1" si="52"/>
        <v>1363530.8459680481</v>
      </c>
      <c r="V96" s="7">
        <f t="shared" ca="1" si="52"/>
        <v>1416566.1280568431</v>
      </c>
      <c r="W96" s="7">
        <f t="shared" ca="1" si="52"/>
        <v>1471676.7180232967</v>
      </c>
      <c r="X96" s="7">
        <f t="shared" ca="1" si="52"/>
        <v>1528942.4442265448</v>
      </c>
      <c r="Y96" s="7">
        <f t="shared" ca="1" si="52"/>
        <v>1567529.0131961552</v>
      </c>
      <c r="Z96" s="7">
        <f t="shared" ca="1" si="52"/>
        <v>1607393.5393787338</v>
      </c>
      <c r="AA96" s="7">
        <f t="shared" ca="1" si="52"/>
        <v>1648585.8680630873</v>
      </c>
      <c r="AB96" s="7">
        <f t="shared" ca="1" si="52"/>
        <v>1691157.8400002168</v>
      </c>
      <c r="AC96" s="7">
        <f t="shared" ca="1" si="52"/>
        <v>1735163.3690807538</v>
      </c>
      <c r="AD96" s="7">
        <f t="shared" ca="1" si="52"/>
        <v>1780658.5229208304</v>
      </c>
      <c r="AE96" s="7">
        <f t="shared" ca="1" si="52"/>
        <v>1837808.8624938719</v>
      </c>
      <c r="AF96" s="7">
        <f t="shared" ca="1" si="52"/>
        <v>1897073.1235563438</v>
      </c>
      <c r="AG96" s="7">
        <f t="shared" ca="1" si="52"/>
        <v>1958533.3002031124</v>
      </c>
      <c r="AH96" s="7">
        <f t="shared" ca="1" si="52"/>
        <v>2022274.5255423354</v>
      </c>
      <c r="AI96" s="7">
        <f t="shared" ca="1" si="52"/>
        <v>2088385.1882151016</v>
      </c>
      <c r="AJ96" s="7">
        <f t="shared" ca="1" si="52"/>
        <v>2156957.0531036272</v>
      </c>
      <c r="AK96" s="7">
        <f t="shared" ca="1" si="52"/>
        <v>2228085.3863743474</v>
      </c>
      <c r="AL96" s="7">
        <f t="shared" ca="1" si="52"/>
        <v>2301869.0850072289</v>
      </c>
      <c r="AM96" s="7">
        <f t="shared" ca="1" si="52"/>
        <v>2378410.8109677895</v>
      </c>
    </row>
    <row r="97" spans="1:44" x14ac:dyDescent="0.2">
      <c r="A97" s="2" t="s">
        <v>20</v>
      </c>
      <c r="C97" s="7">
        <f ca="1">IF(C96&lt;0,-C96,0)</f>
        <v>0</v>
      </c>
      <c r="D97" s="7">
        <f ca="1">IF(D96+SUM($C97:C97)&lt;0,-(D96+SUM($C97:C97)),0)</f>
        <v>0</v>
      </c>
      <c r="E97" s="7">
        <f ca="1">IF(E96+SUM($C97:D97)&lt;0,-(E96+SUM($C97:D97)),0)</f>
        <v>0</v>
      </c>
      <c r="F97" s="7">
        <f ca="1">IF(F96+SUM($C97:E97)&lt;0,-(F96+SUM($C97:E97)),0)</f>
        <v>0</v>
      </c>
      <c r="G97" s="7">
        <f ca="1">IF(G96+SUM($C97:F97)&lt;0,-(G96+SUM($C97:F97)),0)</f>
        <v>0</v>
      </c>
      <c r="H97" s="7">
        <f ca="1">IF(H96+SUM($C97:G97)&lt;0,-(H96+SUM($C97:G97)),0)</f>
        <v>0</v>
      </c>
      <c r="I97" s="7">
        <f ca="1">IF(I96+SUM($C97:H97)&lt;0,-(I96+SUM($C97:H97)),0)</f>
        <v>0</v>
      </c>
      <c r="J97" s="7">
        <f ca="1">IF(J96+SUM($C97:I97)&lt;0,-(J96+SUM($C97:I97)),0)</f>
        <v>0</v>
      </c>
      <c r="K97" s="7">
        <f ca="1">IF(K96+SUM($C97:J97)&lt;0,-(K96+SUM($C97:J97)),0)</f>
        <v>0</v>
      </c>
      <c r="L97" s="7">
        <f ca="1">IF(L96+SUM($C97:K97)&lt;0,-(L96+SUM($C97:K97)),0)</f>
        <v>0</v>
      </c>
      <c r="M97" s="7">
        <f ca="1">IF(M96+SUM($C97:L97)&lt;0,-(M96+SUM($C97:L97)),0)</f>
        <v>0</v>
      </c>
      <c r="N97" s="7">
        <f ca="1">IF(N96+SUM($C97:M97)&lt;0,-(N96+SUM($C97:M97)),0)</f>
        <v>0</v>
      </c>
      <c r="O97" s="7">
        <f ca="1">IF(O96+SUM($C97:N97)&lt;0,-(O96+SUM($C97:N97)),0)</f>
        <v>0</v>
      </c>
      <c r="P97" s="7">
        <f ca="1">IF(P96+SUM($C97:O97)&lt;0,-(P96+SUM($C97:O97)),0)</f>
        <v>0</v>
      </c>
      <c r="Q97" s="7">
        <f ca="1">IF(Q96+SUM($C97:P97)&lt;0,-(Q96+SUM($C97:P97)),0)</f>
        <v>0</v>
      </c>
      <c r="R97" s="7">
        <f ca="1">IF(R96+SUM($C97:Q97)&lt;0,-(R96+SUM($C97:Q97)),0)</f>
        <v>0</v>
      </c>
      <c r="S97" s="7">
        <f ca="1">IF(S96+SUM($C97:R97)&lt;0,-(S96+SUM($C97:R97)),0)</f>
        <v>0</v>
      </c>
      <c r="T97" s="7">
        <f ca="1">IF(T96+SUM($C97:S97)&lt;0,-(T96+SUM($C97:S97)),0)</f>
        <v>0</v>
      </c>
      <c r="U97" s="7">
        <f ca="1">IF(U96+SUM($C97:T97)&lt;0,-(U96+SUM($C97:T97)),0)</f>
        <v>0</v>
      </c>
      <c r="V97" s="7">
        <f ca="1">IF(V96+SUM($C97:U97)&lt;0,-(V96+SUM($C97:U97)),0)</f>
        <v>0</v>
      </c>
      <c r="W97" s="7">
        <f ca="1">IF(W96+SUM($C97:V97)&lt;0,-(W96+SUM($C97:V97)),0)</f>
        <v>0</v>
      </c>
      <c r="X97" s="7">
        <f ca="1">IF(X96+SUM($C97:W97)&lt;0,-(X96+SUM($C97:W97)),0)</f>
        <v>0</v>
      </c>
      <c r="Y97" s="7">
        <f ca="1">IF(Y96+SUM($C97:X97)&lt;0,-(Y96+SUM($C97:X97)),0)</f>
        <v>0</v>
      </c>
      <c r="Z97" s="7">
        <f ca="1">IF(Z96+SUM($C97:Y97)&lt;0,-(Z96+SUM($C97:Y97)),0)</f>
        <v>0</v>
      </c>
      <c r="AA97" s="7">
        <f ca="1">IF(AA96+SUM($C97:Z97)&lt;0,-(AA96+SUM($C97:Z97)),0)</f>
        <v>0</v>
      </c>
      <c r="AB97" s="7">
        <f ca="1">IF(AB96+SUM($C97:AA97)&lt;0,-(AB96+SUM($C97:AA97)),0)</f>
        <v>0</v>
      </c>
      <c r="AC97" s="7">
        <f ca="1">IF(AC96+SUM($C97:AB97)&lt;0,-(AC96+SUM($C97:AB97)),0)</f>
        <v>0</v>
      </c>
      <c r="AD97" s="7">
        <f ca="1">IF(AD96+SUM($C97:AC97)&lt;0,-(AD96+SUM($C97:AC97)),0)</f>
        <v>0</v>
      </c>
      <c r="AE97" s="7">
        <f ca="1">IF(AE96+SUM($C97:AD97)&lt;0,-(AE96+SUM($C97:AD97)),0)</f>
        <v>0</v>
      </c>
      <c r="AF97" s="7">
        <f ca="1">IF(AF96+SUM($C97:AE97)&lt;0,-(AF96+SUM($C97:AE97)),0)</f>
        <v>0</v>
      </c>
      <c r="AG97" s="7">
        <f ca="1">IF(AG96+SUM($C97:AF97)&lt;0,-(AG96+SUM($C97:AF97)),0)</f>
        <v>0</v>
      </c>
      <c r="AH97" s="7">
        <f ca="1">IF(AH96+SUM($C97:AG97)&lt;0,-(AH96+SUM($C97:AG97)),0)</f>
        <v>0</v>
      </c>
      <c r="AI97" s="7">
        <f ca="1">IF(AI96+SUM($C97:AH97)&lt;0,-(AI96+SUM($C97:AH97)),0)</f>
        <v>0</v>
      </c>
      <c r="AJ97" s="7">
        <f ca="1">IF(AJ96+SUM($C97:AI97)&lt;0,-(AJ96+SUM($C97:AI97)),0)</f>
        <v>0</v>
      </c>
      <c r="AK97" s="7">
        <f ca="1">IF(AK96+SUM($C97:AJ97)&lt;0,-(AK96+SUM($C97:AJ97)),0)</f>
        <v>0</v>
      </c>
      <c r="AL97" s="7">
        <f ca="1">IF(AL96+SUM($C97:AK97)&lt;0,-(AL96+SUM($C97:AK97)),0)</f>
        <v>0</v>
      </c>
      <c r="AM97" s="7">
        <f ca="1">IF(AM96+SUM($C97:AL97)&lt;0,-(AM96+SUM($C97:AL97)),0)</f>
        <v>0</v>
      </c>
    </row>
    <row r="98" spans="1:44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44" ht="19" x14ac:dyDescent="0.25">
      <c r="A99" s="25" t="s">
        <v>21</v>
      </c>
      <c r="B99" s="26"/>
      <c r="C99" s="27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 spans="1:44" x14ac:dyDescent="0.2">
      <c r="A100" s="1"/>
      <c r="C100" s="7"/>
      <c r="D100" s="11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</row>
    <row r="101" spans="1:44" x14ac:dyDescent="0.2">
      <c r="A101" s="24" t="s">
        <v>27</v>
      </c>
      <c r="B101" s="26"/>
      <c r="C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44" x14ac:dyDescent="0.2">
      <c r="A102" s="3" t="s">
        <v>22</v>
      </c>
      <c r="C102" s="7">
        <f ca="1">C80</f>
        <v>31987.064369139065</v>
      </c>
      <c r="D102" s="7">
        <f t="shared" ref="D102:AM102" ca="1" si="53">C105</f>
        <v>31987.064369139065</v>
      </c>
      <c r="E102" s="7">
        <f t="shared" ca="1" si="53"/>
        <v>27189.004713768205</v>
      </c>
      <c r="F102" s="7">
        <f t="shared" ca="1" si="53"/>
        <v>31987.064369139065</v>
      </c>
      <c r="G102" s="7">
        <f t="shared" ca="1" si="53"/>
        <v>34546.029518670191</v>
      </c>
      <c r="H102" s="7">
        <f t="shared" ca="1" si="53"/>
        <v>37309.711880163806</v>
      </c>
      <c r="I102" s="7">
        <f t="shared" ca="1" si="53"/>
        <v>40294.488830576913</v>
      </c>
      <c r="J102" s="7">
        <f t="shared" ca="1" si="53"/>
        <v>32235.591064461529</v>
      </c>
      <c r="K102" s="7">
        <f t="shared" ca="1" si="53"/>
        <v>34724.73782147887</v>
      </c>
      <c r="L102" s="7">
        <f t="shared" ca="1" si="53"/>
        <v>37406.089882428132</v>
      </c>
      <c r="M102" s="7">
        <f t="shared" ca="1" si="53"/>
        <v>40294.48883057692</v>
      </c>
      <c r="N102" s="7">
        <f t="shared" ca="1" si="53"/>
        <v>43518.047937023075</v>
      </c>
      <c r="O102" s="7">
        <f t="shared" ca="1" si="53"/>
        <v>40036.604102061232</v>
      </c>
      <c r="P102" s="7">
        <f t="shared" ca="1" si="53"/>
        <v>41164.984650000522</v>
      </c>
      <c r="Q102" s="7">
        <f t="shared" ca="1" si="53"/>
        <v>42325.167162405181</v>
      </c>
      <c r="R102" s="7">
        <f t="shared" ca="1" si="53"/>
        <v>43518.047937023082</v>
      </c>
      <c r="S102" s="7">
        <f t="shared" ca="1" si="53"/>
        <v>46999.491771984933</v>
      </c>
      <c r="T102" s="7">
        <f t="shared" ca="1" si="53"/>
        <v>50759.451113743729</v>
      </c>
      <c r="U102" s="7">
        <f t="shared" ca="1" si="53"/>
        <v>54820.20720284323</v>
      </c>
      <c r="V102" s="7">
        <f t="shared" ca="1" si="53"/>
        <v>59205.823779070692</v>
      </c>
      <c r="W102" s="7">
        <f t="shared" ca="1" si="53"/>
        <v>48548.775498837967</v>
      </c>
      <c r="X102" s="7">
        <f t="shared" ca="1" si="53"/>
        <v>53613.153674017958</v>
      </c>
      <c r="Y102" s="7">
        <f t="shared" ca="1" si="53"/>
        <v>59205.823779070692</v>
      </c>
      <c r="Z102" s="7">
        <f t="shared" ca="1" si="53"/>
        <v>63942.289681396345</v>
      </c>
      <c r="AA102" s="7">
        <f t="shared" ca="1" si="53"/>
        <v>69057.672855908051</v>
      </c>
      <c r="AB102" s="7">
        <f t="shared" ca="1" si="53"/>
        <v>49721.524456253799</v>
      </c>
      <c r="AC102" s="7">
        <f t="shared" ca="1" si="53"/>
        <v>52519.71404997963</v>
      </c>
      <c r="AD102" s="7">
        <f t="shared" ca="1" si="53"/>
        <v>55475.377998887881</v>
      </c>
      <c r="AE102" s="7">
        <f t="shared" ca="1" si="53"/>
        <v>58597.378523249732</v>
      </c>
      <c r="AF102" s="7">
        <f t="shared" ca="1" si="53"/>
        <v>61895.076584531671</v>
      </c>
      <c r="AG102" s="7">
        <f t="shared" ca="1" si="53"/>
        <v>65378.359953167725</v>
      </c>
      <c r="AH102" s="7">
        <f t="shared" ca="1" si="53"/>
        <v>69057.672855908095</v>
      </c>
      <c r="AI102" s="7">
        <f t="shared" ca="1" si="53"/>
        <v>74582.286684380742</v>
      </c>
      <c r="AJ102" s="7">
        <f t="shared" ca="1" si="53"/>
        <v>80548.869619131205</v>
      </c>
      <c r="AK102" s="7">
        <f t="shared" ca="1" si="53"/>
        <v>86992.779188661705</v>
      </c>
      <c r="AL102" s="7">
        <f t="shared" ca="1" si="53"/>
        <v>93952.201523754644</v>
      </c>
      <c r="AM102" s="7">
        <f t="shared" ca="1" si="53"/>
        <v>101468.37764565501</v>
      </c>
    </row>
    <row r="103" spans="1:44" x14ac:dyDescent="0.2">
      <c r="A103" s="3" t="s">
        <v>23</v>
      </c>
      <c r="C103" s="7">
        <f ca="1">-MIN(C102, C97/(1-Inputs!$B$273))</f>
        <v>0</v>
      </c>
      <c r="D103" s="7">
        <f ca="1">-MIN(D102, D97/(1-Inputs!$B$273))</f>
        <v>0</v>
      </c>
      <c r="E103" s="7">
        <f ca="1">-MIN(E102, E97/(1-Inputs!$B$273))</f>
        <v>0</v>
      </c>
      <c r="F103" s="7">
        <f ca="1">-MIN(F102, F97/(1-Inputs!$B$273))</f>
        <v>0</v>
      </c>
      <c r="G103" s="7">
        <f ca="1">-MIN(G102, G97/(1-Inputs!$B$273))</f>
        <v>0</v>
      </c>
      <c r="H103" s="7">
        <f ca="1">-MIN(H102, H97/(1-Inputs!$B$273))</f>
        <v>0</v>
      </c>
      <c r="I103" s="7">
        <f ca="1">-MIN(I102, I97/(1-Inputs!$B$273))</f>
        <v>0</v>
      </c>
      <c r="J103" s="7">
        <f ca="1">-MIN(J102, J97/(1-Inputs!$B$273))</f>
        <v>0</v>
      </c>
      <c r="K103" s="7">
        <f ca="1">-MIN(K102, K97/(1-Inputs!$B$273))</f>
        <v>0</v>
      </c>
      <c r="L103" s="7">
        <f ca="1">-MIN(L102, L97/(1-Inputs!$B$273))</f>
        <v>0</v>
      </c>
      <c r="M103" s="7">
        <f ca="1">-MIN(M102, M97/(1-Inputs!$B$273))</f>
        <v>0</v>
      </c>
      <c r="N103" s="7">
        <f ca="1">-MIN(N102, N97/(1-Inputs!$B$273))</f>
        <v>0</v>
      </c>
      <c r="O103" s="7">
        <f ca="1">-MIN(O102, O97/(1-Inputs!$B$273))</f>
        <v>0</v>
      </c>
      <c r="P103" s="7">
        <f ca="1">-MIN(P102, P97/(1-Inputs!$B$273))</f>
        <v>0</v>
      </c>
      <c r="Q103" s="7">
        <f ca="1">-MIN(Q102, Q97/(1-Inputs!$B$273))</f>
        <v>0</v>
      </c>
      <c r="R103" s="7">
        <f ca="1">-MIN(R102, R97/(1-Inputs!$B$273))</f>
        <v>0</v>
      </c>
      <c r="S103" s="7">
        <f ca="1">-MIN(S102, S97/(1-Inputs!$B$273))</f>
        <v>0</v>
      </c>
      <c r="T103" s="7">
        <f ca="1">-MIN(T102, T97/(1-Inputs!$B$273))</f>
        <v>0</v>
      </c>
      <c r="U103" s="7">
        <f ca="1">-MIN(U102, U97/(1-Inputs!$B$273))</f>
        <v>0</v>
      </c>
      <c r="V103" s="7">
        <f ca="1">-MIN(V102, V97/(1-Inputs!$B$273))</f>
        <v>0</v>
      </c>
      <c r="W103" s="7">
        <f ca="1">-MIN(W102, W97/(1-Inputs!$B$273))</f>
        <v>0</v>
      </c>
      <c r="X103" s="7">
        <f ca="1">-MIN(X102, X97/(1-Inputs!$B$273))</f>
        <v>0</v>
      </c>
      <c r="Y103" s="7">
        <f ca="1">-MIN(Y102, Y97/(1-Inputs!$B$273))</f>
        <v>0</v>
      </c>
      <c r="Z103" s="7">
        <f ca="1">-MIN(Z102, Z97/(1-Inputs!$B$273))</f>
        <v>0</v>
      </c>
      <c r="AA103" s="7">
        <f ca="1">-MIN(AA102, AA97/(1-Inputs!$B$273))</f>
        <v>0</v>
      </c>
      <c r="AB103" s="7">
        <f ca="1">-MIN(AB102, AB97/(1-Inputs!$B$273))</f>
        <v>0</v>
      </c>
      <c r="AC103" s="7">
        <f ca="1">-MIN(AC102, AC97/(1-Inputs!$B$273))</f>
        <v>0</v>
      </c>
      <c r="AD103" s="7">
        <f ca="1">-MIN(AD102, AD97/(1-Inputs!$B$273))</f>
        <v>0</v>
      </c>
      <c r="AE103" s="7">
        <f ca="1">-MIN(AE102, AE97/(1-Inputs!$B$273))</f>
        <v>0</v>
      </c>
      <c r="AF103" s="7">
        <f ca="1">-MIN(AF102, AF97/(1-Inputs!$B$273))</f>
        <v>0</v>
      </c>
      <c r="AG103" s="7">
        <f ca="1">-MIN(AG102, AG97/(1-Inputs!$B$273))</f>
        <v>0</v>
      </c>
      <c r="AH103" s="7">
        <f ca="1">-MIN(AH102, AH97/(1-Inputs!$B$273))</f>
        <v>0</v>
      </c>
      <c r="AI103" s="7">
        <f ca="1">-MIN(AI102, AI97/(1-Inputs!$B$273))</f>
        <v>0</v>
      </c>
      <c r="AJ103" s="7">
        <f ca="1">-MIN(AJ102, AJ97/(1-Inputs!$B$273))</f>
        <v>0</v>
      </c>
      <c r="AK103" s="7">
        <f ca="1">-MIN(AK102, AK97/(1-Inputs!$B$273))</f>
        <v>0</v>
      </c>
      <c r="AL103" s="7">
        <f ca="1">-MIN(AL102, AL97/(1-Inputs!$B$273))</f>
        <v>0</v>
      </c>
      <c r="AM103" s="7">
        <f ca="1">-MIN(AM102, AM97/(1-Inputs!$B$273))</f>
        <v>0</v>
      </c>
    </row>
    <row r="104" spans="1:44" x14ac:dyDescent="0.2">
      <c r="A104" s="3" t="s">
        <v>24</v>
      </c>
      <c r="C104" s="7">
        <v>0</v>
      </c>
      <c r="D104" s="7">
        <f ca="1">SUM(D102:D103)*IF(AND(Inputs!$B$218&lt;&gt;"",D$2=Inputs!$B$218),-Inputs!$B$219,IF(AND(Inputs!$B$218&lt;&gt;"",D$2&gt;Inputs!$B$218,D$2&lt;=Inputs!$B$218+Inputs!$B$220),(1/(1-Inputs!$B$219))^(1/Inputs!$B$220)-1,IF(AND(Inputs!$B$223&lt;&gt;"",D$2=Inputs!$B$223),-Inputs!$B$224,IF(AND(Inputs!$B$223&lt;&gt;"",D$2&gt;Inputs!$B$223,D$2&lt;=Inputs!$B$223+Inputs!$B$225),(1/(1-Inputs!$B$224))^(1/Inputs!$B$225)-1,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stinc))))))))))</f>
        <v>-4798.0596553708592</v>
      </c>
      <c r="E104" s="7">
        <f ca="1">SUM(E102:E103)*IF(AND(Inputs!$B$218&lt;&gt;"",E$2=Inputs!$B$218),-Inputs!$B$219,IF(AND(Inputs!$B$218&lt;&gt;"",E$2&gt;Inputs!$B$218,E$2&lt;=Inputs!$B$218+Inputs!$B$220),(1/(1-Inputs!$B$219))^(1/Inputs!$B$220)-1,IF(AND(Inputs!$B$223&lt;&gt;"",E$2=Inputs!$B$223),-Inputs!$B$224,IF(AND(Inputs!$B$223&lt;&gt;"",E$2&gt;Inputs!$B$223,E$2&lt;=Inputs!$B$223+Inputs!$B$225),(1/(1-Inputs!$B$224))^(1/Inputs!$B$225)-1,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stinc))))))))))</f>
        <v>4798.059655370861</v>
      </c>
      <c r="F104" s="7">
        <f ca="1">SUM(F102:F103)*IF(AND(Inputs!$B$218&lt;&gt;"",F$2=Inputs!$B$218),-Inputs!$B$219,IF(AND(Inputs!$B$218&lt;&gt;"",F$2&gt;Inputs!$B$218,F$2&lt;=Inputs!$B$218+Inputs!$B$220),(1/(1-Inputs!$B$219))^(1/Inputs!$B$220)-1,IF(AND(Inputs!$B$223&lt;&gt;"",F$2=Inputs!$B$223),-Inputs!$B$224,IF(AND(Inputs!$B$223&lt;&gt;"",F$2&gt;Inputs!$B$223,F$2&lt;=Inputs!$B$223+Inputs!$B$225),(1/(1-Inputs!$B$224))^(1/Inputs!$B$225)-1,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stinc))))))))))</f>
        <v>2558.9651495311255</v>
      </c>
      <c r="G104" s="7">
        <f ca="1">SUM(G102:G103)*IF(AND(Inputs!$B$218&lt;&gt;"",G$2=Inputs!$B$218),-Inputs!$B$219,IF(AND(Inputs!$B$218&lt;&gt;"",G$2&gt;Inputs!$B$218,G$2&lt;=Inputs!$B$218+Inputs!$B$220),(1/(1-Inputs!$B$219))^(1/Inputs!$B$220)-1,IF(AND(Inputs!$B$223&lt;&gt;"",G$2=Inputs!$B$223),-Inputs!$B$224,IF(AND(Inputs!$B$223&lt;&gt;"",G$2&gt;Inputs!$B$223,G$2&lt;=Inputs!$B$223+Inputs!$B$225),(1/(1-Inputs!$B$224))^(1/Inputs!$B$225)-1,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stinc))))))))))</f>
        <v>2763.6823614936152</v>
      </c>
      <c r="H104" s="7">
        <f ca="1">SUM(H102:H103)*IF(AND(Inputs!$B$218&lt;&gt;"",H$2=Inputs!$B$218),-Inputs!$B$219,IF(AND(Inputs!$B$218&lt;&gt;"",H$2&gt;Inputs!$B$218,H$2&lt;=Inputs!$B$218+Inputs!$B$220),(1/(1-Inputs!$B$219))^(1/Inputs!$B$220)-1,IF(AND(Inputs!$B$223&lt;&gt;"",H$2=Inputs!$B$223),-Inputs!$B$224,IF(AND(Inputs!$B$223&lt;&gt;"",H$2&gt;Inputs!$B$223,H$2&lt;=Inputs!$B$223+Inputs!$B$225),(1/(1-Inputs!$B$224))^(1/Inputs!$B$225)-1,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stinc))))))))))</f>
        <v>2984.7769504131047</v>
      </c>
      <c r="I104" s="7">
        <f ca="1">SUM(I102:I103)*IF(AND(Inputs!$B$218&lt;&gt;"",I$2=Inputs!$B$218),-Inputs!$B$219,IF(AND(Inputs!$B$218&lt;&gt;"",I$2&gt;Inputs!$B$218,I$2&lt;=Inputs!$B$218+Inputs!$B$220),(1/(1-Inputs!$B$219))^(1/Inputs!$B$220)-1,IF(AND(Inputs!$B$223&lt;&gt;"",I$2=Inputs!$B$223),-Inputs!$B$224,IF(AND(Inputs!$B$223&lt;&gt;"",I$2&gt;Inputs!$B$223,I$2&lt;=Inputs!$B$223+Inputs!$B$225),(1/(1-Inputs!$B$224))^(1/Inputs!$B$225)-1,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stinc))))))))))</f>
        <v>-8058.8977661153831</v>
      </c>
      <c r="J104" s="7">
        <f ca="1">SUM(J102:J103)*IF(AND(Inputs!$B$218&lt;&gt;"",J$2=Inputs!$B$218),-Inputs!$B$219,IF(AND(Inputs!$B$218&lt;&gt;"",J$2&gt;Inputs!$B$218,J$2&lt;=Inputs!$B$218+Inputs!$B$220),(1/(1-Inputs!$B$219))^(1/Inputs!$B$220)-1,IF(AND(Inputs!$B$223&lt;&gt;"",J$2=Inputs!$B$223),-Inputs!$B$224,IF(AND(Inputs!$B$223&lt;&gt;"",J$2&gt;Inputs!$B$223,J$2&lt;=Inputs!$B$223+Inputs!$B$225),(1/(1-Inputs!$B$224))^(1/Inputs!$B$225)-1,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stinc))))))))))</f>
        <v>2489.14675701734</v>
      </c>
      <c r="K104" s="7">
        <f ca="1">SUM(K102:K103)*IF(AND(Inputs!$B$218&lt;&gt;"",K$2=Inputs!$B$218),-Inputs!$B$219,IF(AND(Inputs!$B$218&lt;&gt;"",K$2&gt;Inputs!$B$218,K$2&lt;=Inputs!$B$218+Inputs!$B$220),(1/(1-Inputs!$B$219))^(1/Inputs!$B$220)-1,IF(AND(Inputs!$B$223&lt;&gt;"",K$2=Inputs!$B$223),-Inputs!$B$224,IF(AND(Inputs!$B$223&lt;&gt;"",K$2&gt;Inputs!$B$223,K$2&lt;=Inputs!$B$223+Inputs!$B$225),(1/(1-Inputs!$B$224))^(1/Inputs!$B$225)-1,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stinc))))))))))</f>
        <v>2681.3520609492607</v>
      </c>
      <c r="L104" s="7">
        <f ca="1">SUM(L102:L103)*IF(AND(Inputs!$B$218&lt;&gt;"",L$2=Inputs!$B$218),-Inputs!$B$219,IF(AND(Inputs!$B$218&lt;&gt;"",L$2&gt;Inputs!$B$218,L$2&lt;=Inputs!$B$218+Inputs!$B$220),(1/(1-Inputs!$B$219))^(1/Inputs!$B$220)-1,IF(AND(Inputs!$B$223&lt;&gt;"",L$2=Inputs!$B$223),-Inputs!$B$224,IF(AND(Inputs!$B$223&lt;&gt;"",L$2&gt;Inputs!$B$223,L$2&lt;=Inputs!$B$223+Inputs!$B$225),(1/(1-Inputs!$B$224))^(1/Inputs!$B$225)-1,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stinc))))))))))</f>
        <v>2888.398948148787</v>
      </c>
      <c r="M104" s="7">
        <f ca="1">SUM(M102:M103)*IF(AND(Inputs!$B$218&lt;&gt;"",M$2=Inputs!$B$218),-Inputs!$B$219,IF(AND(Inputs!$B$218&lt;&gt;"",M$2&gt;Inputs!$B$218,M$2&lt;=Inputs!$B$218+Inputs!$B$220),(1/(1-Inputs!$B$219))^(1/Inputs!$B$220)-1,IF(AND(Inputs!$B$223&lt;&gt;"",M$2=Inputs!$B$223),-Inputs!$B$224,IF(AND(Inputs!$B$223&lt;&gt;"",M$2&gt;Inputs!$B$223,M$2&lt;=Inputs!$B$223+Inputs!$B$225),(1/(1-Inputs!$B$224))^(1/Inputs!$B$225)-1,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stinc))))))))))</f>
        <v>3223.5591064461537</v>
      </c>
      <c r="N104" s="7">
        <f ca="1">SUM(N102:N103)*IF(AND(Inputs!$B$218&lt;&gt;"",N$2=Inputs!$B$218),-Inputs!$B$219,IF(AND(Inputs!$B$218&lt;&gt;"",N$2&gt;Inputs!$B$218,N$2&lt;=Inputs!$B$218+Inputs!$B$220),(1/(1-Inputs!$B$219))^(1/Inputs!$B$220)-1,IF(AND(Inputs!$B$223&lt;&gt;"",N$2=Inputs!$B$223),-Inputs!$B$224,IF(AND(Inputs!$B$223&lt;&gt;"",N$2&gt;Inputs!$B$223,N$2&lt;=Inputs!$B$223+Inputs!$B$225),(1/(1-Inputs!$B$224))^(1/Inputs!$B$225)-1,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stinc))))))))))</f>
        <v>-3481.4438349618463</v>
      </c>
      <c r="O104" s="7">
        <f ca="1">SUM(O102:O103)*IF(AND(Inputs!$B$218&lt;&gt;"",O$2=Inputs!$B$218),-Inputs!$B$219,IF(AND(Inputs!$B$218&lt;&gt;"",O$2&gt;Inputs!$B$218,O$2&lt;=Inputs!$B$218+Inputs!$B$220),(1/(1-Inputs!$B$219))^(1/Inputs!$B$220)-1,IF(AND(Inputs!$B$223&lt;&gt;"",O$2=Inputs!$B$223),-Inputs!$B$224,IF(AND(Inputs!$B$223&lt;&gt;"",O$2&gt;Inputs!$B$223,O$2&lt;=Inputs!$B$223+Inputs!$B$225),(1/(1-Inputs!$B$224))^(1/Inputs!$B$225)-1,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stinc))))))))))</f>
        <v>1128.3805479392927</v>
      </c>
      <c r="P104" s="7">
        <f ca="1">SUM(P102:P103)*IF(AND(Inputs!$B$218&lt;&gt;"",P$2=Inputs!$B$218),-Inputs!$B$219,IF(AND(Inputs!$B$218&lt;&gt;"",P$2&gt;Inputs!$B$218,P$2&lt;=Inputs!$B$218+Inputs!$B$220),(1/(1-Inputs!$B$219))^(1/Inputs!$B$220)-1,IF(AND(Inputs!$B$223&lt;&gt;"",P$2=Inputs!$B$223),-Inputs!$B$224,IF(AND(Inputs!$B$223&lt;&gt;"",P$2&gt;Inputs!$B$223,P$2&lt;=Inputs!$B$223+Inputs!$B$225),(1/(1-Inputs!$B$224))^(1/Inputs!$B$225)-1,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stinc))))))))))</f>
        <v>1160.1825124046613</v>
      </c>
      <c r="Q104" s="7">
        <f ca="1">SUM(Q102:Q103)*IF(AND(Inputs!$B$218&lt;&gt;"",Q$2=Inputs!$B$218),-Inputs!$B$219,IF(AND(Inputs!$B$218&lt;&gt;"",Q$2&gt;Inputs!$B$218,Q$2&lt;=Inputs!$B$218+Inputs!$B$220),(1/(1-Inputs!$B$219))^(1/Inputs!$B$220)-1,IF(AND(Inputs!$B$223&lt;&gt;"",Q$2=Inputs!$B$223),-Inputs!$B$224,IF(AND(Inputs!$B$223&lt;&gt;"",Q$2&gt;Inputs!$B$223,Q$2&lt;=Inputs!$B$223+Inputs!$B$225),(1/(1-Inputs!$B$224))^(1/Inputs!$B$225)-1,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stinc))))))))))</f>
        <v>1192.8807746178982</v>
      </c>
      <c r="R104" s="7">
        <f ca="1">SUM(R102:R103)*IF(AND(Inputs!$B$218&lt;&gt;"",R$2=Inputs!$B$218),-Inputs!$B$219,IF(AND(Inputs!$B$218&lt;&gt;"",R$2&gt;Inputs!$B$218,R$2&lt;=Inputs!$B$218+Inputs!$B$220),(1/(1-Inputs!$B$219))^(1/Inputs!$B$220)-1,IF(AND(Inputs!$B$223&lt;&gt;"",R$2=Inputs!$B$223),-Inputs!$B$224,IF(AND(Inputs!$B$223&lt;&gt;"",R$2&gt;Inputs!$B$223,R$2&lt;=Inputs!$B$223+Inputs!$B$225),(1/(1-Inputs!$B$224))^(1/Inputs!$B$225)-1,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stinc))))))))))</f>
        <v>3481.4438349618467</v>
      </c>
      <c r="S104" s="7">
        <f ca="1">SUM(S102:S103)*IF(AND(Inputs!$B$218&lt;&gt;"",S$2=Inputs!$B$218),-Inputs!$B$219,IF(AND(Inputs!$B$218&lt;&gt;"",S$2&gt;Inputs!$B$218,S$2&lt;=Inputs!$B$218+Inputs!$B$220),(1/(1-Inputs!$B$219))^(1/Inputs!$B$220)-1,IF(AND(Inputs!$B$223&lt;&gt;"",S$2=Inputs!$B$223),-Inputs!$B$224,IF(AND(Inputs!$B$223&lt;&gt;"",S$2&gt;Inputs!$B$223,S$2&lt;=Inputs!$B$223+Inputs!$B$225),(1/(1-Inputs!$B$224))^(1/Inputs!$B$225)-1,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stinc))))))))))</f>
        <v>3759.9593417587948</v>
      </c>
      <c r="T104" s="7">
        <f ca="1">SUM(T102:T103)*IF(AND(Inputs!$B$218&lt;&gt;"",T$2=Inputs!$B$218),-Inputs!$B$219,IF(AND(Inputs!$B$218&lt;&gt;"",T$2&gt;Inputs!$B$218,T$2&lt;=Inputs!$B$218+Inputs!$B$220),(1/(1-Inputs!$B$219))^(1/Inputs!$B$220)-1,IF(AND(Inputs!$B$223&lt;&gt;"",T$2=Inputs!$B$223),-Inputs!$B$224,IF(AND(Inputs!$B$223&lt;&gt;"",T$2&gt;Inputs!$B$223,T$2&lt;=Inputs!$B$223+Inputs!$B$225),(1/(1-Inputs!$B$224))^(1/Inputs!$B$225)-1,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stinc))))))))))</f>
        <v>4060.7560890994982</v>
      </c>
      <c r="U104" s="7">
        <f ca="1">SUM(U102:U103)*IF(AND(Inputs!$B$218&lt;&gt;"",U$2=Inputs!$B$218),-Inputs!$B$219,IF(AND(Inputs!$B$218&lt;&gt;"",U$2&gt;Inputs!$B$218,U$2&lt;=Inputs!$B$218+Inputs!$B$220),(1/(1-Inputs!$B$219))^(1/Inputs!$B$220)-1,IF(AND(Inputs!$B$223&lt;&gt;"",U$2=Inputs!$B$223),-Inputs!$B$224,IF(AND(Inputs!$B$223&lt;&gt;"",U$2&gt;Inputs!$B$223,U$2&lt;=Inputs!$B$223+Inputs!$B$225),(1/(1-Inputs!$B$224))^(1/Inputs!$B$225)-1,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stinc))))))))))</f>
        <v>4385.6165762274586</v>
      </c>
      <c r="V104" s="7">
        <f ca="1">SUM(V102:V103)*IF(AND(Inputs!$B$218&lt;&gt;"",V$2=Inputs!$B$218),-Inputs!$B$219,IF(AND(Inputs!$B$218&lt;&gt;"",V$2&gt;Inputs!$B$218,V$2&lt;=Inputs!$B$218+Inputs!$B$220),(1/(1-Inputs!$B$219))^(1/Inputs!$B$220)-1,IF(AND(Inputs!$B$223&lt;&gt;"",V$2=Inputs!$B$223),-Inputs!$B$224,IF(AND(Inputs!$B$223&lt;&gt;"",V$2&gt;Inputs!$B$223,V$2&lt;=Inputs!$B$223+Inputs!$B$225),(1/(1-Inputs!$B$224))^(1/Inputs!$B$225)-1,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stinc))))))))))</f>
        <v>-10657.048280232724</v>
      </c>
      <c r="W104" s="7">
        <f ca="1">SUM(W102:W103)*IF(AND(Inputs!$B$218&lt;&gt;"",W$2=Inputs!$B$218),-Inputs!$B$219,IF(AND(Inputs!$B$218&lt;&gt;"",W$2&gt;Inputs!$B$218,W$2&lt;=Inputs!$B$218+Inputs!$B$220),(1/(1-Inputs!$B$219))^(1/Inputs!$B$220)-1,IF(AND(Inputs!$B$223&lt;&gt;"",W$2=Inputs!$B$223),-Inputs!$B$224,IF(AND(Inputs!$B$223&lt;&gt;"",W$2&gt;Inputs!$B$223,W$2&lt;=Inputs!$B$223+Inputs!$B$225),(1/(1-Inputs!$B$224))^(1/Inputs!$B$225)-1,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stinc))))))))))</f>
        <v>5064.3781751799916</v>
      </c>
      <c r="X104" s="7">
        <f ca="1">SUM(X102:X103)*IF(AND(Inputs!$B$218&lt;&gt;"",X$2=Inputs!$B$218),-Inputs!$B$219,IF(AND(Inputs!$B$218&lt;&gt;"",X$2&gt;Inputs!$B$218,X$2&lt;=Inputs!$B$218+Inputs!$B$220),(1/(1-Inputs!$B$219))^(1/Inputs!$B$220)-1,IF(AND(Inputs!$B$223&lt;&gt;"",X$2=Inputs!$B$223),-Inputs!$B$224,IF(AND(Inputs!$B$223&lt;&gt;"",X$2&gt;Inputs!$B$223,X$2&lt;=Inputs!$B$223+Inputs!$B$225),(1/(1-Inputs!$B$224))^(1/Inputs!$B$225)-1,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stinc))))))))))</f>
        <v>5592.6701050527299</v>
      </c>
      <c r="Y104" s="7">
        <f ca="1">SUM(Y102:Y103)*IF(AND(Inputs!$B$218&lt;&gt;"",Y$2=Inputs!$B$218),-Inputs!$B$219,IF(AND(Inputs!$B$218&lt;&gt;"",Y$2&gt;Inputs!$B$218,Y$2&lt;=Inputs!$B$218+Inputs!$B$220),(1/(1-Inputs!$B$219))^(1/Inputs!$B$220)-1,IF(AND(Inputs!$B$223&lt;&gt;"",Y$2=Inputs!$B$223),-Inputs!$B$224,IF(AND(Inputs!$B$223&lt;&gt;"",Y$2&gt;Inputs!$B$223,Y$2&lt;=Inputs!$B$223+Inputs!$B$225),(1/(1-Inputs!$B$224))^(1/Inputs!$B$225)-1,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stinc))))))))))</f>
        <v>4736.4659023256554</v>
      </c>
      <c r="Z104" s="7">
        <f ca="1">SUM(Z102:Z103)*IF(AND(Inputs!$B$218&lt;&gt;"",Z$2=Inputs!$B$218),-Inputs!$B$219,IF(AND(Inputs!$B$218&lt;&gt;"",Z$2&gt;Inputs!$B$218,Z$2&lt;=Inputs!$B$218+Inputs!$B$220),(1/(1-Inputs!$B$219))^(1/Inputs!$B$220)-1,IF(AND(Inputs!$B$223&lt;&gt;"",Z$2=Inputs!$B$223),-Inputs!$B$224,IF(AND(Inputs!$B$223&lt;&gt;"",Z$2&gt;Inputs!$B$223,Z$2&lt;=Inputs!$B$223+Inputs!$B$225),(1/(1-Inputs!$B$224))^(1/Inputs!$B$225)-1,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stinc))))))))))</f>
        <v>5115.3831745117077</v>
      </c>
      <c r="AA104" s="7">
        <f ca="1">SUM(AA102:AA103)*IF(AND(Inputs!$B$218&lt;&gt;"",AA$2=Inputs!$B$218),-Inputs!$B$219,IF(AND(Inputs!$B$218&lt;&gt;"",AA$2&gt;Inputs!$B$218,AA$2&lt;=Inputs!$B$218+Inputs!$B$220),(1/(1-Inputs!$B$219))^(1/Inputs!$B$220)-1,IF(AND(Inputs!$B$223&lt;&gt;"",AA$2=Inputs!$B$223),-Inputs!$B$224,IF(AND(Inputs!$B$223&lt;&gt;"",AA$2&gt;Inputs!$B$223,AA$2&lt;=Inputs!$B$223+Inputs!$B$225),(1/(1-Inputs!$B$224))^(1/Inputs!$B$225)-1,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stinc))))))))))</f>
        <v>-19336.148399654256</v>
      </c>
      <c r="AB104" s="7">
        <f ca="1">SUM(AB102:AB103)*IF(AND(Inputs!$B$218&lt;&gt;"",AB$2=Inputs!$B$218),-Inputs!$B$219,IF(AND(Inputs!$B$218&lt;&gt;"",AB$2&gt;Inputs!$B$218,AB$2&lt;=Inputs!$B$218+Inputs!$B$220),(1/(1-Inputs!$B$219))^(1/Inputs!$B$220)-1,IF(AND(Inputs!$B$223&lt;&gt;"",AB$2=Inputs!$B$223),-Inputs!$B$224,IF(AND(Inputs!$B$223&lt;&gt;"",AB$2&gt;Inputs!$B$223,AB$2&lt;=Inputs!$B$223+Inputs!$B$225),(1/(1-Inputs!$B$224))^(1/Inputs!$B$225)-1,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stinc))))))))))</f>
        <v>2798.1895937258282</v>
      </c>
      <c r="AC104" s="7">
        <f ca="1">SUM(AC102:AC103)*IF(AND(Inputs!$B$218&lt;&gt;"",AC$2=Inputs!$B$218),-Inputs!$B$219,IF(AND(Inputs!$B$218&lt;&gt;"",AC$2&gt;Inputs!$B$218,AC$2&lt;=Inputs!$B$218+Inputs!$B$220),(1/(1-Inputs!$B$219))^(1/Inputs!$B$220)-1,IF(AND(Inputs!$B$223&lt;&gt;"",AC$2=Inputs!$B$223),-Inputs!$B$224,IF(AND(Inputs!$B$223&lt;&gt;"",AC$2&gt;Inputs!$B$223,AC$2&lt;=Inputs!$B$223+Inputs!$B$225),(1/(1-Inputs!$B$224))^(1/Inputs!$B$225)-1,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stinc))))))))))</f>
        <v>2955.663948908249</v>
      </c>
      <c r="AD104" s="7">
        <f ca="1">SUM(AD102:AD103)*IF(AND(Inputs!$B$218&lt;&gt;"",AD$2=Inputs!$B$218),-Inputs!$B$219,IF(AND(Inputs!$B$218&lt;&gt;"",AD$2&gt;Inputs!$B$218,AD$2&lt;=Inputs!$B$218+Inputs!$B$220),(1/(1-Inputs!$B$219))^(1/Inputs!$B$220)-1,IF(AND(Inputs!$B$223&lt;&gt;"",AD$2=Inputs!$B$223),-Inputs!$B$224,IF(AND(Inputs!$B$223&lt;&gt;"",AD$2&gt;Inputs!$B$223,AD$2&lt;=Inputs!$B$223+Inputs!$B$225),(1/(1-Inputs!$B$224))^(1/Inputs!$B$225)-1,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stinc))))))))))</f>
        <v>3122.0005243618484</v>
      </c>
      <c r="AE104" s="7">
        <f ca="1">SUM(AE102:AE103)*IF(AND(Inputs!$B$218&lt;&gt;"",AE$2=Inputs!$B$218),-Inputs!$B$219,IF(AND(Inputs!$B$218&lt;&gt;"",AE$2&gt;Inputs!$B$218,AE$2&lt;=Inputs!$B$218+Inputs!$B$220),(1/(1-Inputs!$B$219))^(1/Inputs!$B$220)-1,IF(AND(Inputs!$B$223&lt;&gt;"",AE$2=Inputs!$B$223),-Inputs!$B$224,IF(AND(Inputs!$B$223&lt;&gt;"",AE$2&gt;Inputs!$B$223,AE$2&lt;=Inputs!$B$223+Inputs!$B$225),(1/(1-Inputs!$B$224))^(1/Inputs!$B$225)-1,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stinc))))))))))</f>
        <v>3297.6980612819407</v>
      </c>
      <c r="AF104" s="7">
        <f ca="1">SUM(AF102:AF103)*IF(AND(Inputs!$B$218&lt;&gt;"",AF$2=Inputs!$B$218),-Inputs!$B$219,IF(AND(Inputs!$B$218&lt;&gt;"",AF$2&gt;Inputs!$B$218,AF$2&lt;=Inputs!$B$218+Inputs!$B$220),(1/(1-Inputs!$B$219))^(1/Inputs!$B$220)-1,IF(AND(Inputs!$B$223&lt;&gt;"",AF$2=Inputs!$B$223),-Inputs!$B$224,IF(AND(Inputs!$B$223&lt;&gt;"",AF$2&gt;Inputs!$B$223,AF$2&lt;=Inputs!$B$223+Inputs!$B$225),(1/(1-Inputs!$B$224))^(1/Inputs!$B$225)-1,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stinc))))))))))</f>
        <v>3483.2833686360545</v>
      </c>
      <c r="AG104" s="7">
        <f ca="1">SUM(AG102:AG103)*IF(AND(Inputs!$B$218&lt;&gt;"",AG$2=Inputs!$B$218),-Inputs!$B$219,IF(AND(Inputs!$B$218&lt;&gt;"",AG$2&gt;Inputs!$B$218,AG$2&lt;=Inputs!$B$218+Inputs!$B$220),(1/(1-Inputs!$B$219))^(1/Inputs!$B$220)-1,IF(AND(Inputs!$B$223&lt;&gt;"",AG$2=Inputs!$B$223),-Inputs!$B$224,IF(AND(Inputs!$B$223&lt;&gt;"",AG$2&gt;Inputs!$B$223,AG$2&lt;=Inputs!$B$223+Inputs!$B$225),(1/(1-Inputs!$B$224))^(1/Inputs!$B$225)-1,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stinc))))))))))</f>
        <v>3679.3129027403679</v>
      </c>
      <c r="AH104" s="7">
        <f ca="1">SUM(AH102:AH103)*IF(AND(Inputs!$B$218&lt;&gt;"",AH$2=Inputs!$B$218),-Inputs!$B$219,IF(AND(Inputs!$B$218&lt;&gt;"",AH$2&gt;Inputs!$B$218,AH$2&lt;=Inputs!$B$218+Inputs!$B$220),(1/(1-Inputs!$B$219))^(1/Inputs!$B$220)-1,IF(AND(Inputs!$B$223&lt;&gt;"",AH$2=Inputs!$B$223),-Inputs!$B$224,IF(AND(Inputs!$B$223&lt;&gt;"",AH$2&gt;Inputs!$B$223,AH$2&lt;=Inputs!$B$223+Inputs!$B$225),(1/(1-Inputs!$B$224))^(1/Inputs!$B$225)-1,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stinc))))))))))</f>
        <v>5524.6138284726476</v>
      </c>
      <c r="AI104" s="7">
        <f ca="1">SUM(AI102:AI103)*IF(AND(Inputs!$B$218&lt;&gt;"",AI$2=Inputs!$B$218),-Inputs!$B$219,IF(AND(Inputs!$B$218&lt;&gt;"",AI$2&gt;Inputs!$B$218,AI$2&lt;=Inputs!$B$218+Inputs!$B$220),(1/(1-Inputs!$B$219))^(1/Inputs!$B$220)-1,IF(AND(Inputs!$B$223&lt;&gt;"",AI$2=Inputs!$B$223),-Inputs!$B$224,IF(AND(Inputs!$B$223&lt;&gt;"",AI$2&gt;Inputs!$B$223,AI$2&lt;=Inputs!$B$223+Inputs!$B$225),(1/(1-Inputs!$B$224))^(1/Inputs!$B$225)-1,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stinc))))))))))</f>
        <v>5966.5829347504596</v>
      </c>
      <c r="AJ104" s="7">
        <f ca="1">SUM(AJ102:AJ103)*IF(AND(Inputs!$B$218&lt;&gt;"",AJ$2=Inputs!$B$218),-Inputs!$B$219,IF(AND(Inputs!$B$218&lt;&gt;"",AJ$2&gt;Inputs!$B$218,AJ$2&lt;=Inputs!$B$218+Inputs!$B$220),(1/(1-Inputs!$B$219))^(1/Inputs!$B$220)-1,IF(AND(Inputs!$B$223&lt;&gt;"",AJ$2=Inputs!$B$223),-Inputs!$B$224,IF(AND(Inputs!$B$223&lt;&gt;"",AJ$2&gt;Inputs!$B$223,AJ$2&lt;=Inputs!$B$223+Inputs!$B$225),(1/(1-Inputs!$B$224))^(1/Inputs!$B$225)-1,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stinc))))))))))</f>
        <v>6443.9095695304968</v>
      </c>
      <c r="AK104" s="7">
        <f ca="1">SUM(AK102:AK103)*IF(AND(Inputs!$B$218&lt;&gt;"",AK$2=Inputs!$B$218),-Inputs!$B$219,IF(AND(Inputs!$B$218&lt;&gt;"",AK$2&gt;Inputs!$B$218,AK$2&lt;=Inputs!$B$218+Inputs!$B$220),(1/(1-Inputs!$B$219))^(1/Inputs!$B$220)-1,IF(AND(Inputs!$B$223&lt;&gt;"",AK$2=Inputs!$B$223),-Inputs!$B$224,IF(AND(Inputs!$B$223&lt;&gt;"",AK$2&gt;Inputs!$B$223,AK$2&lt;=Inputs!$B$223+Inputs!$B$225),(1/(1-Inputs!$B$224))^(1/Inputs!$B$225)-1,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stinc))))))))))</f>
        <v>6959.4223350929369</v>
      </c>
      <c r="AL104" s="7">
        <f ca="1">SUM(AL102:AL103)*IF(AND(Inputs!$B$218&lt;&gt;"",AL$2=Inputs!$B$218),-Inputs!$B$219,IF(AND(Inputs!$B$218&lt;&gt;"",AL$2&gt;Inputs!$B$218,AL$2&lt;=Inputs!$B$218+Inputs!$B$220),(1/(1-Inputs!$B$219))^(1/Inputs!$B$220)-1,IF(AND(Inputs!$B$223&lt;&gt;"",AL$2=Inputs!$B$223),-Inputs!$B$224,IF(AND(Inputs!$B$223&lt;&gt;"",AL$2&gt;Inputs!$B$223,AL$2&lt;=Inputs!$B$223+Inputs!$B$225),(1/(1-Inputs!$B$224))^(1/Inputs!$B$225)-1,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stinc))))))))))</f>
        <v>7516.176121900372</v>
      </c>
      <c r="AM104" s="7">
        <f ca="1">SUM(AM102:AM103)*IF(AND(Inputs!$B$218&lt;&gt;"",AM$2=Inputs!$B$218),-Inputs!$B$219,IF(AND(Inputs!$B$218&lt;&gt;"",AM$2&gt;Inputs!$B$218,AM$2&lt;=Inputs!$B$218+Inputs!$B$220),(1/(1-Inputs!$B$219))^(1/Inputs!$B$220)-1,IF(AND(Inputs!$B$223&lt;&gt;"",AM$2=Inputs!$B$223),-Inputs!$B$224,IF(AND(Inputs!$B$223&lt;&gt;"",AM$2&gt;Inputs!$B$223,AM$2&lt;=Inputs!$B$223+Inputs!$B$225),(1/(1-Inputs!$B$224))^(1/Inputs!$B$225)-1,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stinc))))))))))</f>
        <v>8117.4702116524013</v>
      </c>
    </row>
    <row r="105" spans="1:44" x14ac:dyDescent="0.2">
      <c r="A105" s="3" t="s">
        <v>25</v>
      </c>
      <c r="C105" s="7">
        <f ca="1">SUM(C102:C104)</f>
        <v>31987.064369139065</v>
      </c>
      <c r="D105" s="7">
        <f ca="1">SUM(D102:D104)</f>
        <v>27189.004713768205</v>
      </c>
      <c r="E105" s="7">
        <f t="shared" ref="E105:AM105" ca="1" si="54">SUM(E102:E104)</f>
        <v>31987.064369139065</v>
      </c>
      <c r="F105" s="7">
        <f t="shared" ca="1" si="54"/>
        <v>34546.029518670191</v>
      </c>
      <c r="G105" s="7">
        <f t="shared" ca="1" si="54"/>
        <v>37309.711880163806</v>
      </c>
      <c r="H105" s="7">
        <f t="shared" ca="1" si="54"/>
        <v>40294.488830576913</v>
      </c>
      <c r="I105" s="7">
        <f t="shared" ca="1" si="54"/>
        <v>32235.591064461529</v>
      </c>
      <c r="J105" s="7">
        <f t="shared" ca="1" si="54"/>
        <v>34724.73782147887</v>
      </c>
      <c r="K105" s="7">
        <f t="shared" ca="1" si="54"/>
        <v>37406.089882428132</v>
      </c>
      <c r="L105" s="7">
        <f t="shared" ca="1" si="54"/>
        <v>40294.48883057692</v>
      </c>
      <c r="M105" s="7">
        <f t="shared" ca="1" si="54"/>
        <v>43518.047937023075</v>
      </c>
      <c r="N105" s="7">
        <f t="shared" ca="1" si="54"/>
        <v>40036.604102061232</v>
      </c>
      <c r="O105" s="7">
        <f t="shared" ca="1" si="54"/>
        <v>41164.984650000522</v>
      </c>
      <c r="P105" s="7">
        <f t="shared" ca="1" si="54"/>
        <v>42325.167162405181</v>
      </c>
      <c r="Q105" s="7">
        <f t="shared" ca="1" si="54"/>
        <v>43518.047937023082</v>
      </c>
      <c r="R105" s="7">
        <f t="shared" ca="1" si="54"/>
        <v>46999.491771984933</v>
      </c>
      <c r="S105" s="7">
        <f t="shared" ca="1" si="54"/>
        <v>50759.451113743729</v>
      </c>
      <c r="T105" s="7">
        <f t="shared" ca="1" si="54"/>
        <v>54820.20720284323</v>
      </c>
      <c r="U105" s="7">
        <f t="shared" ca="1" si="54"/>
        <v>59205.823779070692</v>
      </c>
      <c r="V105" s="7">
        <f t="shared" ca="1" si="54"/>
        <v>48548.775498837967</v>
      </c>
      <c r="W105" s="7">
        <f t="shared" ca="1" si="54"/>
        <v>53613.153674017958</v>
      </c>
      <c r="X105" s="7">
        <f t="shared" ca="1" si="54"/>
        <v>59205.823779070692</v>
      </c>
      <c r="Y105" s="7">
        <f t="shared" ca="1" si="54"/>
        <v>63942.289681396345</v>
      </c>
      <c r="Z105" s="7">
        <f t="shared" ca="1" si="54"/>
        <v>69057.672855908051</v>
      </c>
      <c r="AA105" s="7">
        <f t="shared" ca="1" si="54"/>
        <v>49721.524456253799</v>
      </c>
      <c r="AB105" s="7">
        <f t="shared" ca="1" si="54"/>
        <v>52519.71404997963</v>
      </c>
      <c r="AC105" s="7">
        <f t="shared" ca="1" si="54"/>
        <v>55475.377998887881</v>
      </c>
      <c r="AD105" s="7">
        <f t="shared" ca="1" si="54"/>
        <v>58597.378523249732</v>
      </c>
      <c r="AE105" s="7">
        <f t="shared" ca="1" si="54"/>
        <v>61895.076584531671</v>
      </c>
      <c r="AF105" s="7">
        <f t="shared" ca="1" si="54"/>
        <v>65378.359953167725</v>
      </c>
      <c r="AG105" s="7">
        <f t="shared" ca="1" si="54"/>
        <v>69057.672855908095</v>
      </c>
      <c r="AH105" s="7">
        <f t="shared" ca="1" si="54"/>
        <v>74582.286684380742</v>
      </c>
      <c r="AI105" s="7">
        <f t="shared" ca="1" si="54"/>
        <v>80548.869619131205</v>
      </c>
      <c r="AJ105" s="7">
        <f t="shared" ca="1" si="54"/>
        <v>86992.779188661705</v>
      </c>
      <c r="AK105" s="7">
        <f t="shared" ca="1" si="54"/>
        <v>93952.201523754644</v>
      </c>
      <c r="AL105" s="7">
        <f t="shared" ca="1" si="54"/>
        <v>101468.37764565501</v>
      </c>
      <c r="AM105" s="7">
        <f t="shared" ca="1" si="54"/>
        <v>109585.84785730741</v>
      </c>
    </row>
    <row r="106" spans="1:44" x14ac:dyDescent="0.2">
      <c r="A106" s="3" t="s">
        <v>26</v>
      </c>
      <c r="C106" s="7">
        <f ca="1">C103*Inputs!$B$273</f>
        <v>0</v>
      </c>
      <c r="D106" s="7">
        <f ca="1">D103*Inputs!$B$273</f>
        <v>0</v>
      </c>
      <c r="E106" s="7">
        <f ca="1">E103*Inputs!$B$273</f>
        <v>0</v>
      </c>
      <c r="F106" s="7">
        <f ca="1">F103*Inputs!$B$273</f>
        <v>0</v>
      </c>
      <c r="G106" s="7">
        <f ca="1">G103*Inputs!$B$273</f>
        <v>0</v>
      </c>
      <c r="H106" s="7">
        <f ca="1">H103*Inputs!$B$273</f>
        <v>0</v>
      </c>
      <c r="I106" s="7">
        <f ca="1">I103*Inputs!$B$273</f>
        <v>0</v>
      </c>
      <c r="J106" s="7">
        <f ca="1">J103*Inputs!$B$273</f>
        <v>0</v>
      </c>
      <c r="K106" s="7">
        <f ca="1">K103*Inputs!$B$273</f>
        <v>0</v>
      </c>
      <c r="L106" s="7">
        <f ca="1">L103*Inputs!$B$273</f>
        <v>0</v>
      </c>
      <c r="M106" s="7">
        <f ca="1">M103*Inputs!$B$273</f>
        <v>0</v>
      </c>
      <c r="N106" s="7">
        <f ca="1">N103*Inputs!$B$273</f>
        <v>0</v>
      </c>
      <c r="O106" s="7">
        <f ca="1">O103*Inputs!$B$273</f>
        <v>0</v>
      </c>
      <c r="P106" s="7">
        <f ca="1">P103*Inputs!$B$273</f>
        <v>0</v>
      </c>
      <c r="Q106" s="7">
        <f ca="1">Q103*Inputs!$B$273</f>
        <v>0</v>
      </c>
      <c r="R106" s="7">
        <f ca="1">R103*Inputs!$B$273</f>
        <v>0</v>
      </c>
      <c r="S106" s="7">
        <f ca="1">S103*Inputs!$B$273</f>
        <v>0</v>
      </c>
      <c r="T106" s="7">
        <f ca="1">T103*Inputs!$B$273</f>
        <v>0</v>
      </c>
      <c r="U106" s="7">
        <f ca="1">U103*Inputs!$B$273</f>
        <v>0</v>
      </c>
      <c r="V106" s="7">
        <f ca="1">V103*Inputs!$B$273</f>
        <v>0</v>
      </c>
      <c r="W106" s="7">
        <f ca="1">W103*Inputs!$B$273</f>
        <v>0</v>
      </c>
      <c r="X106" s="7">
        <f ca="1">X103*Inputs!$B$273</f>
        <v>0</v>
      </c>
      <c r="Y106" s="7">
        <f ca="1">Y103*Inputs!$B$273</f>
        <v>0</v>
      </c>
      <c r="Z106" s="7">
        <f ca="1">Z103*Inputs!$B$273</f>
        <v>0</v>
      </c>
      <c r="AA106" s="7">
        <f ca="1">AA103*Inputs!$B$273</f>
        <v>0</v>
      </c>
      <c r="AB106" s="7">
        <f ca="1">AB103*Inputs!$B$273</f>
        <v>0</v>
      </c>
      <c r="AC106" s="7">
        <f ca="1">AC103*Inputs!$B$273</f>
        <v>0</v>
      </c>
      <c r="AD106" s="7">
        <f ca="1">AD103*Inputs!$B$273</f>
        <v>0</v>
      </c>
      <c r="AE106" s="7">
        <f ca="1">AE103*Inputs!$B$273</f>
        <v>0</v>
      </c>
      <c r="AF106" s="7">
        <f ca="1">AF103*Inputs!$B$273</f>
        <v>0</v>
      </c>
      <c r="AG106" s="7">
        <f ca="1">AG103*Inputs!$B$273</f>
        <v>0</v>
      </c>
      <c r="AH106" s="7">
        <f ca="1">AH103*Inputs!$B$273</f>
        <v>0</v>
      </c>
      <c r="AI106" s="7">
        <f ca="1">AI103*Inputs!$B$273</f>
        <v>0</v>
      </c>
      <c r="AJ106" s="7">
        <f ca="1">AJ103*Inputs!$B$273</f>
        <v>0</v>
      </c>
      <c r="AK106" s="7">
        <f ca="1">AK103*Inputs!$B$273</f>
        <v>0</v>
      </c>
      <c r="AL106" s="7">
        <f ca="1">AL103*Inputs!$B$273</f>
        <v>0</v>
      </c>
      <c r="AM106" s="7">
        <f ca="1">AM103*Inputs!$B$273</f>
        <v>0</v>
      </c>
    </row>
    <row r="107" spans="1:44" x14ac:dyDescent="0.2">
      <c r="A107" s="3" t="s">
        <v>37</v>
      </c>
      <c r="C107" s="7">
        <f ca="1">-C103+C106</f>
        <v>0</v>
      </c>
      <c r="D107" s="7">
        <f t="shared" ref="D107:AM107" ca="1" si="55">-D103+D106</f>
        <v>0</v>
      </c>
      <c r="E107" s="7">
        <f t="shared" ca="1" si="55"/>
        <v>0</v>
      </c>
      <c r="F107" s="7">
        <f t="shared" ca="1" si="55"/>
        <v>0</v>
      </c>
      <c r="G107" s="7">
        <f t="shared" ca="1" si="55"/>
        <v>0</v>
      </c>
      <c r="H107" s="7">
        <f t="shared" ca="1" si="55"/>
        <v>0</v>
      </c>
      <c r="I107" s="7">
        <f t="shared" ca="1" si="55"/>
        <v>0</v>
      </c>
      <c r="J107" s="7">
        <f t="shared" ca="1" si="55"/>
        <v>0</v>
      </c>
      <c r="K107" s="7">
        <f t="shared" ca="1" si="55"/>
        <v>0</v>
      </c>
      <c r="L107" s="7">
        <f t="shared" ca="1" si="55"/>
        <v>0</v>
      </c>
      <c r="M107" s="7">
        <f t="shared" ca="1" si="55"/>
        <v>0</v>
      </c>
      <c r="N107" s="7">
        <f t="shared" ca="1" si="55"/>
        <v>0</v>
      </c>
      <c r="O107" s="7">
        <f t="shared" ca="1" si="55"/>
        <v>0</v>
      </c>
      <c r="P107" s="7">
        <f t="shared" ca="1" si="55"/>
        <v>0</v>
      </c>
      <c r="Q107" s="7">
        <f t="shared" ca="1" si="55"/>
        <v>0</v>
      </c>
      <c r="R107" s="7">
        <f t="shared" ca="1" si="55"/>
        <v>0</v>
      </c>
      <c r="S107" s="7">
        <f t="shared" ca="1" si="55"/>
        <v>0</v>
      </c>
      <c r="T107" s="7">
        <f t="shared" ca="1" si="55"/>
        <v>0</v>
      </c>
      <c r="U107" s="7">
        <f t="shared" ca="1" si="55"/>
        <v>0</v>
      </c>
      <c r="V107" s="7">
        <f t="shared" ca="1" si="55"/>
        <v>0</v>
      </c>
      <c r="W107" s="7">
        <f t="shared" ca="1" si="55"/>
        <v>0</v>
      </c>
      <c r="X107" s="7">
        <f t="shared" ca="1" si="55"/>
        <v>0</v>
      </c>
      <c r="Y107" s="7">
        <f t="shared" ca="1" si="55"/>
        <v>0</v>
      </c>
      <c r="Z107" s="7">
        <f t="shared" ca="1" si="55"/>
        <v>0</v>
      </c>
      <c r="AA107" s="7">
        <f t="shared" ca="1" si="55"/>
        <v>0</v>
      </c>
      <c r="AB107" s="7">
        <f t="shared" ca="1" si="55"/>
        <v>0</v>
      </c>
      <c r="AC107" s="7">
        <f t="shared" ca="1" si="55"/>
        <v>0</v>
      </c>
      <c r="AD107" s="7">
        <f t="shared" ca="1" si="55"/>
        <v>0</v>
      </c>
      <c r="AE107" s="7">
        <f t="shared" ca="1" si="55"/>
        <v>0</v>
      </c>
      <c r="AF107" s="7">
        <f t="shared" ca="1" si="55"/>
        <v>0</v>
      </c>
      <c r="AG107" s="7">
        <f t="shared" ca="1" si="55"/>
        <v>0</v>
      </c>
      <c r="AH107" s="7">
        <f t="shared" ca="1" si="55"/>
        <v>0</v>
      </c>
      <c r="AI107" s="7">
        <f t="shared" ca="1" si="55"/>
        <v>0</v>
      </c>
      <c r="AJ107" s="7">
        <f t="shared" ca="1" si="55"/>
        <v>0</v>
      </c>
      <c r="AK107" s="7">
        <f t="shared" ca="1" si="55"/>
        <v>0</v>
      </c>
      <c r="AL107" s="7">
        <f t="shared" ca="1" si="55"/>
        <v>0</v>
      </c>
      <c r="AM107" s="7">
        <f t="shared" ca="1" si="55"/>
        <v>0</v>
      </c>
    </row>
    <row r="108" spans="1:44" x14ac:dyDescent="0.2">
      <c r="A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44" x14ac:dyDescent="0.2">
      <c r="A109" s="3" t="s">
        <v>71</v>
      </c>
      <c r="C109" s="7">
        <f ca="1">C96+SUM($C107:C107)</f>
        <v>12809.375000000015</v>
      </c>
      <c r="D109" s="7">
        <f ca="1">D96+SUM($C107:D107)</f>
        <v>24162.215625000026</v>
      </c>
      <c r="E109" s="7">
        <f ca="1">E96+SUM($C107:E107)</f>
        <v>41813.279140625047</v>
      </c>
      <c r="F109" s="7">
        <f ca="1">F96+SUM($C107:F107)</f>
        <v>41803.568657505195</v>
      </c>
      <c r="G109" s="7">
        <f ca="1">G96+SUM($C107:G107)</f>
        <v>73524.627177360788</v>
      </c>
      <c r="H109" s="7">
        <f ca="1">H96+SUM($C107:H107)</f>
        <v>111945.76563583669</v>
      </c>
      <c r="I109" s="7">
        <f ca="1">I96+SUM($C107:I107)</f>
        <v>179058.63493181192</v>
      </c>
      <c r="J109" s="7">
        <f ca="1">J96+SUM($C107:J107)</f>
        <v>250182.50067145552</v>
      </c>
      <c r="K109" s="7">
        <f ca="1">K96+SUM($C107:K107)</f>
        <v>308095.70278366783</v>
      </c>
      <c r="L109" s="7">
        <f ca="1">L96+SUM($C107:L107)</f>
        <v>453640.47280939861</v>
      </c>
      <c r="M109" s="7">
        <f ca="1">M96+SUM($C107:M107)</f>
        <v>510683.42164108111</v>
      </c>
      <c r="N109" s="7">
        <f ca="1">N96+SUM($C107:N107)</f>
        <v>621525.85327123245</v>
      </c>
      <c r="O109" s="7">
        <f ca="1">O96+SUM($C107:O107)</f>
        <v>738362.94313265686</v>
      </c>
      <c r="P109" s="7">
        <f ca="1">P96+SUM($C107:P107)</f>
        <v>861449.23653079802</v>
      </c>
      <c r="Q109" s="7">
        <f ca="1">Q96+SUM($C107:Q107)</f>
        <v>991048.98204238666</v>
      </c>
      <c r="R109" s="7">
        <f ca="1">R96+SUM($C107:R107)</f>
        <v>1127436.4792682112</v>
      </c>
      <c r="S109" s="7">
        <f ca="1">S96+SUM($C107:S107)</f>
        <v>1270896.4385593834</v>
      </c>
      <c r="T109" s="7">
        <f ca="1">T96+SUM($C107:T107)</f>
        <v>1312493.9107349962</v>
      </c>
      <c r="U109" s="7">
        <f ca="1">U96+SUM($C107:U107)</f>
        <v>1363530.8459680481</v>
      </c>
      <c r="V109" s="7">
        <f ca="1">V96+SUM($C107:V107)</f>
        <v>1416566.1280568431</v>
      </c>
      <c r="W109" s="7">
        <f ca="1">W96+SUM($C107:W107)</f>
        <v>1471676.7180232967</v>
      </c>
      <c r="X109" s="7">
        <f ca="1">X96+SUM($C107:X107)</f>
        <v>1528942.4442265448</v>
      </c>
      <c r="Y109" s="7">
        <f ca="1">Y96+SUM($C107:Y107)</f>
        <v>1567529.0131961552</v>
      </c>
      <c r="Z109" s="7">
        <f ca="1">Z96+SUM($C107:Z107)</f>
        <v>1607393.5393787338</v>
      </c>
      <c r="AA109" s="7">
        <f ca="1">AA96+SUM($C107:AA107)</f>
        <v>1648585.8680630873</v>
      </c>
      <c r="AB109" s="7">
        <f ca="1">AB96+SUM($C107:AB107)</f>
        <v>1691157.8400002168</v>
      </c>
      <c r="AC109" s="7">
        <f ca="1">AC96+SUM($C107:AC107)</f>
        <v>1735163.3690807538</v>
      </c>
      <c r="AD109" s="7">
        <f ca="1">AD96+SUM($C107:AD107)</f>
        <v>1780658.5229208304</v>
      </c>
      <c r="AE109" s="7">
        <f ca="1">AE96+SUM($C107:AE107)</f>
        <v>1837808.8624938719</v>
      </c>
      <c r="AF109" s="7">
        <f ca="1">AF96+SUM($C107:AF107)</f>
        <v>1897073.1235563438</v>
      </c>
      <c r="AG109" s="7">
        <f ca="1">AG96+SUM($C107:AG107)</f>
        <v>1958533.3002031124</v>
      </c>
      <c r="AH109" s="7">
        <f ca="1">AH96+SUM($C107:AH107)</f>
        <v>2022274.5255423354</v>
      </c>
      <c r="AI109" s="7">
        <f ca="1">AI96+SUM($C107:AI107)</f>
        <v>2088385.1882151016</v>
      </c>
      <c r="AJ109" s="7">
        <f ca="1">AJ96+SUM($C107:AJ107)</f>
        <v>2156957.0531036272</v>
      </c>
      <c r="AK109" s="7">
        <f ca="1">AK96+SUM($C107:AK107)</f>
        <v>2228085.3863743474</v>
      </c>
      <c r="AL109" s="7">
        <f ca="1">AL96+SUM($C107:AL107)</f>
        <v>2301869.0850072289</v>
      </c>
      <c r="AM109" s="7">
        <f ca="1">AM96+SUM($C107:AM107)</f>
        <v>2378410.8109677895</v>
      </c>
    </row>
    <row r="110" spans="1:44" x14ac:dyDescent="0.2">
      <c r="A110" s="3" t="s">
        <v>20</v>
      </c>
      <c r="C110" s="7">
        <f ca="1">IF(C109&lt;0,-C109,0)</f>
        <v>0</v>
      </c>
      <c r="D110" s="7">
        <f ca="1">IF(D109+SUM($C110:C110)&lt;0,-(D109+SUM($C110:C110)),0)</f>
        <v>0</v>
      </c>
      <c r="E110" s="7">
        <f ca="1">IF(E109+SUM($C110:D110)&lt;0,-(E109+SUM($C110:D110)),0)</f>
        <v>0</v>
      </c>
      <c r="F110" s="7">
        <f ca="1">IF(F109+SUM($C110:E110)&lt;0,-(F109+SUM($C110:E110)),0)</f>
        <v>0</v>
      </c>
      <c r="G110" s="7">
        <f ca="1">IF(G109+SUM($C110:F110)&lt;0,-(G109+SUM($C110:F110)),0)</f>
        <v>0</v>
      </c>
      <c r="H110" s="7">
        <f ca="1">IF(H109+SUM($C110:G110)&lt;0,-(H109+SUM($C110:G110)),0)</f>
        <v>0</v>
      </c>
      <c r="I110" s="7">
        <f ca="1">IF(I109+SUM($C110:H110)&lt;0,-(I109+SUM($C110:H110)),0)</f>
        <v>0</v>
      </c>
      <c r="J110" s="7">
        <f ca="1">IF(J109+SUM($C110:I110)&lt;0,-(J109+SUM($C110:I110)),0)</f>
        <v>0</v>
      </c>
      <c r="K110" s="7">
        <f ca="1">IF(K109+SUM($C110:J110)&lt;0,-(K109+SUM($C110:J110)),0)</f>
        <v>0</v>
      </c>
      <c r="L110" s="7">
        <f ca="1">IF(L109+SUM($C110:K110)&lt;0,-(L109+SUM($C110:K110)),0)</f>
        <v>0</v>
      </c>
      <c r="M110" s="7">
        <f ca="1">IF(M109+SUM($C110:L110)&lt;0,-(M109+SUM($C110:L110)),0)</f>
        <v>0</v>
      </c>
      <c r="N110" s="7">
        <f ca="1">IF(N109+SUM($C110:M110)&lt;0,-(N109+SUM($C110:M110)),0)</f>
        <v>0</v>
      </c>
      <c r="O110" s="7">
        <f ca="1">IF(O109+SUM($C110:N110)&lt;0,-(O109+SUM($C110:N110)),0)</f>
        <v>0</v>
      </c>
      <c r="P110" s="7">
        <f ca="1">IF(P109+SUM($C110:O110)&lt;0,-(P109+SUM($C110:O110)),0)</f>
        <v>0</v>
      </c>
      <c r="Q110" s="7">
        <f ca="1">IF(Q109+SUM($C110:P110)&lt;0,-(Q109+SUM($C110:P110)),0)</f>
        <v>0</v>
      </c>
      <c r="R110" s="7">
        <f ca="1">IF(R109+SUM($C110:Q110)&lt;0,-(R109+SUM($C110:Q110)),0)</f>
        <v>0</v>
      </c>
      <c r="S110" s="7">
        <f ca="1">IF(S109+SUM($C110:R110)&lt;0,-(S109+SUM($C110:R110)),0)</f>
        <v>0</v>
      </c>
      <c r="T110" s="7">
        <f ca="1">IF(T109+SUM($C110:S110)&lt;0,-(T109+SUM($C110:S110)),0)</f>
        <v>0</v>
      </c>
      <c r="U110" s="7">
        <f ca="1">IF(U109+SUM($C110:T110)&lt;0,-(U109+SUM($C110:T110)),0)</f>
        <v>0</v>
      </c>
      <c r="V110" s="7">
        <f ca="1">IF(V109+SUM($C110:U110)&lt;0,-(V109+SUM($C110:U110)),0)</f>
        <v>0</v>
      </c>
      <c r="W110" s="7">
        <f ca="1">IF(W109+SUM($C110:V110)&lt;0,-(W109+SUM($C110:V110)),0)</f>
        <v>0</v>
      </c>
      <c r="X110" s="7">
        <f ca="1">IF(X109+SUM($C110:W110)&lt;0,-(X109+SUM($C110:W110)),0)</f>
        <v>0</v>
      </c>
      <c r="Y110" s="7">
        <f ca="1">IF(Y109+SUM($C110:X110)&lt;0,-(Y109+SUM($C110:X110)),0)</f>
        <v>0</v>
      </c>
      <c r="Z110" s="7">
        <f ca="1">IF(Z109+SUM($C110:Y110)&lt;0,-(Z109+SUM($C110:Y110)),0)</f>
        <v>0</v>
      </c>
      <c r="AA110" s="7">
        <f ca="1">IF(AA109+SUM($C110:Z110)&lt;0,-(AA109+SUM($C110:Z110)),0)</f>
        <v>0</v>
      </c>
      <c r="AB110" s="7">
        <f ca="1">IF(AB109+SUM($C110:AA110)&lt;0,-(AB109+SUM($C110:AA110)),0)</f>
        <v>0</v>
      </c>
      <c r="AC110" s="7">
        <f ca="1">IF(AC109+SUM($C110:AB110)&lt;0,-(AC109+SUM($C110:AB110)),0)</f>
        <v>0</v>
      </c>
      <c r="AD110" s="7">
        <f ca="1">IF(AD109+SUM($C110:AC110)&lt;0,-(AD109+SUM($C110:AC110)),0)</f>
        <v>0</v>
      </c>
      <c r="AE110" s="7">
        <f ca="1">IF(AE109+SUM($C110:AD110)&lt;0,-(AE109+SUM($C110:AD110)),0)</f>
        <v>0</v>
      </c>
      <c r="AF110" s="7">
        <f ca="1">IF(AF109+SUM($C110:AE110)&lt;0,-(AF109+SUM($C110:AE110)),0)</f>
        <v>0</v>
      </c>
      <c r="AG110" s="7">
        <f ca="1">IF(AG109+SUM($C110:AF110)&lt;0,-(AG109+SUM($C110:AF110)),0)</f>
        <v>0</v>
      </c>
      <c r="AH110" s="7">
        <f ca="1">IF(AH109+SUM($C110:AG110)&lt;0,-(AH109+SUM($C110:AG110)),0)</f>
        <v>0</v>
      </c>
      <c r="AI110" s="7">
        <f ca="1">IF(AI109+SUM($C110:AH110)&lt;0,-(AI109+SUM($C110:AH110)),0)</f>
        <v>0</v>
      </c>
      <c r="AJ110" s="7">
        <f ca="1">IF(AJ109+SUM($C110:AI110)&lt;0,-(AJ109+SUM($C110:AI110)),0)</f>
        <v>0</v>
      </c>
      <c r="AK110" s="7">
        <f ca="1">IF(AK109+SUM($C110:AJ110)&lt;0,-(AK109+SUM($C110:AJ110)),0)</f>
        <v>0</v>
      </c>
      <c r="AL110" s="7">
        <f ca="1">IF(AL109+SUM($C110:AK110)&lt;0,-(AL109+SUM($C110:AK110)),0)</f>
        <v>0</v>
      </c>
      <c r="AM110" s="7">
        <f ca="1">IF(AM109+SUM($C110:AL110)&lt;0,-(AM109+SUM($C110:AL110)),0)</f>
        <v>0</v>
      </c>
    </row>
    <row r="111" spans="1:44" x14ac:dyDescent="0.2">
      <c r="A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44" x14ac:dyDescent="0.2">
      <c r="A112" s="24" t="str">
        <f>IF(Inputs!$B$279=6,IFERROR(_xlfn.XLOOKUP($B112,Inputs!$B$280:$B$289,Inputs!$A$280:$A$289,,0,1),""),IFERROR(_xlfn.XLOOKUP($B112,Inputs!$C$280:$C$289,Inputs!$A$280:$A$289,,0,1),""))</f>
        <v>Painting</v>
      </c>
      <c r="B112" s="26">
        <v>1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3" t="s">
        <v>22</v>
      </c>
      <c r="C113" s="7">
        <f ca="1">IFERROR(VLOOKUP($A112,$A$65:$H$94,C$1+2,FALSE),0)</f>
        <v>20498.764350764995</v>
      </c>
      <c r="D113" s="7">
        <f ca="1">C116</f>
        <v>20498.764350764995</v>
      </c>
      <c r="E113" s="7">
        <f t="shared" ref="E113:AM113" ca="1" si="56">D116</f>
        <v>21113.727281287946</v>
      </c>
      <c r="F113" s="7">
        <f t="shared" ca="1" si="56"/>
        <v>21747.139099726584</v>
      </c>
      <c r="G113" s="7">
        <f t="shared" ca="1" si="56"/>
        <v>22399.553272718382</v>
      </c>
      <c r="H113" s="7">
        <f t="shared" ca="1" si="56"/>
        <v>23071.539870899935</v>
      </c>
      <c r="I113" s="7">
        <f t="shared" ca="1" si="56"/>
        <v>23763.686067026934</v>
      </c>
      <c r="J113" s="7">
        <f t="shared" ca="1" si="56"/>
        <v>24476.596649037743</v>
      </c>
      <c r="K113" s="7">
        <f t="shared" ca="1" si="56"/>
        <v>25210.894548508877</v>
      </c>
      <c r="L113" s="7">
        <f t="shared" ca="1" si="56"/>
        <v>25967.221384964145</v>
      </c>
      <c r="M113" s="7">
        <f t="shared" ca="1" si="56"/>
        <v>26746.238026513071</v>
      </c>
      <c r="N113" s="7">
        <f t="shared" ca="1" si="56"/>
        <v>27548.625167308463</v>
      </c>
      <c r="O113" s="7">
        <f t="shared" ca="1" si="56"/>
        <v>28375.083922327718</v>
      </c>
      <c r="P113" s="7">
        <f t="shared" ca="1" si="56"/>
        <v>29226.336439997551</v>
      </c>
      <c r="Q113" s="7">
        <f t="shared" ca="1" si="56"/>
        <v>30103.126533197476</v>
      </c>
      <c r="R113" s="7">
        <f t="shared" ca="1" si="56"/>
        <v>31006.220329193398</v>
      </c>
      <c r="S113" s="7">
        <f t="shared" ca="1" si="56"/>
        <v>31936.406939069202</v>
      </c>
      <c r="T113" s="7">
        <f t="shared" ca="1" si="56"/>
        <v>32894.49914724128</v>
      </c>
      <c r="U113" s="7">
        <f t="shared" ca="1" si="56"/>
        <v>33881.334121658518</v>
      </c>
      <c r="V113" s="7">
        <f t="shared" ca="1" si="56"/>
        <v>34897.774145308271</v>
      </c>
      <c r="W113" s="7">
        <f t="shared" ca="1" si="56"/>
        <v>35944.707369667522</v>
      </c>
      <c r="X113" s="7">
        <f t="shared" ca="1" si="56"/>
        <v>37023.048590757549</v>
      </c>
      <c r="Y113" s="7">
        <f t="shared" ca="1" si="56"/>
        <v>38133.740048480278</v>
      </c>
      <c r="Z113" s="7">
        <f t="shared" ca="1" si="56"/>
        <v>39277.752249934689</v>
      </c>
      <c r="AA113" s="7">
        <f t="shared" ca="1" si="56"/>
        <v>40456.084817432726</v>
      </c>
      <c r="AB113" s="7">
        <f t="shared" ca="1" si="56"/>
        <v>41669.76736195571</v>
      </c>
      <c r="AC113" s="7">
        <f t="shared" ca="1" si="56"/>
        <v>42919.860382814382</v>
      </c>
      <c r="AD113" s="7">
        <f t="shared" ca="1" si="56"/>
        <v>44207.456194298815</v>
      </c>
      <c r="AE113" s="7">
        <f t="shared" ca="1" si="56"/>
        <v>45533.679880127776</v>
      </c>
      <c r="AF113" s="7">
        <f t="shared" ca="1" si="56"/>
        <v>46899.690276531612</v>
      </c>
      <c r="AG113" s="7">
        <f t="shared" ca="1" si="56"/>
        <v>48306.680984827559</v>
      </c>
      <c r="AH113" s="7">
        <f t="shared" ca="1" si="56"/>
        <v>49755.881414372387</v>
      </c>
      <c r="AI113" s="7">
        <f t="shared" ca="1" si="56"/>
        <v>51248.557856803556</v>
      </c>
      <c r="AJ113" s="7">
        <f t="shared" ca="1" si="56"/>
        <v>52786.014592507665</v>
      </c>
      <c r="AK113" s="7">
        <f t="shared" ca="1" si="56"/>
        <v>54369.595030282893</v>
      </c>
      <c r="AL113" s="7">
        <f t="shared" ca="1" si="56"/>
        <v>56000.68288119138</v>
      </c>
      <c r="AM113" s="7">
        <f t="shared" ca="1" si="56"/>
        <v>57680.703367627124</v>
      </c>
    </row>
    <row r="114" spans="1:39" x14ac:dyDescent="0.2">
      <c r="A114" s="3" t="s">
        <v>23</v>
      </c>
      <c r="C114" s="7">
        <f ca="1">-IF(D110&gt;0,C113,0)</f>
        <v>0</v>
      </c>
      <c r="D114" s="7">
        <f ca="1">-IF(E110&gt;0,D113,0)</f>
        <v>0</v>
      </c>
      <c r="E114" s="7">
        <f ca="1">-IF(F110&gt;0,E113,0)</f>
        <v>0</v>
      </c>
      <c r="F114" s="7">
        <f ca="1">-IF(G110&gt;0,F113,0)</f>
        <v>0</v>
      </c>
      <c r="G114" s="7">
        <f t="shared" ref="G114:AM114" ca="1" si="57">-IF(H110&gt;0,G113,0)</f>
        <v>0</v>
      </c>
      <c r="H114" s="7">
        <f t="shared" ca="1" si="57"/>
        <v>0</v>
      </c>
      <c r="I114" s="7">
        <f t="shared" ca="1" si="57"/>
        <v>0</v>
      </c>
      <c r="J114" s="7">
        <f t="shared" ca="1" si="57"/>
        <v>0</v>
      </c>
      <c r="K114" s="7">
        <f t="shared" ca="1" si="57"/>
        <v>0</v>
      </c>
      <c r="L114" s="7">
        <f t="shared" ca="1" si="57"/>
        <v>0</v>
      </c>
      <c r="M114" s="7">
        <f t="shared" ca="1" si="57"/>
        <v>0</v>
      </c>
      <c r="N114" s="7">
        <f t="shared" ca="1" si="57"/>
        <v>0</v>
      </c>
      <c r="O114" s="7">
        <f t="shared" ca="1" si="57"/>
        <v>0</v>
      </c>
      <c r="P114" s="7">
        <f t="shared" ca="1" si="57"/>
        <v>0</v>
      </c>
      <c r="Q114" s="7">
        <f t="shared" ca="1" si="57"/>
        <v>0</v>
      </c>
      <c r="R114" s="7">
        <f t="shared" ca="1" si="57"/>
        <v>0</v>
      </c>
      <c r="S114" s="7">
        <f t="shared" ca="1" si="57"/>
        <v>0</v>
      </c>
      <c r="T114" s="7">
        <f t="shared" ca="1" si="57"/>
        <v>0</v>
      </c>
      <c r="U114" s="7">
        <f t="shared" ca="1" si="57"/>
        <v>0</v>
      </c>
      <c r="V114" s="7">
        <f t="shared" ca="1" si="57"/>
        <v>0</v>
      </c>
      <c r="W114" s="7">
        <f t="shared" ca="1" si="57"/>
        <v>0</v>
      </c>
      <c r="X114" s="7">
        <f t="shared" ca="1" si="57"/>
        <v>0</v>
      </c>
      <c r="Y114" s="7">
        <f t="shared" ca="1" si="57"/>
        <v>0</v>
      </c>
      <c r="Z114" s="7">
        <f t="shared" ca="1" si="57"/>
        <v>0</v>
      </c>
      <c r="AA114" s="7">
        <f t="shared" ca="1" si="57"/>
        <v>0</v>
      </c>
      <c r="AB114" s="7">
        <f t="shared" ca="1" si="57"/>
        <v>0</v>
      </c>
      <c r="AC114" s="7">
        <f t="shared" ca="1" si="57"/>
        <v>0</v>
      </c>
      <c r="AD114" s="7">
        <f t="shared" ca="1" si="57"/>
        <v>0</v>
      </c>
      <c r="AE114" s="7">
        <f t="shared" ca="1" si="57"/>
        <v>0</v>
      </c>
      <c r="AF114" s="7">
        <f t="shared" ca="1" si="57"/>
        <v>0</v>
      </c>
      <c r="AG114" s="7">
        <f t="shared" ca="1" si="57"/>
        <v>0</v>
      </c>
      <c r="AH114" s="7">
        <f t="shared" ca="1" si="57"/>
        <v>0</v>
      </c>
      <c r="AI114" s="7">
        <f t="shared" ca="1" si="57"/>
        <v>0</v>
      </c>
      <c r="AJ114" s="7">
        <f t="shared" ca="1" si="57"/>
        <v>0</v>
      </c>
      <c r="AK114" s="7">
        <f t="shared" ca="1" si="57"/>
        <v>0</v>
      </c>
      <c r="AL114" s="7">
        <f t="shared" ca="1" si="57"/>
        <v>0</v>
      </c>
      <c r="AM114" s="7">
        <f t="shared" si="57"/>
        <v>0</v>
      </c>
    </row>
    <row r="115" spans="1:39" x14ac:dyDescent="0.2">
      <c r="A115" s="3" t="s">
        <v>24</v>
      </c>
      <c r="C115" s="7">
        <v>0</v>
      </c>
      <c r="D115" s="7">
        <f t="shared" ref="D115:AM115" ca="1" si="58">SUM(D113:D114)*VLOOKUP($A112,AssVar,2,FALSE)</f>
        <v>614.96293052294982</v>
      </c>
      <c r="E115" s="7">
        <f t="shared" ca="1" si="58"/>
        <v>633.41181843863831</v>
      </c>
      <c r="F115" s="7">
        <f t="shared" ca="1" si="58"/>
        <v>652.4141729917975</v>
      </c>
      <c r="G115" s="7">
        <f t="shared" ca="1" si="58"/>
        <v>671.98659818155147</v>
      </c>
      <c r="H115" s="7">
        <f t="shared" ca="1" si="58"/>
        <v>692.14619612699801</v>
      </c>
      <c r="I115" s="7">
        <f t="shared" ca="1" si="58"/>
        <v>712.91058201080796</v>
      </c>
      <c r="J115" s="7">
        <f t="shared" ca="1" si="58"/>
        <v>734.29789947113227</v>
      </c>
      <c r="K115" s="7">
        <f t="shared" ca="1" si="58"/>
        <v>756.32683645526629</v>
      </c>
      <c r="L115" s="7">
        <f t="shared" ca="1" si="58"/>
        <v>779.01664154892433</v>
      </c>
      <c r="M115" s="7">
        <f t="shared" ca="1" si="58"/>
        <v>802.38714079539204</v>
      </c>
      <c r="N115" s="7">
        <f t="shared" ca="1" si="58"/>
        <v>826.45875501925389</v>
      </c>
      <c r="O115" s="7">
        <f t="shared" ca="1" si="58"/>
        <v>851.25251766983149</v>
      </c>
      <c r="P115" s="7">
        <f t="shared" ca="1" si="58"/>
        <v>876.79009319992645</v>
      </c>
      <c r="Q115" s="7">
        <f t="shared" ca="1" si="58"/>
        <v>903.09379599592421</v>
      </c>
      <c r="R115" s="7">
        <f t="shared" ca="1" si="58"/>
        <v>930.18660987580188</v>
      </c>
      <c r="S115" s="7">
        <f t="shared" ca="1" si="58"/>
        <v>958.09220817207597</v>
      </c>
      <c r="T115" s="7">
        <f t="shared" ca="1" si="58"/>
        <v>986.83497441723841</v>
      </c>
      <c r="U115" s="7">
        <f t="shared" ca="1" si="58"/>
        <v>1016.4400236497555</v>
      </c>
      <c r="V115" s="7">
        <f t="shared" ca="1" si="58"/>
        <v>1046.933224359248</v>
      </c>
      <c r="W115" s="7">
        <f t="shared" ca="1" si="58"/>
        <v>1078.3412210900256</v>
      </c>
      <c r="X115" s="7">
        <f t="shared" ca="1" si="58"/>
        <v>1110.6914577227265</v>
      </c>
      <c r="Y115" s="7">
        <f t="shared" ca="1" si="58"/>
        <v>1144.0122014544083</v>
      </c>
      <c r="Z115" s="7">
        <f t="shared" ca="1" si="58"/>
        <v>1178.3325674980406</v>
      </c>
      <c r="AA115" s="7">
        <f t="shared" ca="1" si="58"/>
        <v>1213.6825445229817</v>
      </c>
      <c r="AB115" s="7">
        <f t="shared" ca="1" si="58"/>
        <v>1250.0930208586713</v>
      </c>
      <c r="AC115" s="7">
        <f t="shared" ca="1" si="58"/>
        <v>1287.5958114844314</v>
      </c>
      <c r="AD115" s="7">
        <f t="shared" ca="1" si="58"/>
        <v>1326.2236858289643</v>
      </c>
      <c r="AE115" s="7">
        <f t="shared" ca="1" si="58"/>
        <v>1366.0103964038333</v>
      </c>
      <c r="AF115" s="7">
        <f t="shared" ca="1" si="58"/>
        <v>1406.9907082959483</v>
      </c>
      <c r="AG115" s="7">
        <f t="shared" ca="1" si="58"/>
        <v>1449.2004295448266</v>
      </c>
      <c r="AH115" s="7">
        <f t="shared" ca="1" si="58"/>
        <v>1492.6764424311716</v>
      </c>
      <c r="AI115" s="7">
        <f t="shared" ca="1" si="58"/>
        <v>1537.4567357041067</v>
      </c>
      <c r="AJ115" s="7">
        <f t="shared" ca="1" si="58"/>
        <v>1583.5804377752299</v>
      </c>
      <c r="AK115" s="7">
        <f t="shared" ca="1" si="58"/>
        <v>1631.0878509084866</v>
      </c>
      <c r="AL115" s="7">
        <f t="shared" ca="1" si="58"/>
        <v>1680.0204864357413</v>
      </c>
      <c r="AM115" s="7">
        <f t="shared" ca="1" si="58"/>
        <v>1730.4211010288136</v>
      </c>
    </row>
    <row r="116" spans="1:39" x14ac:dyDescent="0.2">
      <c r="A116" s="3" t="s">
        <v>25</v>
      </c>
      <c r="C116" s="7">
        <f ca="1">SUM(C113:C115)</f>
        <v>20498.764350764995</v>
      </c>
      <c r="D116" s="7">
        <f t="shared" ref="D116:AM116" ca="1" si="59">SUM(D113:D115)</f>
        <v>21113.727281287946</v>
      </c>
      <c r="E116" s="7">
        <f t="shared" ca="1" si="59"/>
        <v>21747.139099726584</v>
      </c>
      <c r="F116" s="7">
        <f t="shared" ca="1" si="59"/>
        <v>22399.553272718382</v>
      </c>
      <c r="G116" s="7">
        <f t="shared" ca="1" si="59"/>
        <v>23071.539870899935</v>
      </c>
      <c r="H116" s="7">
        <f t="shared" ca="1" si="59"/>
        <v>23763.686067026934</v>
      </c>
      <c r="I116" s="7">
        <f t="shared" ca="1" si="59"/>
        <v>24476.596649037743</v>
      </c>
      <c r="J116" s="7">
        <f t="shared" ca="1" si="59"/>
        <v>25210.894548508877</v>
      </c>
      <c r="K116" s="7">
        <f t="shared" ca="1" si="59"/>
        <v>25967.221384964145</v>
      </c>
      <c r="L116" s="7">
        <f t="shared" ca="1" si="59"/>
        <v>26746.238026513071</v>
      </c>
      <c r="M116" s="7">
        <f t="shared" ca="1" si="59"/>
        <v>27548.625167308463</v>
      </c>
      <c r="N116" s="7">
        <f t="shared" ca="1" si="59"/>
        <v>28375.083922327718</v>
      </c>
      <c r="O116" s="7">
        <f t="shared" ca="1" si="59"/>
        <v>29226.336439997551</v>
      </c>
      <c r="P116" s="7">
        <f t="shared" ca="1" si="59"/>
        <v>30103.126533197476</v>
      </c>
      <c r="Q116" s="7">
        <f t="shared" ca="1" si="59"/>
        <v>31006.220329193398</v>
      </c>
      <c r="R116" s="7">
        <f t="shared" ca="1" si="59"/>
        <v>31936.406939069202</v>
      </c>
      <c r="S116" s="7">
        <f t="shared" ca="1" si="59"/>
        <v>32894.49914724128</v>
      </c>
      <c r="T116" s="7">
        <f t="shared" ca="1" si="59"/>
        <v>33881.334121658518</v>
      </c>
      <c r="U116" s="7">
        <f t="shared" ca="1" si="59"/>
        <v>34897.774145308271</v>
      </c>
      <c r="V116" s="7">
        <f t="shared" ca="1" si="59"/>
        <v>35944.707369667522</v>
      </c>
      <c r="W116" s="7">
        <f t="shared" ca="1" si="59"/>
        <v>37023.048590757549</v>
      </c>
      <c r="X116" s="7">
        <f t="shared" ca="1" si="59"/>
        <v>38133.740048480278</v>
      </c>
      <c r="Y116" s="7">
        <f t="shared" ca="1" si="59"/>
        <v>39277.752249934689</v>
      </c>
      <c r="Z116" s="7">
        <f t="shared" ca="1" si="59"/>
        <v>40456.084817432726</v>
      </c>
      <c r="AA116" s="7">
        <f t="shared" ca="1" si="59"/>
        <v>41669.76736195571</v>
      </c>
      <c r="AB116" s="7">
        <f t="shared" ca="1" si="59"/>
        <v>42919.860382814382</v>
      </c>
      <c r="AC116" s="7">
        <f t="shared" ca="1" si="59"/>
        <v>44207.456194298815</v>
      </c>
      <c r="AD116" s="7">
        <f t="shared" ca="1" si="59"/>
        <v>45533.679880127776</v>
      </c>
      <c r="AE116" s="7">
        <f t="shared" ca="1" si="59"/>
        <v>46899.690276531612</v>
      </c>
      <c r="AF116" s="7">
        <f t="shared" ca="1" si="59"/>
        <v>48306.680984827559</v>
      </c>
      <c r="AG116" s="7">
        <f t="shared" ca="1" si="59"/>
        <v>49755.881414372387</v>
      </c>
      <c r="AH116" s="7">
        <f t="shared" ca="1" si="59"/>
        <v>51248.557856803556</v>
      </c>
      <c r="AI116" s="7">
        <f t="shared" ca="1" si="59"/>
        <v>52786.014592507665</v>
      </c>
      <c r="AJ116" s="7">
        <f t="shared" ca="1" si="59"/>
        <v>54369.595030282893</v>
      </c>
      <c r="AK116" s="7">
        <f t="shared" ca="1" si="59"/>
        <v>56000.68288119138</v>
      </c>
      <c r="AL116" s="7">
        <f t="shared" ca="1" si="59"/>
        <v>57680.703367627124</v>
      </c>
      <c r="AM116" s="7">
        <f t="shared" ca="1" si="59"/>
        <v>59411.124468655937</v>
      </c>
    </row>
    <row r="117" spans="1:39" x14ac:dyDescent="0.2">
      <c r="A117" s="3" t="s">
        <v>26</v>
      </c>
      <c r="C117" s="7">
        <f t="shared" ref="C117:AM117" ca="1" si="60">C114*VLOOKUP($A112,AssVar,3,FALSE)</f>
        <v>0</v>
      </c>
      <c r="D117" s="7">
        <f t="shared" ca="1" si="60"/>
        <v>0</v>
      </c>
      <c r="E117" s="7">
        <f t="shared" ca="1" si="60"/>
        <v>0</v>
      </c>
      <c r="F117" s="7">
        <f t="shared" ca="1" si="60"/>
        <v>0</v>
      </c>
      <c r="G117" s="7">
        <f t="shared" ca="1" si="60"/>
        <v>0</v>
      </c>
      <c r="H117" s="7">
        <f t="shared" ca="1" si="60"/>
        <v>0</v>
      </c>
      <c r="I117" s="7">
        <f t="shared" ca="1" si="60"/>
        <v>0</v>
      </c>
      <c r="J117" s="7">
        <f t="shared" ca="1" si="60"/>
        <v>0</v>
      </c>
      <c r="K117" s="7">
        <f t="shared" ca="1" si="60"/>
        <v>0</v>
      </c>
      <c r="L117" s="7">
        <f t="shared" ca="1" si="60"/>
        <v>0</v>
      </c>
      <c r="M117" s="7">
        <f t="shared" ca="1" si="60"/>
        <v>0</v>
      </c>
      <c r="N117" s="7">
        <f t="shared" ca="1" si="60"/>
        <v>0</v>
      </c>
      <c r="O117" s="7">
        <f t="shared" ca="1" si="60"/>
        <v>0</v>
      </c>
      <c r="P117" s="7">
        <f t="shared" ca="1" si="60"/>
        <v>0</v>
      </c>
      <c r="Q117" s="7">
        <f t="shared" ca="1" si="60"/>
        <v>0</v>
      </c>
      <c r="R117" s="7">
        <f t="shared" ca="1" si="60"/>
        <v>0</v>
      </c>
      <c r="S117" s="7">
        <f t="shared" ca="1" si="60"/>
        <v>0</v>
      </c>
      <c r="T117" s="7">
        <f t="shared" ca="1" si="60"/>
        <v>0</v>
      </c>
      <c r="U117" s="7">
        <f t="shared" ca="1" si="60"/>
        <v>0</v>
      </c>
      <c r="V117" s="7">
        <f t="shared" ca="1" si="60"/>
        <v>0</v>
      </c>
      <c r="W117" s="7">
        <f t="shared" ca="1" si="60"/>
        <v>0</v>
      </c>
      <c r="X117" s="7">
        <f t="shared" ca="1" si="60"/>
        <v>0</v>
      </c>
      <c r="Y117" s="7">
        <f t="shared" ca="1" si="60"/>
        <v>0</v>
      </c>
      <c r="Z117" s="7">
        <f t="shared" ca="1" si="60"/>
        <v>0</v>
      </c>
      <c r="AA117" s="7">
        <f t="shared" ca="1" si="60"/>
        <v>0</v>
      </c>
      <c r="AB117" s="7">
        <f t="shared" ca="1" si="60"/>
        <v>0</v>
      </c>
      <c r="AC117" s="7">
        <f t="shared" ca="1" si="60"/>
        <v>0</v>
      </c>
      <c r="AD117" s="7">
        <f t="shared" ca="1" si="60"/>
        <v>0</v>
      </c>
      <c r="AE117" s="7">
        <f t="shared" ca="1" si="60"/>
        <v>0</v>
      </c>
      <c r="AF117" s="7">
        <f t="shared" ca="1" si="60"/>
        <v>0</v>
      </c>
      <c r="AG117" s="7">
        <f t="shared" ca="1" si="60"/>
        <v>0</v>
      </c>
      <c r="AH117" s="7">
        <f t="shared" ca="1" si="60"/>
        <v>0</v>
      </c>
      <c r="AI117" s="7">
        <f t="shared" ca="1" si="60"/>
        <v>0</v>
      </c>
      <c r="AJ117" s="7">
        <f t="shared" ca="1" si="60"/>
        <v>0</v>
      </c>
      <c r="AK117" s="7">
        <f t="shared" ca="1" si="60"/>
        <v>0</v>
      </c>
      <c r="AL117" s="7">
        <f t="shared" ca="1" si="60"/>
        <v>0</v>
      </c>
      <c r="AM117" s="7">
        <f t="shared" si="60"/>
        <v>0</v>
      </c>
    </row>
    <row r="118" spans="1:39" x14ac:dyDescent="0.2">
      <c r="A118" s="3" t="s">
        <v>31</v>
      </c>
      <c r="C118" s="7">
        <f t="shared" ref="C118:AM118" ca="1" si="61">IFERROR(-IF(C113=0,VLOOKUP($A112,$8:$12,C$1+2,FALSE),0),0)</f>
        <v>0</v>
      </c>
      <c r="D118" s="7">
        <f t="shared" ca="1" si="61"/>
        <v>0</v>
      </c>
      <c r="E118" s="7">
        <f t="shared" ca="1" si="61"/>
        <v>0</v>
      </c>
      <c r="F118" s="7">
        <f t="shared" ca="1" si="61"/>
        <v>0</v>
      </c>
      <c r="G118" s="7">
        <f t="shared" ca="1" si="61"/>
        <v>0</v>
      </c>
      <c r="H118" s="7">
        <f t="shared" ca="1" si="61"/>
        <v>0</v>
      </c>
      <c r="I118" s="7">
        <f t="shared" ca="1" si="61"/>
        <v>0</v>
      </c>
      <c r="J118" s="7">
        <f t="shared" ca="1" si="61"/>
        <v>0</v>
      </c>
      <c r="K118" s="7">
        <f t="shared" ca="1" si="61"/>
        <v>0</v>
      </c>
      <c r="L118" s="7">
        <f t="shared" ca="1" si="61"/>
        <v>0</v>
      </c>
      <c r="M118" s="7">
        <f t="shared" ca="1" si="61"/>
        <v>0</v>
      </c>
      <c r="N118" s="7">
        <f t="shared" ca="1" si="61"/>
        <v>0</v>
      </c>
      <c r="O118" s="7">
        <f t="shared" ca="1" si="61"/>
        <v>0</v>
      </c>
      <c r="P118" s="7">
        <f t="shared" ca="1" si="61"/>
        <v>0</v>
      </c>
      <c r="Q118" s="7">
        <f t="shared" ca="1" si="61"/>
        <v>0</v>
      </c>
      <c r="R118" s="7">
        <f t="shared" ca="1" si="61"/>
        <v>0</v>
      </c>
      <c r="S118" s="7">
        <f t="shared" ca="1" si="61"/>
        <v>0</v>
      </c>
      <c r="T118" s="7">
        <f t="shared" ca="1" si="61"/>
        <v>0</v>
      </c>
      <c r="U118" s="7">
        <f t="shared" ca="1" si="61"/>
        <v>0</v>
      </c>
      <c r="V118" s="7">
        <f t="shared" ca="1" si="61"/>
        <v>0</v>
      </c>
      <c r="W118" s="7">
        <f t="shared" ca="1" si="61"/>
        <v>0</v>
      </c>
      <c r="X118" s="7">
        <f t="shared" ca="1" si="61"/>
        <v>0</v>
      </c>
      <c r="Y118" s="7">
        <f t="shared" ca="1" si="61"/>
        <v>0</v>
      </c>
      <c r="Z118" s="7">
        <f t="shared" ca="1" si="61"/>
        <v>0</v>
      </c>
      <c r="AA118" s="7">
        <f t="shared" ca="1" si="61"/>
        <v>0</v>
      </c>
      <c r="AB118" s="7">
        <f t="shared" ca="1" si="61"/>
        <v>0</v>
      </c>
      <c r="AC118" s="7">
        <f t="shared" ca="1" si="61"/>
        <v>0</v>
      </c>
      <c r="AD118" s="7">
        <f t="shared" ca="1" si="61"/>
        <v>0</v>
      </c>
      <c r="AE118" s="7">
        <f t="shared" ca="1" si="61"/>
        <v>0</v>
      </c>
      <c r="AF118" s="7">
        <f t="shared" ca="1" si="61"/>
        <v>0</v>
      </c>
      <c r="AG118" s="7">
        <f t="shared" ca="1" si="61"/>
        <v>0</v>
      </c>
      <c r="AH118" s="7">
        <f t="shared" ca="1" si="61"/>
        <v>0</v>
      </c>
      <c r="AI118" s="7">
        <f t="shared" ca="1" si="61"/>
        <v>0</v>
      </c>
      <c r="AJ118" s="7">
        <f t="shared" ca="1" si="61"/>
        <v>0</v>
      </c>
      <c r="AK118" s="7">
        <f t="shared" ca="1" si="61"/>
        <v>0</v>
      </c>
      <c r="AL118" s="7">
        <f t="shared" ca="1" si="61"/>
        <v>0</v>
      </c>
      <c r="AM118" s="7">
        <f t="shared" ca="1" si="61"/>
        <v>0</v>
      </c>
    </row>
    <row r="119" spans="1:39" x14ac:dyDescent="0.2">
      <c r="A119" s="3" t="s">
        <v>50</v>
      </c>
      <c r="C119" s="7">
        <f t="shared" ref="C119:AM119" ca="1" si="62">IFERROR(IF(C113=0,VLOOKUP($A112,$45:$49,C$1+2,FALSE),0),0)</f>
        <v>0</v>
      </c>
      <c r="D119" s="7">
        <f t="shared" ca="1" si="62"/>
        <v>0</v>
      </c>
      <c r="E119" s="7">
        <f t="shared" ca="1" si="62"/>
        <v>0</v>
      </c>
      <c r="F119" s="7">
        <f t="shared" ca="1" si="62"/>
        <v>0</v>
      </c>
      <c r="G119" s="7">
        <f t="shared" ca="1" si="62"/>
        <v>0</v>
      </c>
      <c r="H119" s="7">
        <f t="shared" ca="1" si="62"/>
        <v>0</v>
      </c>
      <c r="I119" s="7">
        <f t="shared" ca="1" si="62"/>
        <v>0</v>
      </c>
      <c r="J119" s="7">
        <f t="shared" ca="1" si="62"/>
        <v>0</v>
      </c>
      <c r="K119" s="7">
        <f t="shared" ca="1" si="62"/>
        <v>0</v>
      </c>
      <c r="L119" s="7">
        <f t="shared" ca="1" si="62"/>
        <v>0</v>
      </c>
      <c r="M119" s="7">
        <f t="shared" ca="1" si="62"/>
        <v>0</v>
      </c>
      <c r="N119" s="7">
        <f t="shared" ca="1" si="62"/>
        <v>0</v>
      </c>
      <c r="O119" s="7">
        <f t="shared" ca="1" si="62"/>
        <v>0</v>
      </c>
      <c r="P119" s="7">
        <f t="shared" ca="1" si="62"/>
        <v>0</v>
      </c>
      <c r="Q119" s="7">
        <f t="shared" ca="1" si="62"/>
        <v>0</v>
      </c>
      <c r="R119" s="7">
        <f t="shared" ca="1" si="62"/>
        <v>0</v>
      </c>
      <c r="S119" s="7">
        <f t="shared" ca="1" si="62"/>
        <v>0</v>
      </c>
      <c r="T119" s="7">
        <f t="shared" ca="1" si="62"/>
        <v>0</v>
      </c>
      <c r="U119" s="7">
        <f t="shared" ca="1" si="62"/>
        <v>0</v>
      </c>
      <c r="V119" s="7">
        <f t="shared" ca="1" si="62"/>
        <v>0</v>
      </c>
      <c r="W119" s="7">
        <f t="shared" ca="1" si="62"/>
        <v>0</v>
      </c>
      <c r="X119" s="7">
        <f t="shared" ca="1" si="62"/>
        <v>0</v>
      </c>
      <c r="Y119" s="7">
        <f t="shared" ca="1" si="62"/>
        <v>0</v>
      </c>
      <c r="Z119" s="7">
        <f t="shared" ca="1" si="62"/>
        <v>0</v>
      </c>
      <c r="AA119" s="7">
        <f t="shared" ca="1" si="62"/>
        <v>0</v>
      </c>
      <c r="AB119" s="7">
        <f t="shared" ca="1" si="62"/>
        <v>0</v>
      </c>
      <c r="AC119" s="7">
        <f t="shared" ca="1" si="62"/>
        <v>0</v>
      </c>
      <c r="AD119" s="7">
        <f t="shared" ca="1" si="62"/>
        <v>0</v>
      </c>
      <c r="AE119" s="7">
        <f t="shared" ca="1" si="62"/>
        <v>0</v>
      </c>
      <c r="AF119" s="7">
        <f t="shared" ca="1" si="62"/>
        <v>0</v>
      </c>
      <c r="AG119" s="7">
        <f t="shared" ca="1" si="62"/>
        <v>0</v>
      </c>
      <c r="AH119" s="7">
        <f t="shared" ca="1" si="62"/>
        <v>0</v>
      </c>
      <c r="AI119" s="7">
        <f t="shared" ca="1" si="62"/>
        <v>0</v>
      </c>
      <c r="AJ119" s="7">
        <f t="shared" ca="1" si="62"/>
        <v>0</v>
      </c>
      <c r="AK119" s="7">
        <f t="shared" ca="1" si="62"/>
        <v>0</v>
      </c>
      <c r="AL119" s="7">
        <f t="shared" ca="1" si="62"/>
        <v>0</v>
      </c>
      <c r="AM119" s="7">
        <f t="shared" ca="1" si="62"/>
        <v>0</v>
      </c>
    </row>
    <row r="120" spans="1:39" x14ac:dyDescent="0.2">
      <c r="A120" s="3" t="s">
        <v>36</v>
      </c>
      <c r="B120" s="14" t="str">
        <f>A112</f>
        <v>Painting</v>
      </c>
      <c r="C120" s="7">
        <f t="shared" ref="C120:AM120" ca="1" si="63">IF(AND(C113&gt;0,C116=0),VLOOKUP($A112,$83:$92,C$1+2,FALSE),0)</f>
        <v>0</v>
      </c>
      <c r="D120" s="7">
        <f t="shared" ca="1" si="63"/>
        <v>0</v>
      </c>
      <c r="E120" s="7">
        <f t="shared" ca="1" si="63"/>
        <v>0</v>
      </c>
      <c r="F120" s="7">
        <f t="shared" ca="1" si="63"/>
        <v>0</v>
      </c>
      <c r="G120" s="7">
        <f t="shared" ca="1" si="63"/>
        <v>0</v>
      </c>
      <c r="H120" s="7">
        <f t="shared" ca="1" si="63"/>
        <v>0</v>
      </c>
      <c r="I120" s="7">
        <f t="shared" ca="1" si="63"/>
        <v>0</v>
      </c>
      <c r="J120" s="7">
        <f t="shared" ca="1" si="63"/>
        <v>0</v>
      </c>
      <c r="K120" s="7">
        <f t="shared" ca="1" si="63"/>
        <v>0</v>
      </c>
      <c r="L120" s="7">
        <f t="shared" ca="1" si="63"/>
        <v>0</v>
      </c>
      <c r="M120" s="7">
        <f t="shared" ca="1" si="63"/>
        <v>0</v>
      </c>
      <c r="N120" s="7">
        <f t="shared" ca="1" si="63"/>
        <v>0</v>
      </c>
      <c r="O120" s="7">
        <f t="shared" ca="1" si="63"/>
        <v>0</v>
      </c>
      <c r="P120" s="7">
        <f t="shared" ca="1" si="63"/>
        <v>0</v>
      </c>
      <c r="Q120" s="7">
        <f t="shared" ca="1" si="63"/>
        <v>0</v>
      </c>
      <c r="R120" s="7">
        <f t="shared" ca="1" si="63"/>
        <v>0</v>
      </c>
      <c r="S120" s="7">
        <f t="shared" ca="1" si="63"/>
        <v>0</v>
      </c>
      <c r="T120" s="7">
        <f t="shared" ca="1" si="63"/>
        <v>0</v>
      </c>
      <c r="U120" s="7">
        <f t="shared" ca="1" si="63"/>
        <v>0</v>
      </c>
      <c r="V120" s="7">
        <f t="shared" ca="1" si="63"/>
        <v>0</v>
      </c>
      <c r="W120" s="7">
        <f t="shared" ca="1" si="63"/>
        <v>0</v>
      </c>
      <c r="X120" s="7">
        <f t="shared" ca="1" si="63"/>
        <v>0</v>
      </c>
      <c r="Y120" s="7">
        <f t="shared" ca="1" si="63"/>
        <v>0</v>
      </c>
      <c r="Z120" s="7">
        <f t="shared" ca="1" si="63"/>
        <v>0</v>
      </c>
      <c r="AA120" s="7">
        <f t="shared" ca="1" si="63"/>
        <v>0</v>
      </c>
      <c r="AB120" s="7">
        <f t="shared" ca="1" si="63"/>
        <v>0</v>
      </c>
      <c r="AC120" s="7">
        <f t="shared" ca="1" si="63"/>
        <v>0</v>
      </c>
      <c r="AD120" s="7">
        <f t="shared" ca="1" si="63"/>
        <v>0</v>
      </c>
      <c r="AE120" s="7">
        <f t="shared" ca="1" si="63"/>
        <v>0</v>
      </c>
      <c r="AF120" s="7">
        <f t="shared" ca="1" si="63"/>
        <v>0</v>
      </c>
      <c r="AG120" s="7">
        <f t="shared" ca="1" si="63"/>
        <v>0</v>
      </c>
      <c r="AH120" s="7">
        <f t="shared" ca="1" si="63"/>
        <v>0</v>
      </c>
      <c r="AI120" s="7">
        <f t="shared" ca="1" si="63"/>
        <v>0</v>
      </c>
      <c r="AJ120" s="7">
        <f t="shared" ca="1" si="63"/>
        <v>0</v>
      </c>
      <c r="AK120" s="7">
        <f t="shared" ca="1" si="63"/>
        <v>0</v>
      </c>
      <c r="AL120" s="7">
        <f t="shared" ca="1" si="63"/>
        <v>0</v>
      </c>
      <c r="AM120" s="7">
        <f t="shared" ca="1" si="63"/>
        <v>0</v>
      </c>
    </row>
    <row r="121" spans="1:39" x14ac:dyDescent="0.2">
      <c r="A121" s="3" t="s">
        <v>37</v>
      </c>
      <c r="C121" s="7">
        <f ca="1">-C114+SUM(C117:C120)</f>
        <v>0</v>
      </c>
      <c r="D121" s="7">
        <f t="shared" ref="D121" ca="1" si="64">-D114+SUM(D117:D120)</f>
        <v>0</v>
      </c>
      <c r="E121" s="7">
        <f t="shared" ref="E121:AM121" ca="1" si="65">-E114+SUM(E117:E120)</f>
        <v>0</v>
      </c>
      <c r="F121" s="7">
        <f t="shared" ca="1" si="65"/>
        <v>0</v>
      </c>
      <c r="G121" s="7">
        <f t="shared" ca="1" si="65"/>
        <v>0</v>
      </c>
      <c r="H121" s="7">
        <f t="shared" ca="1" si="65"/>
        <v>0</v>
      </c>
      <c r="I121" s="7">
        <f t="shared" ca="1" si="65"/>
        <v>0</v>
      </c>
      <c r="J121" s="7">
        <f t="shared" ca="1" si="65"/>
        <v>0</v>
      </c>
      <c r="K121" s="7">
        <f t="shared" ca="1" si="65"/>
        <v>0</v>
      </c>
      <c r="L121" s="7">
        <f t="shared" ca="1" si="65"/>
        <v>0</v>
      </c>
      <c r="M121" s="7">
        <f t="shared" ca="1" si="65"/>
        <v>0</v>
      </c>
      <c r="N121" s="7">
        <f t="shared" ca="1" si="65"/>
        <v>0</v>
      </c>
      <c r="O121" s="7">
        <f t="shared" ca="1" si="65"/>
        <v>0</v>
      </c>
      <c r="P121" s="7">
        <f t="shared" ca="1" si="65"/>
        <v>0</v>
      </c>
      <c r="Q121" s="7">
        <f t="shared" ca="1" si="65"/>
        <v>0</v>
      </c>
      <c r="R121" s="7">
        <f t="shared" ca="1" si="65"/>
        <v>0</v>
      </c>
      <c r="S121" s="7">
        <f t="shared" ca="1" si="65"/>
        <v>0</v>
      </c>
      <c r="T121" s="7">
        <f t="shared" ca="1" si="65"/>
        <v>0</v>
      </c>
      <c r="U121" s="7">
        <f t="shared" ca="1" si="65"/>
        <v>0</v>
      </c>
      <c r="V121" s="7">
        <f t="shared" ca="1" si="65"/>
        <v>0</v>
      </c>
      <c r="W121" s="7">
        <f t="shared" ca="1" si="65"/>
        <v>0</v>
      </c>
      <c r="X121" s="7">
        <f t="shared" ca="1" si="65"/>
        <v>0</v>
      </c>
      <c r="Y121" s="7">
        <f t="shared" ca="1" si="65"/>
        <v>0</v>
      </c>
      <c r="Z121" s="7">
        <f t="shared" ca="1" si="65"/>
        <v>0</v>
      </c>
      <c r="AA121" s="7">
        <f t="shared" ca="1" si="65"/>
        <v>0</v>
      </c>
      <c r="AB121" s="7">
        <f t="shared" ca="1" si="65"/>
        <v>0</v>
      </c>
      <c r="AC121" s="7">
        <f t="shared" ca="1" si="65"/>
        <v>0</v>
      </c>
      <c r="AD121" s="7">
        <f t="shared" ca="1" si="65"/>
        <v>0</v>
      </c>
      <c r="AE121" s="7">
        <f t="shared" ca="1" si="65"/>
        <v>0</v>
      </c>
      <c r="AF121" s="7">
        <f t="shared" ca="1" si="65"/>
        <v>0</v>
      </c>
      <c r="AG121" s="7">
        <f t="shared" ca="1" si="65"/>
        <v>0</v>
      </c>
      <c r="AH121" s="7">
        <f t="shared" ca="1" si="65"/>
        <v>0</v>
      </c>
      <c r="AI121" s="7">
        <f t="shared" ca="1" si="65"/>
        <v>0</v>
      </c>
      <c r="AJ121" s="7">
        <f t="shared" ca="1" si="65"/>
        <v>0</v>
      </c>
      <c r="AK121" s="7">
        <f t="shared" ca="1" si="65"/>
        <v>0</v>
      </c>
      <c r="AL121" s="7">
        <f t="shared" ca="1" si="65"/>
        <v>0</v>
      </c>
      <c r="AM121" s="7">
        <f t="shared" ca="1" si="65"/>
        <v>0</v>
      </c>
    </row>
    <row r="122" spans="1:39" x14ac:dyDescent="0.2">
      <c r="A122" s="3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x14ac:dyDescent="0.2">
      <c r="A123" s="3" t="s">
        <v>71</v>
      </c>
      <c r="C123" s="7">
        <f ca="1">C109+SUM($C121:C121)</f>
        <v>12809.375000000015</v>
      </c>
      <c r="D123" s="7">
        <f ca="1">D109+SUM($C121:D121)</f>
        <v>24162.215625000026</v>
      </c>
      <c r="E123" s="7">
        <f ca="1">E109+SUM($C121:E121)</f>
        <v>41813.279140625047</v>
      </c>
      <c r="F123" s="7">
        <f ca="1">F109+SUM($C121:F121)</f>
        <v>41803.568657505195</v>
      </c>
      <c r="G123" s="7">
        <f ca="1">G109+SUM($C121:G121)</f>
        <v>73524.627177360788</v>
      </c>
      <c r="H123" s="7">
        <f ca="1">H109+SUM($C121:H121)</f>
        <v>111945.76563583669</v>
      </c>
      <c r="I123" s="7">
        <f ca="1">I109+SUM($C121:I121)</f>
        <v>179058.63493181192</v>
      </c>
      <c r="J123" s="7">
        <f ca="1">J109+SUM($C121:J121)</f>
        <v>250182.50067145552</v>
      </c>
      <c r="K123" s="7">
        <f ca="1">K109+SUM($C121:K121)</f>
        <v>308095.70278366783</v>
      </c>
      <c r="L123" s="7">
        <f ca="1">L109+SUM($C121:L121)</f>
        <v>453640.47280939861</v>
      </c>
      <c r="M123" s="7">
        <f ca="1">M109+SUM($C121:M121)</f>
        <v>510683.42164108111</v>
      </c>
      <c r="N123" s="7">
        <f ca="1">N109+SUM($C121:N121)</f>
        <v>621525.85327123245</v>
      </c>
      <c r="O123" s="7">
        <f ca="1">O109+SUM($C121:O121)</f>
        <v>738362.94313265686</v>
      </c>
      <c r="P123" s="7">
        <f ca="1">P109+SUM($C121:P121)</f>
        <v>861449.23653079802</v>
      </c>
      <c r="Q123" s="7">
        <f ca="1">Q109+SUM($C121:Q121)</f>
        <v>991048.98204238666</v>
      </c>
      <c r="R123" s="7">
        <f ca="1">R109+SUM($C121:R121)</f>
        <v>1127436.4792682112</v>
      </c>
      <c r="S123" s="7">
        <f ca="1">S109+SUM($C121:S121)</f>
        <v>1270896.4385593834</v>
      </c>
      <c r="T123" s="7">
        <f ca="1">T109+SUM($C121:T121)</f>
        <v>1312493.9107349962</v>
      </c>
      <c r="U123" s="7">
        <f ca="1">U109+SUM($C121:U121)</f>
        <v>1363530.8459680481</v>
      </c>
      <c r="V123" s="7">
        <f ca="1">V109+SUM($C121:V121)</f>
        <v>1416566.1280568431</v>
      </c>
      <c r="W123" s="7">
        <f ca="1">W109+SUM($C121:W121)</f>
        <v>1471676.7180232967</v>
      </c>
      <c r="X123" s="7">
        <f ca="1">X109+SUM($C121:X121)</f>
        <v>1528942.4442265448</v>
      </c>
      <c r="Y123" s="7">
        <f ca="1">Y109+SUM($C121:Y121)</f>
        <v>1567529.0131961552</v>
      </c>
      <c r="Z123" s="7">
        <f ca="1">Z109+SUM($C121:Z121)</f>
        <v>1607393.5393787338</v>
      </c>
      <c r="AA123" s="7">
        <f ca="1">AA109+SUM($C121:AA121)</f>
        <v>1648585.8680630873</v>
      </c>
      <c r="AB123" s="7">
        <f ca="1">AB109+SUM($C121:AB121)</f>
        <v>1691157.8400002168</v>
      </c>
      <c r="AC123" s="7">
        <f ca="1">AC109+SUM($C121:AC121)</f>
        <v>1735163.3690807538</v>
      </c>
      <c r="AD123" s="7">
        <f ca="1">AD109+SUM($C121:AD121)</f>
        <v>1780658.5229208304</v>
      </c>
      <c r="AE123" s="7">
        <f ca="1">AE109+SUM($C121:AE121)</f>
        <v>1837808.8624938719</v>
      </c>
      <c r="AF123" s="7">
        <f ca="1">AF109+SUM($C121:AF121)</f>
        <v>1897073.1235563438</v>
      </c>
      <c r="AG123" s="7">
        <f ca="1">AG109+SUM($C121:AG121)</f>
        <v>1958533.3002031124</v>
      </c>
      <c r="AH123" s="7">
        <f ca="1">AH109+SUM($C121:AH121)</f>
        <v>2022274.5255423354</v>
      </c>
      <c r="AI123" s="7">
        <f ca="1">AI109+SUM($C121:AI121)</f>
        <v>2088385.1882151016</v>
      </c>
      <c r="AJ123" s="7">
        <f ca="1">AJ109+SUM($C121:AJ121)</f>
        <v>2156957.0531036272</v>
      </c>
      <c r="AK123" s="7">
        <f ca="1">AK109+SUM($C121:AK121)</f>
        <v>2228085.3863743474</v>
      </c>
      <c r="AL123" s="7">
        <f ca="1">AL109+SUM($C121:AL121)</f>
        <v>2301869.0850072289</v>
      </c>
      <c r="AM123" s="7">
        <f ca="1">AM109+SUM($C121:AM121)</f>
        <v>2378410.8109677895</v>
      </c>
    </row>
    <row r="124" spans="1:39" x14ac:dyDescent="0.2">
      <c r="A124" s="3" t="s">
        <v>68</v>
      </c>
      <c r="C124" s="7">
        <f t="shared" ref="C124:AM124" ca="1" si="66">MAX(C123+buffer,0)-MAX(C$109+buffer,0)</f>
        <v>0</v>
      </c>
      <c r="D124" s="7">
        <f t="shared" ca="1" si="66"/>
        <v>0</v>
      </c>
      <c r="E124" s="7">
        <f t="shared" ca="1" si="66"/>
        <v>0</v>
      </c>
      <c r="F124" s="7">
        <f t="shared" ca="1" si="66"/>
        <v>0</v>
      </c>
      <c r="G124" s="7">
        <f t="shared" ca="1" si="66"/>
        <v>0</v>
      </c>
      <c r="H124" s="7">
        <f t="shared" ca="1" si="66"/>
        <v>0</v>
      </c>
      <c r="I124" s="7">
        <f t="shared" ca="1" si="66"/>
        <v>0</v>
      </c>
      <c r="J124" s="7">
        <f t="shared" ca="1" si="66"/>
        <v>0</v>
      </c>
      <c r="K124" s="7">
        <f t="shared" ca="1" si="66"/>
        <v>0</v>
      </c>
      <c r="L124" s="7">
        <f t="shared" ca="1" si="66"/>
        <v>0</v>
      </c>
      <c r="M124" s="7">
        <f t="shared" ca="1" si="66"/>
        <v>0</v>
      </c>
      <c r="N124" s="7">
        <f t="shared" ca="1" si="66"/>
        <v>0</v>
      </c>
      <c r="O124" s="7">
        <f t="shared" ca="1" si="66"/>
        <v>0</v>
      </c>
      <c r="P124" s="7">
        <f t="shared" ca="1" si="66"/>
        <v>0</v>
      </c>
      <c r="Q124" s="7">
        <f t="shared" ca="1" si="66"/>
        <v>0</v>
      </c>
      <c r="R124" s="7">
        <f t="shared" ca="1" si="66"/>
        <v>0</v>
      </c>
      <c r="S124" s="7">
        <f t="shared" ca="1" si="66"/>
        <v>0</v>
      </c>
      <c r="T124" s="7">
        <f t="shared" ca="1" si="66"/>
        <v>0</v>
      </c>
      <c r="U124" s="7">
        <f t="shared" ca="1" si="66"/>
        <v>0</v>
      </c>
      <c r="V124" s="7">
        <f t="shared" ca="1" si="66"/>
        <v>0</v>
      </c>
      <c r="W124" s="7">
        <f t="shared" ca="1" si="66"/>
        <v>0</v>
      </c>
      <c r="X124" s="7">
        <f t="shared" ca="1" si="66"/>
        <v>0</v>
      </c>
      <c r="Y124" s="7">
        <f t="shared" ca="1" si="66"/>
        <v>0</v>
      </c>
      <c r="Z124" s="7">
        <f t="shared" ca="1" si="66"/>
        <v>0</v>
      </c>
      <c r="AA124" s="7">
        <f t="shared" ca="1" si="66"/>
        <v>0</v>
      </c>
      <c r="AB124" s="7">
        <f t="shared" ca="1" si="66"/>
        <v>0</v>
      </c>
      <c r="AC124" s="7">
        <f t="shared" ca="1" si="66"/>
        <v>0</v>
      </c>
      <c r="AD124" s="7">
        <f t="shared" ca="1" si="66"/>
        <v>0</v>
      </c>
      <c r="AE124" s="7">
        <f t="shared" ca="1" si="66"/>
        <v>0</v>
      </c>
      <c r="AF124" s="7">
        <f t="shared" ca="1" si="66"/>
        <v>0</v>
      </c>
      <c r="AG124" s="7">
        <f t="shared" ca="1" si="66"/>
        <v>0</v>
      </c>
      <c r="AH124" s="7">
        <f t="shared" ca="1" si="66"/>
        <v>0</v>
      </c>
      <c r="AI124" s="7">
        <f t="shared" ca="1" si="66"/>
        <v>0</v>
      </c>
      <c r="AJ124" s="7">
        <f t="shared" ca="1" si="66"/>
        <v>0</v>
      </c>
      <c r="AK124" s="7">
        <f t="shared" ca="1" si="66"/>
        <v>0</v>
      </c>
      <c r="AL124" s="7">
        <f t="shared" ca="1" si="66"/>
        <v>0</v>
      </c>
      <c r="AM124" s="7">
        <f t="shared" ca="1" si="66"/>
        <v>0</v>
      </c>
    </row>
    <row r="125" spans="1:39" x14ac:dyDescent="0.2">
      <c r="A125" s="3" t="s">
        <v>69</v>
      </c>
      <c r="C125" s="7">
        <f ca="1">C124*Inputs!$B$259</f>
        <v>0</v>
      </c>
      <c r="D125" s="7">
        <f ca="1">D124*Inputs!$B$259</f>
        <v>0</v>
      </c>
      <c r="E125" s="7">
        <f ca="1">E124*Inputs!$B$259</f>
        <v>0</v>
      </c>
      <c r="F125" s="7">
        <f ca="1">F124*Inputs!$B$259</f>
        <v>0</v>
      </c>
      <c r="G125" s="7">
        <f ca="1">G124*Inputs!$B$259</f>
        <v>0</v>
      </c>
      <c r="H125" s="7">
        <f ca="1">H124*Inputs!$B$259</f>
        <v>0</v>
      </c>
      <c r="I125" s="7">
        <f ca="1">I124*Inputs!$B$259</f>
        <v>0</v>
      </c>
      <c r="J125" s="7">
        <f ca="1">J124*Inputs!$B$259</f>
        <v>0</v>
      </c>
      <c r="K125" s="7">
        <f ca="1">K124*Inputs!$B$259</f>
        <v>0</v>
      </c>
      <c r="L125" s="7">
        <f ca="1">L124*Inputs!$B$259</f>
        <v>0</v>
      </c>
      <c r="M125" s="7">
        <f ca="1">M124*Inputs!$B$259</f>
        <v>0</v>
      </c>
      <c r="N125" s="7">
        <f ca="1">N124*Inputs!$B$259</f>
        <v>0</v>
      </c>
      <c r="O125" s="7">
        <f ca="1">O124*Inputs!$B$259</f>
        <v>0</v>
      </c>
      <c r="P125" s="7">
        <f ca="1">P124*Inputs!$B$259</f>
        <v>0</v>
      </c>
      <c r="Q125" s="7">
        <f ca="1">Q124*Inputs!$B$259</f>
        <v>0</v>
      </c>
      <c r="R125" s="7">
        <f ca="1">R124*Inputs!$B$259</f>
        <v>0</v>
      </c>
      <c r="S125" s="7">
        <f ca="1">S124*Inputs!$B$259</f>
        <v>0</v>
      </c>
      <c r="T125" s="7">
        <f ca="1">T124*Inputs!$B$259</f>
        <v>0</v>
      </c>
      <c r="U125" s="7">
        <f ca="1">U124*Inputs!$B$259</f>
        <v>0</v>
      </c>
      <c r="V125" s="7">
        <f ca="1">V124*Inputs!$B$259</f>
        <v>0</v>
      </c>
      <c r="W125" s="7">
        <f ca="1">W124*Inputs!$B$259</f>
        <v>0</v>
      </c>
      <c r="X125" s="7">
        <f ca="1">X124*Inputs!$B$259</f>
        <v>0</v>
      </c>
      <c r="Y125" s="7">
        <f ca="1">Y124*Inputs!$B$259</f>
        <v>0</v>
      </c>
      <c r="Z125" s="7">
        <f ca="1">Z124*Inputs!$B$259</f>
        <v>0</v>
      </c>
      <c r="AA125" s="7">
        <f ca="1">AA124*Inputs!$B$259</f>
        <v>0</v>
      </c>
      <c r="AB125" s="7">
        <f ca="1">AB124*Inputs!$B$259</f>
        <v>0</v>
      </c>
      <c r="AC125" s="7">
        <f ca="1">AC124*Inputs!$B$259</f>
        <v>0</v>
      </c>
      <c r="AD125" s="7">
        <f ca="1">AD124*Inputs!$B$259</f>
        <v>0</v>
      </c>
      <c r="AE125" s="7">
        <f ca="1">AE124*Inputs!$B$259</f>
        <v>0</v>
      </c>
      <c r="AF125" s="7">
        <f ca="1">AF124*Inputs!$B$259</f>
        <v>0</v>
      </c>
      <c r="AG125" s="7">
        <f ca="1">AG124*Inputs!$B$259</f>
        <v>0</v>
      </c>
      <c r="AH125" s="7">
        <f ca="1">AH124*Inputs!$B$259</f>
        <v>0</v>
      </c>
      <c r="AI125" s="7">
        <f ca="1">AI124*Inputs!$B$259</f>
        <v>0</v>
      </c>
      <c r="AJ125" s="7">
        <f ca="1">AJ124*Inputs!$B$259</f>
        <v>0</v>
      </c>
      <c r="AK125" s="7">
        <f ca="1">AK124*Inputs!$B$259</f>
        <v>0</v>
      </c>
      <c r="AL125" s="7">
        <f ca="1">AL124*Inputs!$B$259</f>
        <v>0</v>
      </c>
      <c r="AM125" s="7">
        <f ca="1">AM124*Inputs!$B$259</f>
        <v>0</v>
      </c>
    </row>
    <row r="126" spans="1:39" x14ac:dyDescent="0.2">
      <c r="A126" s="3" t="s">
        <v>150</v>
      </c>
      <c r="C126" s="7">
        <f ca="1">C123+SUM($C125:C125)</f>
        <v>12809.375000000015</v>
      </c>
      <c r="D126" s="7">
        <f ca="1">D123+SUM($C125:D125)</f>
        <v>24162.215625000026</v>
      </c>
      <c r="E126" s="7">
        <f ca="1">E123+SUM($C125:E125)</f>
        <v>41813.279140625047</v>
      </c>
      <c r="F126" s="7">
        <f ca="1">F123+SUM($C125:F125)</f>
        <v>41803.568657505195</v>
      </c>
      <c r="G126" s="7">
        <f ca="1">G123+SUM($C125:G125)</f>
        <v>73524.627177360788</v>
      </c>
      <c r="H126" s="7">
        <f ca="1">H123+SUM($C125:H125)</f>
        <v>111945.76563583669</v>
      </c>
      <c r="I126" s="7">
        <f ca="1">I123+SUM($C125:I125)</f>
        <v>179058.63493181192</v>
      </c>
      <c r="J126" s="7">
        <f ca="1">J123+SUM($C125:J125)</f>
        <v>250182.50067145552</v>
      </c>
      <c r="K126" s="7">
        <f ca="1">K123+SUM($C125:K125)</f>
        <v>308095.70278366783</v>
      </c>
      <c r="L126" s="7">
        <f ca="1">L123+SUM($C125:L125)</f>
        <v>453640.47280939861</v>
      </c>
      <c r="M126" s="7">
        <f ca="1">M123+SUM($C125:M125)</f>
        <v>510683.42164108111</v>
      </c>
      <c r="N126" s="7">
        <f ca="1">N123+SUM($C125:N125)</f>
        <v>621525.85327123245</v>
      </c>
      <c r="O126" s="7">
        <f ca="1">O123+SUM($C125:O125)</f>
        <v>738362.94313265686</v>
      </c>
      <c r="P126" s="7">
        <f ca="1">P123+SUM($C125:P125)</f>
        <v>861449.23653079802</v>
      </c>
      <c r="Q126" s="7">
        <f ca="1">Q123+SUM($C125:Q125)</f>
        <v>991048.98204238666</v>
      </c>
      <c r="R126" s="7">
        <f ca="1">R123+SUM($C125:R125)</f>
        <v>1127436.4792682112</v>
      </c>
      <c r="S126" s="7">
        <f ca="1">S123+SUM($C125:S125)</f>
        <v>1270896.4385593834</v>
      </c>
      <c r="T126" s="7">
        <f ca="1">T123+SUM($C125:T125)</f>
        <v>1312493.9107349962</v>
      </c>
      <c r="U126" s="7">
        <f ca="1">U123+SUM($C125:U125)</f>
        <v>1363530.8459680481</v>
      </c>
      <c r="V126" s="7">
        <f ca="1">V123+SUM($C125:V125)</f>
        <v>1416566.1280568431</v>
      </c>
      <c r="W126" s="7">
        <f ca="1">W123+SUM($C125:W125)</f>
        <v>1471676.7180232967</v>
      </c>
      <c r="X126" s="7">
        <f ca="1">X123+SUM($C125:X125)</f>
        <v>1528942.4442265448</v>
      </c>
      <c r="Y126" s="7">
        <f ca="1">Y123+SUM($C125:Y125)</f>
        <v>1567529.0131961552</v>
      </c>
      <c r="Z126" s="7">
        <f ca="1">Z123+SUM($C125:Z125)</f>
        <v>1607393.5393787338</v>
      </c>
      <c r="AA126" s="7">
        <f ca="1">AA123+SUM($C125:AA125)</f>
        <v>1648585.8680630873</v>
      </c>
      <c r="AB126" s="7">
        <f ca="1">AB123+SUM($C125:AB125)</f>
        <v>1691157.8400002168</v>
      </c>
      <c r="AC126" s="7">
        <f ca="1">AC123+SUM($C125:AC125)</f>
        <v>1735163.3690807538</v>
      </c>
      <c r="AD126" s="7">
        <f ca="1">AD123+SUM($C125:AD125)</f>
        <v>1780658.5229208304</v>
      </c>
      <c r="AE126" s="7">
        <f ca="1">AE123+SUM($C125:AE125)</f>
        <v>1837808.8624938719</v>
      </c>
      <c r="AF126" s="7">
        <f ca="1">AF123+SUM($C125:AF125)</f>
        <v>1897073.1235563438</v>
      </c>
      <c r="AG126" s="7">
        <f ca="1">AG123+SUM($C125:AG125)</f>
        <v>1958533.3002031124</v>
      </c>
      <c r="AH126" s="7">
        <f ca="1">AH123+SUM($C125:AH125)</f>
        <v>2022274.5255423354</v>
      </c>
      <c r="AI126" s="7">
        <f ca="1">AI123+SUM($C125:AI125)</f>
        <v>2088385.1882151016</v>
      </c>
      <c r="AJ126" s="7">
        <f ca="1">AJ123+SUM($C125:AJ125)</f>
        <v>2156957.0531036272</v>
      </c>
      <c r="AK126" s="7">
        <f ca="1">AK123+SUM($C125:AK125)</f>
        <v>2228085.3863743474</v>
      </c>
      <c r="AL126" s="7">
        <f ca="1">AL123+SUM($C125:AL125)</f>
        <v>2301869.0850072289</v>
      </c>
      <c r="AM126" s="7">
        <f ca="1">AM123+SUM($C125:AM125)</f>
        <v>2378410.8109677895</v>
      </c>
    </row>
    <row r="127" spans="1:39" x14ac:dyDescent="0.2">
      <c r="A127" s="3" t="s">
        <v>20</v>
      </c>
      <c r="C127" s="7">
        <f ca="1">IF(C126&lt;0,-C126,0)</f>
        <v>0</v>
      </c>
      <c r="D127" s="7">
        <f ca="1">IF(D126+SUM($C127:C127)&lt;0,-(D126+SUM($C127:C127)),0)</f>
        <v>0</v>
      </c>
      <c r="E127" s="7">
        <f ca="1">IF(E126+SUM($C127:D127)&lt;0,-(E126+SUM($C127:D127)),0)</f>
        <v>0</v>
      </c>
      <c r="F127" s="7">
        <f ca="1">IF(F126+SUM($C127:E127)&lt;0,-(F126+SUM($C127:E127)),0)</f>
        <v>0</v>
      </c>
      <c r="G127" s="7">
        <f ca="1">IF(G126+SUM($C127:F127)&lt;0,-(G126+SUM($C127:F127)),0)</f>
        <v>0</v>
      </c>
      <c r="H127" s="7">
        <f ca="1">IF(H126+SUM($C127:G127)&lt;0,-(H126+SUM($C127:G127)),0)</f>
        <v>0</v>
      </c>
      <c r="I127" s="7">
        <f ca="1">IF(I126+SUM($C127:H127)&lt;0,-(I126+SUM($C127:H127)),0)</f>
        <v>0</v>
      </c>
      <c r="J127" s="7">
        <f ca="1">IF(J126+SUM($C127:I127)&lt;0,-(J126+SUM($C127:I127)),0)</f>
        <v>0</v>
      </c>
      <c r="K127" s="7">
        <f ca="1">IF(K126+SUM($C127:J127)&lt;0,-(K126+SUM($C127:J127)),0)</f>
        <v>0</v>
      </c>
      <c r="L127" s="7">
        <f ca="1">IF(L126+SUM($C127:K127)&lt;0,-(L126+SUM($C127:K127)),0)</f>
        <v>0</v>
      </c>
      <c r="M127" s="7">
        <f ca="1">IF(M126+SUM($C127:L127)&lt;0,-(M126+SUM($C127:L127)),0)</f>
        <v>0</v>
      </c>
      <c r="N127" s="7">
        <f ca="1">IF(N126+SUM($C127:M127)&lt;0,-(N126+SUM($C127:M127)),0)</f>
        <v>0</v>
      </c>
      <c r="O127" s="7">
        <f ca="1">IF(O126+SUM($C127:N127)&lt;0,-(O126+SUM($C127:N127)),0)</f>
        <v>0</v>
      </c>
      <c r="P127" s="7">
        <f ca="1">IF(P126+SUM($C127:O127)&lt;0,-(P126+SUM($C127:O127)),0)</f>
        <v>0</v>
      </c>
      <c r="Q127" s="7">
        <f ca="1">IF(Q126+SUM($C127:P127)&lt;0,-(Q126+SUM($C127:P127)),0)</f>
        <v>0</v>
      </c>
      <c r="R127" s="7">
        <f ca="1">IF(R126+SUM($C127:Q127)&lt;0,-(R126+SUM($C127:Q127)),0)</f>
        <v>0</v>
      </c>
      <c r="S127" s="7">
        <f ca="1">IF(S126+SUM($C127:R127)&lt;0,-(S126+SUM($C127:R127)),0)</f>
        <v>0</v>
      </c>
      <c r="T127" s="7">
        <f ca="1">IF(T126+SUM($C127:S127)&lt;0,-(T126+SUM($C127:S127)),0)</f>
        <v>0</v>
      </c>
      <c r="U127" s="7">
        <f ca="1">IF(U126+SUM($C127:T127)&lt;0,-(U126+SUM($C127:T127)),0)</f>
        <v>0</v>
      </c>
      <c r="V127" s="7">
        <f ca="1">IF(V126+SUM($C127:U127)&lt;0,-(V126+SUM($C127:U127)),0)</f>
        <v>0</v>
      </c>
      <c r="W127" s="7">
        <f ca="1">IF(W126+SUM($C127:V127)&lt;0,-(W126+SUM($C127:V127)),0)</f>
        <v>0</v>
      </c>
      <c r="X127" s="7">
        <f ca="1">IF(X126+SUM($C127:W127)&lt;0,-(X126+SUM($C127:W127)),0)</f>
        <v>0</v>
      </c>
      <c r="Y127" s="7">
        <f ca="1">IF(Y126+SUM($C127:X127)&lt;0,-(Y126+SUM($C127:X127)),0)</f>
        <v>0</v>
      </c>
      <c r="Z127" s="7">
        <f ca="1">IF(Z126+SUM($C127:Y127)&lt;0,-(Z126+SUM($C127:Y127)),0)</f>
        <v>0</v>
      </c>
      <c r="AA127" s="7">
        <f ca="1">IF(AA126+SUM($C127:Z127)&lt;0,-(AA126+SUM($C127:Z127)),0)</f>
        <v>0</v>
      </c>
      <c r="AB127" s="7">
        <f ca="1">IF(AB126+SUM($C127:AA127)&lt;0,-(AB126+SUM($C127:AA127)),0)</f>
        <v>0</v>
      </c>
      <c r="AC127" s="7">
        <f ca="1">IF(AC126+SUM($C127:AB127)&lt;0,-(AC126+SUM($C127:AB127)),0)</f>
        <v>0</v>
      </c>
      <c r="AD127" s="7">
        <f ca="1">IF(AD126+SUM($C127:AC127)&lt;0,-(AD126+SUM($C127:AC127)),0)</f>
        <v>0</v>
      </c>
      <c r="AE127" s="7">
        <f ca="1">IF(AE126+SUM($C127:AD127)&lt;0,-(AE126+SUM($C127:AD127)),0)</f>
        <v>0</v>
      </c>
      <c r="AF127" s="7">
        <f ca="1">IF(AF126+SUM($C127:AE127)&lt;0,-(AF126+SUM($C127:AE127)),0)</f>
        <v>0</v>
      </c>
      <c r="AG127" s="7">
        <f ca="1">IF(AG126+SUM($C127:AF127)&lt;0,-(AG126+SUM($C127:AF127)),0)</f>
        <v>0</v>
      </c>
      <c r="AH127" s="7">
        <f ca="1">IF(AH126+SUM($C127:AG127)&lt;0,-(AH126+SUM($C127:AG127)),0)</f>
        <v>0</v>
      </c>
      <c r="AI127" s="7">
        <f ca="1">IF(AI126+SUM($C127:AH127)&lt;0,-(AI126+SUM($C127:AH127)),0)</f>
        <v>0</v>
      </c>
      <c r="AJ127" s="7">
        <f ca="1">IF(AJ126+SUM($C127:AI127)&lt;0,-(AJ126+SUM($C127:AI127)),0)</f>
        <v>0</v>
      </c>
      <c r="AK127" s="7">
        <f ca="1">IF(AK126+SUM($C127:AJ127)&lt;0,-(AK126+SUM($C127:AJ127)),0)</f>
        <v>0</v>
      </c>
      <c r="AL127" s="7">
        <f ca="1">IF(AL126+SUM($C127:AK127)&lt;0,-(AL126+SUM($C127:AK127)),0)</f>
        <v>0</v>
      </c>
      <c r="AM127" s="7">
        <f ca="1">IF(AM126+SUM($C127:AL127)&lt;0,-(AM126+SUM($C127:AL127)),0)</f>
        <v>0</v>
      </c>
    </row>
    <row r="128" spans="1:39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x14ac:dyDescent="0.2">
      <c r="A129" s="24" t="str">
        <f>IF(Inputs!$B$279=6,IFERROR(_xlfn.XLOOKUP($B129,Inputs!$B$280:$B$289,Inputs!$A$280:$A$289,,0,1),""),IFERROR(_xlfn.XLOOKUP($B129,Inputs!$C$280:$C$289,Inputs!$A$280:$A$289,,0,1),""))</f>
        <v>Car</v>
      </c>
      <c r="B129" s="26">
        <v>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3" t="s">
        <v>22</v>
      </c>
      <c r="C130" s="7">
        <f ca="1">IFERROR(VLOOKUP($A129,$A$65:$H$94,C$1+2,FALSE),0)</f>
        <v>38326.250080955608</v>
      </c>
      <c r="D130" s="7">
        <f ca="1">C133</f>
        <v>38326.250080955608</v>
      </c>
      <c r="E130" s="7">
        <f t="shared" ref="E130:AM130" ca="1" si="67">D133</f>
        <v>36409.937576907825</v>
      </c>
      <c r="F130" s="7">
        <f t="shared" ca="1" si="67"/>
        <v>34589.440698062434</v>
      </c>
      <c r="G130" s="7">
        <f t="shared" ca="1" si="67"/>
        <v>32859.968663159314</v>
      </c>
      <c r="H130" s="7">
        <f t="shared" ca="1" si="67"/>
        <v>31216.970230001349</v>
      </c>
      <c r="I130" s="7">
        <f t="shared" ca="1" si="67"/>
        <v>29656.121718501279</v>
      </c>
      <c r="J130" s="7">
        <f t="shared" ca="1" si="67"/>
        <v>28173.315632576214</v>
      </c>
      <c r="K130" s="7">
        <f t="shared" ca="1" si="67"/>
        <v>26764.649850947404</v>
      </c>
      <c r="L130" s="7">
        <f t="shared" ca="1" si="67"/>
        <v>25426.417358400035</v>
      </c>
      <c r="M130" s="7">
        <f t="shared" ca="1" si="67"/>
        <v>24155.096490480031</v>
      </c>
      <c r="N130" s="7">
        <f t="shared" ca="1" si="67"/>
        <v>22947.341665956028</v>
      </c>
      <c r="O130" s="7">
        <f t="shared" ca="1" si="67"/>
        <v>21799.974582658226</v>
      </c>
      <c r="P130" s="7">
        <f t="shared" ca="1" si="67"/>
        <v>20709.975853525313</v>
      </c>
      <c r="Q130" s="7">
        <f t="shared" ca="1" si="67"/>
        <v>19674.477060849047</v>
      </c>
      <c r="R130" s="7">
        <f t="shared" ca="1" si="67"/>
        <v>18690.753207806596</v>
      </c>
      <c r="S130" s="7">
        <f t="shared" ca="1" si="67"/>
        <v>17756.215547416265</v>
      </c>
      <c r="T130" s="7">
        <f t="shared" ca="1" si="67"/>
        <v>16868.40477004545</v>
      </c>
      <c r="U130" s="7">
        <f t="shared" ca="1" si="67"/>
        <v>16024.984531543178</v>
      </c>
      <c r="V130" s="7">
        <f t="shared" ca="1" si="67"/>
        <v>15223.73530496602</v>
      </c>
      <c r="W130" s="7">
        <f t="shared" ca="1" si="67"/>
        <v>14462.548539717718</v>
      </c>
      <c r="X130" s="7">
        <f t="shared" ca="1" si="67"/>
        <v>13739.421112731832</v>
      </c>
      <c r="Y130" s="7">
        <f t="shared" ca="1" si="67"/>
        <v>13052.45005709524</v>
      </c>
      <c r="Z130" s="7">
        <f t="shared" ca="1" si="67"/>
        <v>12399.827554240479</v>
      </c>
      <c r="AA130" s="7">
        <f t="shared" ca="1" si="67"/>
        <v>11779.836176528455</v>
      </c>
      <c r="AB130" s="7">
        <f t="shared" ca="1" si="67"/>
        <v>11190.844367702033</v>
      </c>
      <c r="AC130" s="7">
        <f t="shared" ca="1" si="67"/>
        <v>10631.302149316931</v>
      </c>
      <c r="AD130" s="7">
        <f t="shared" ca="1" si="67"/>
        <v>10099.737041851084</v>
      </c>
      <c r="AE130" s="7">
        <f t="shared" ca="1" si="67"/>
        <v>9594.7501897585298</v>
      </c>
      <c r="AF130" s="7">
        <f t="shared" ca="1" si="67"/>
        <v>9115.0126802706036</v>
      </c>
      <c r="AG130" s="7">
        <f t="shared" ca="1" si="67"/>
        <v>8659.262046257074</v>
      </c>
      <c r="AH130" s="7">
        <f t="shared" ca="1" si="67"/>
        <v>8226.2989439442208</v>
      </c>
      <c r="AI130" s="7">
        <f t="shared" ca="1" si="67"/>
        <v>7814.9839967470098</v>
      </c>
      <c r="AJ130" s="7">
        <f t="shared" ca="1" si="67"/>
        <v>7424.2347969096591</v>
      </c>
      <c r="AK130" s="7">
        <f t="shared" ca="1" si="67"/>
        <v>7053.0230570641761</v>
      </c>
      <c r="AL130" s="7">
        <f t="shared" ca="1" si="67"/>
        <v>6700.3719042109669</v>
      </c>
      <c r="AM130" s="7">
        <f t="shared" ca="1" si="67"/>
        <v>6365.3533090004184</v>
      </c>
    </row>
    <row r="131" spans="1:39" x14ac:dyDescent="0.2">
      <c r="A131" s="3" t="s">
        <v>23</v>
      </c>
      <c r="C131" s="7">
        <f ca="1">-IF(D127&gt;0,C130,0)</f>
        <v>0</v>
      </c>
      <c r="D131" s="7">
        <f ca="1">-IF(E127&gt;0,D130,0)</f>
        <v>0</v>
      </c>
      <c r="E131" s="7">
        <f ca="1">-IF(F127&gt;0,E130,0)</f>
        <v>0</v>
      </c>
      <c r="F131" s="7">
        <f ca="1">-IF(G127&gt;0,F130,0)</f>
        <v>0</v>
      </c>
      <c r="G131" s="7">
        <f t="shared" ref="G131" ca="1" si="68">-IF(H127&gt;0,G130,0)</f>
        <v>0</v>
      </c>
      <c r="H131" s="7">
        <f t="shared" ref="H131" ca="1" si="69">-IF(I127&gt;0,H130,0)</f>
        <v>0</v>
      </c>
      <c r="I131" s="7">
        <f t="shared" ref="I131" ca="1" si="70">-IF(J127&gt;0,I130,0)</f>
        <v>0</v>
      </c>
      <c r="J131" s="7">
        <f t="shared" ref="J131" ca="1" si="71">-IF(K127&gt;0,J130,0)</f>
        <v>0</v>
      </c>
      <c r="K131" s="7">
        <f t="shared" ref="K131" ca="1" si="72">-IF(L127&gt;0,K130,0)</f>
        <v>0</v>
      </c>
      <c r="L131" s="7">
        <f t="shared" ref="L131" ca="1" si="73">-IF(M127&gt;0,L130,0)</f>
        <v>0</v>
      </c>
      <c r="M131" s="7">
        <f t="shared" ref="M131" ca="1" si="74">-IF(N127&gt;0,M130,0)</f>
        <v>0</v>
      </c>
      <c r="N131" s="7">
        <f t="shared" ref="N131" ca="1" si="75">-IF(O127&gt;0,N130,0)</f>
        <v>0</v>
      </c>
      <c r="O131" s="7">
        <f t="shared" ref="O131" ca="1" si="76">-IF(P127&gt;0,O130,0)</f>
        <v>0</v>
      </c>
      <c r="P131" s="7">
        <f t="shared" ref="P131" ca="1" si="77">-IF(Q127&gt;0,P130,0)</f>
        <v>0</v>
      </c>
      <c r="Q131" s="7">
        <f t="shared" ref="Q131" ca="1" si="78">-IF(R127&gt;0,Q130,0)</f>
        <v>0</v>
      </c>
      <c r="R131" s="7">
        <f t="shared" ref="R131" ca="1" si="79">-IF(S127&gt;0,R130,0)</f>
        <v>0</v>
      </c>
      <c r="S131" s="7">
        <f t="shared" ref="S131" ca="1" si="80">-IF(T127&gt;0,S130,0)</f>
        <v>0</v>
      </c>
      <c r="T131" s="7">
        <f t="shared" ref="T131" ca="1" si="81">-IF(U127&gt;0,T130,0)</f>
        <v>0</v>
      </c>
      <c r="U131" s="7">
        <f t="shared" ref="U131" ca="1" si="82">-IF(V127&gt;0,U130,0)</f>
        <v>0</v>
      </c>
      <c r="V131" s="7">
        <f t="shared" ref="V131" ca="1" si="83">-IF(W127&gt;0,V130,0)</f>
        <v>0</v>
      </c>
      <c r="W131" s="7">
        <f t="shared" ref="W131" ca="1" si="84">-IF(X127&gt;0,W130,0)</f>
        <v>0</v>
      </c>
      <c r="X131" s="7">
        <f t="shared" ref="X131" ca="1" si="85">-IF(Y127&gt;0,X130,0)</f>
        <v>0</v>
      </c>
      <c r="Y131" s="7">
        <f t="shared" ref="Y131" ca="1" si="86">-IF(Z127&gt;0,Y130,0)</f>
        <v>0</v>
      </c>
      <c r="Z131" s="7">
        <f t="shared" ref="Z131" ca="1" si="87">-IF(AA127&gt;0,Z130,0)</f>
        <v>0</v>
      </c>
      <c r="AA131" s="7">
        <f t="shared" ref="AA131" ca="1" si="88">-IF(AB127&gt;0,AA130,0)</f>
        <v>0</v>
      </c>
      <c r="AB131" s="7">
        <f t="shared" ref="AB131" ca="1" si="89">-IF(AC127&gt;0,AB130,0)</f>
        <v>0</v>
      </c>
      <c r="AC131" s="7">
        <f t="shared" ref="AC131" ca="1" si="90">-IF(AD127&gt;0,AC130,0)</f>
        <v>0</v>
      </c>
      <c r="AD131" s="7">
        <f t="shared" ref="AD131" ca="1" si="91">-IF(AE127&gt;0,AD130,0)</f>
        <v>0</v>
      </c>
      <c r="AE131" s="7">
        <f t="shared" ref="AE131" ca="1" si="92">-IF(AF127&gt;0,AE130,0)</f>
        <v>0</v>
      </c>
      <c r="AF131" s="7">
        <f t="shared" ref="AF131" ca="1" si="93">-IF(AG127&gt;0,AF130,0)</f>
        <v>0</v>
      </c>
      <c r="AG131" s="7">
        <f t="shared" ref="AG131" ca="1" si="94">-IF(AH127&gt;0,AG130,0)</f>
        <v>0</v>
      </c>
      <c r="AH131" s="7">
        <f t="shared" ref="AH131" ca="1" si="95">-IF(AI127&gt;0,AH130,0)</f>
        <v>0</v>
      </c>
      <c r="AI131" s="7">
        <f t="shared" ref="AI131" ca="1" si="96">-IF(AJ127&gt;0,AI130,0)</f>
        <v>0</v>
      </c>
      <c r="AJ131" s="7">
        <f t="shared" ref="AJ131" ca="1" si="97">-IF(AK127&gt;0,AJ130,0)</f>
        <v>0</v>
      </c>
      <c r="AK131" s="7">
        <f t="shared" ref="AK131" ca="1" si="98">-IF(AL127&gt;0,AK130,0)</f>
        <v>0</v>
      </c>
      <c r="AL131" s="7">
        <f t="shared" ref="AL131" ca="1" si="99">-IF(AM127&gt;0,AL130,0)</f>
        <v>0</v>
      </c>
      <c r="AM131" s="7">
        <f t="shared" ref="AM131" si="100">-IF(AN127&gt;0,AM130,0)</f>
        <v>0</v>
      </c>
    </row>
    <row r="132" spans="1:39" x14ac:dyDescent="0.2">
      <c r="A132" s="3" t="s">
        <v>24</v>
      </c>
      <c r="C132" s="7">
        <v>0</v>
      </c>
      <c r="D132" s="7">
        <f t="shared" ref="D132:AM132" ca="1" si="101">SUM(D130:D131)*VLOOKUP($A129,AssVar,2,FALSE)</f>
        <v>-1916.3125040477805</v>
      </c>
      <c r="E132" s="7">
        <f t="shared" ca="1" si="101"/>
        <v>-1820.4968788453914</v>
      </c>
      <c r="F132" s="7">
        <f t="shared" ca="1" si="101"/>
        <v>-1729.4720349031218</v>
      </c>
      <c r="G132" s="7">
        <f t="shared" ca="1" si="101"/>
        <v>-1642.9984331579658</v>
      </c>
      <c r="H132" s="7">
        <f t="shared" ca="1" si="101"/>
        <v>-1560.8485115000676</v>
      </c>
      <c r="I132" s="7">
        <f t="shared" ca="1" si="101"/>
        <v>-1482.8060859250641</v>
      </c>
      <c r="J132" s="7">
        <f t="shared" ca="1" si="101"/>
        <v>-1408.6657816288107</v>
      </c>
      <c r="K132" s="7">
        <f t="shared" ca="1" si="101"/>
        <v>-1338.2324925473704</v>
      </c>
      <c r="L132" s="7">
        <f t="shared" ca="1" si="101"/>
        <v>-1271.3208679200018</v>
      </c>
      <c r="M132" s="7">
        <f t="shared" ca="1" si="101"/>
        <v>-1207.7548245240016</v>
      </c>
      <c r="N132" s="7">
        <f t="shared" ca="1" si="101"/>
        <v>-1147.3670832978014</v>
      </c>
      <c r="O132" s="7">
        <f t="shared" ca="1" si="101"/>
        <v>-1089.9987291329114</v>
      </c>
      <c r="P132" s="7">
        <f t="shared" ca="1" si="101"/>
        <v>-1035.4987926762658</v>
      </c>
      <c r="Q132" s="7">
        <f t="shared" ca="1" si="101"/>
        <v>-983.72385304245245</v>
      </c>
      <c r="R132" s="7">
        <f t="shared" ca="1" si="101"/>
        <v>-934.53766039032985</v>
      </c>
      <c r="S132" s="7">
        <f t="shared" ca="1" si="101"/>
        <v>-887.8107773708133</v>
      </c>
      <c r="T132" s="7">
        <f t="shared" ca="1" si="101"/>
        <v>-843.42023850227258</v>
      </c>
      <c r="U132" s="7">
        <f t="shared" ca="1" si="101"/>
        <v>-801.24922657715888</v>
      </c>
      <c r="V132" s="7">
        <f t="shared" ca="1" si="101"/>
        <v>-761.18676524830107</v>
      </c>
      <c r="W132" s="7">
        <f t="shared" ca="1" si="101"/>
        <v>-723.1274269858859</v>
      </c>
      <c r="X132" s="7">
        <f t="shared" ca="1" si="101"/>
        <v>-686.9710556365917</v>
      </c>
      <c r="Y132" s="7">
        <f t="shared" ca="1" si="101"/>
        <v>-652.62250285476205</v>
      </c>
      <c r="Z132" s="7">
        <f t="shared" ca="1" si="101"/>
        <v>-619.99137771202402</v>
      </c>
      <c r="AA132" s="7">
        <f t="shared" ca="1" si="101"/>
        <v>-588.99180882642281</v>
      </c>
      <c r="AB132" s="7">
        <f t="shared" ca="1" si="101"/>
        <v>-559.54221838510171</v>
      </c>
      <c r="AC132" s="7">
        <f t="shared" ca="1" si="101"/>
        <v>-531.56510746584661</v>
      </c>
      <c r="AD132" s="7">
        <f t="shared" ca="1" si="101"/>
        <v>-504.98685209255422</v>
      </c>
      <c r="AE132" s="7">
        <f t="shared" ca="1" si="101"/>
        <v>-479.7375094879265</v>
      </c>
      <c r="AF132" s="7">
        <f t="shared" ca="1" si="101"/>
        <v>-455.7506340135302</v>
      </c>
      <c r="AG132" s="7">
        <f t="shared" ca="1" si="101"/>
        <v>-432.96310231285372</v>
      </c>
      <c r="AH132" s="7">
        <f t="shared" ca="1" si="101"/>
        <v>-411.31494719721104</v>
      </c>
      <c r="AI132" s="7">
        <f t="shared" ca="1" si="101"/>
        <v>-390.74919983735049</v>
      </c>
      <c r="AJ132" s="7">
        <f t="shared" ca="1" si="101"/>
        <v>-371.21173984548295</v>
      </c>
      <c r="AK132" s="7">
        <f t="shared" ca="1" si="101"/>
        <v>-352.65115285320883</v>
      </c>
      <c r="AL132" s="7">
        <f t="shared" ca="1" si="101"/>
        <v>-335.01859521054837</v>
      </c>
      <c r="AM132" s="7">
        <f t="shared" ca="1" si="101"/>
        <v>-318.26766545002096</v>
      </c>
    </row>
    <row r="133" spans="1:39" x14ac:dyDescent="0.2">
      <c r="A133" s="3" t="s">
        <v>25</v>
      </c>
      <c r="C133" s="7">
        <f ca="1">SUM(C130:C132)</f>
        <v>38326.250080955608</v>
      </c>
      <c r="D133" s="7">
        <f t="shared" ref="D133:AM133" ca="1" si="102">SUM(D130:D132)</f>
        <v>36409.937576907825</v>
      </c>
      <c r="E133" s="7">
        <f t="shared" ca="1" si="102"/>
        <v>34589.440698062434</v>
      </c>
      <c r="F133" s="7">
        <f t="shared" ca="1" si="102"/>
        <v>32859.968663159314</v>
      </c>
      <c r="G133" s="7">
        <f t="shared" ca="1" si="102"/>
        <v>31216.970230001349</v>
      </c>
      <c r="H133" s="7">
        <f t="shared" ca="1" si="102"/>
        <v>29656.121718501279</v>
      </c>
      <c r="I133" s="7">
        <f t="shared" ca="1" si="102"/>
        <v>28173.315632576214</v>
      </c>
      <c r="J133" s="7">
        <f t="shared" ca="1" si="102"/>
        <v>26764.649850947404</v>
      </c>
      <c r="K133" s="7">
        <f t="shared" ca="1" si="102"/>
        <v>25426.417358400035</v>
      </c>
      <c r="L133" s="7">
        <f t="shared" ca="1" si="102"/>
        <v>24155.096490480031</v>
      </c>
      <c r="M133" s="7">
        <f t="shared" ca="1" si="102"/>
        <v>22947.341665956028</v>
      </c>
      <c r="N133" s="7">
        <f t="shared" ca="1" si="102"/>
        <v>21799.974582658226</v>
      </c>
      <c r="O133" s="7">
        <f t="shared" ca="1" si="102"/>
        <v>20709.975853525313</v>
      </c>
      <c r="P133" s="7">
        <f t="shared" ca="1" si="102"/>
        <v>19674.477060849047</v>
      </c>
      <c r="Q133" s="7">
        <f t="shared" ca="1" si="102"/>
        <v>18690.753207806596</v>
      </c>
      <c r="R133" s="7">
        <f t="shared" ca="1" si="102"/>
        <v>17756.215547416265</v>
      </c>
      <c r="S133" s="7">
        <f t="shared" ca="1" si="102"/>
        <v>16868.40477004545</v>
      </c>
      <c r="T133" s="7">
        <f t="shared" ca="1" si="102"/>
        <v>16024.984531543178</v>
      </c>
      <c r="U133" s="7">
        <f t="shared" ca="1" si="102"/>
        <v>15223.73530496602</v>
      </c>
      <c r="V133" s="7">
        <f t="shared" ca="1" si="102"/>
        <v>14462.548539717718</v>
      </c>
      <c r="W133" s="7">
        <f t="shared" ca="1" si="102"/>
        <v>13739.421112731832</v>
      </c>
      <c r="X133" s="7">
        <f t="shared" ca="1" si="102"/>
        <v>13052.45005709524</v>
      </c>
      <c r="Y133" s="7">
        <f t="shared" ca="1" si="102"/>
        <v>12399.827554240479</v>
      </c>
      <c r="Z133" s="7">
        <f t="shared" ca="1" si="102"/>
        <v>11779.836176528455</v>
      </c>
      <c r="AA133" s="7">
        <f t="shared" ca="1" si="102"/>
        <v>11190.844367702033</v>
      </c>
      <c r="AB133" s="7">
        <f t="shared" ca="1" si="102"/>
        <v>10631.302149316931</v>
      </c>
      <c r="AC133" s="7">
        <f t="shared" ca="1" si="102"/>
        <v>10099.737041851084</v>
      </c>
      <c r="AD133" s="7">
        <f t="shared" ca="1" si="102"/>
        <v>9594.7501897585298</v>
      </c>
      <c r="AE133" s="7">
        <f t="shared" ca="1" si="102"/>
        <v>9115.0126802706036</v>
      </c>
      <c r="AF133" s="7">
        <f t="shared" ca="1" si="102"/>
        <v>8659.262046257074</v>
      </c>
      <c r="AG133" s="7">
        <f t="shared" ca="1" si="102"/>
        <v>8226.2989439442208</v>
      </c>
      <c r="AH133" s="7">
        <f t="shared" ca="1" si="102"/>
        <v>7814.9839967470098</v>
      </c>
      <c r="AI133" s="7">
        <f t="shared" ca="1" si="102"/>
        <v>7424.2347969096591</v>
      </c>
      <c r="AJ133" s="7">
        <f t="shared" ca="1" si="102"/>
        <v>7053.0230570641761</v>
      </c>
      <c r="AK133" s="7">
        <f t="shared" ca="1" si="102"/>
        <v>6700.3719042109669</v>
      </c>
      <c r="AL133" s="7">
        <f t="shared" ca="1" si="102"/>
        <v>6365.3533090004184</v>
      </c>
      <c r="AM133" s="7">
        <f t="shared" ca="1" si="102"/>
        <v>6047.0856435503974</v>
      </c>
    </row>
    <row r="134" spans="1:39" x14ac:dyDescent="0.2">
      <c r="A134" s="3" t="s">
        <v>26</v>
      </c>
      <c r="C134" s="7">
        <f t="shared" ref="C134:AM134" ca="1" si="103">C131*VLOOKUP($A129,AssVar,3,FALSE)</f>
        <v>0</v>
      </c>
      <c r="D134" s="7">
        <f t="shared" ca="1" si="103"/>
        <v>0</v>
      </c>
      <c r="E134" s="7">
        <f t="shared" ca="1" si="103"/>
        <v>0</v>
      </c>
      <c r="F134" s="7">
        <f t="shared" ca="1" si="103"/>
        <v>0</v>
      </c>
      <c r="G134" s="7">
        <f t="shared" ca="1" si="103"/>
        <v>0</v>
      </c>
      <c r="H134" s="7">
        <f t="shared" ca="1" si="103"/>
        <v>0</v>
      </c>
      <c r="I134" s="7">
        <f t="shared" ca="1" si="103"/>
        <v>0</v>
      </c>
      <c r="J134" s="7">
        <f t="shared" ca="1" si="103"/>
        <v>0</v>
      </c>
      <c r="K134" s="7">
        <f t="shared" ca="1" si="103"/>
        <v>0</v>
      </c>
      <c r="L134" s="7">
        <f t="shared" ca="1" si="103"/>
        <v>0</v>
      </c>
      <c r="M134" s="7">
        <f t="shared" ca="1" si="103"/>
        <v>0</v>
      </c>
      <c r="N134" s="7">
        <f t="shared" ca="1" si="103"/>
        <v>0</v>
      </c>
      <c r="O134" s="7">
        <f t="shared" ca="1" si="103"/>
        <v>0</v>
      </c>
      <c r="P134" s="7">
        <f t="shared" ca="1" si="103"/>
        <v>0</v>
      </c>
      <c r="Q134" s="7">
        <f t="shared" ca="1" si="103"/>
        <v>0</v>
      </c>
      <c r="R134" s="7">
        <f t="shared" ca="1" si="103"/>
        <v>0</v>
      </c>
      <c r="S134" s="7">
        <f t="shared" ca="1" si="103"/>
        <v>0</v>
      </c>
      <c r="T134" s="7">
        <f t="shared" ca="1" si="103"/>
        <v>0</v>
      </c>
      <c r="U134" s="7">
        <f t="shared" ca="1" si="103"/>
        <v>0</v>
      </c>
      <c r="V134" s="7">
        <f t="shared" ca="1" si="103"/>
        <v>0</v>
      </c>
      <c r="W134" s="7">
        <f t="shared" ca="1" si="103"/>
        <v>0</v>
      </c>
      <c r="X134" s="7">
        <f t="shared" ca="1" si="103"/>
        <v>0</v>
      </c>
      <c r="Y134" s="7">
        <f t="shared" ca="1" si="103"/>
        <v>0</v>
      </c>
      <c r="Z134" s="7">
        <f t="shared" ca="1" si="103"/>
        <v>0</v>
      </c>
      <c r="AA134" s="7">
        <f t="shared" ca="1" si="103"/>
        <v>0</v>
      </c>
      <c r="AB134" s="7">
        <f t="shared" ca="1" si="103"/>
        <v>0</v>
      </c>
      <c r="AC134" s="7">
        <f t="shared" ca="1" si="103"/>
        <v>0</v>
      </c>
      <c r="AD134" s="7">
        <f t="shared" ca="1" si="103"/>
        <v>0</v>
      </c>
      <c r="AE134" s="7">
        <f t="shared" ca="1" si="103"/>
        <v>0</v>
      </c>
      <c r="AF134" s="7">
        <f t="shared" ca="1" si="103"/>
        <v>0</v>
      </c>
      <c r="AG134" s="7">
        <f t="shared" ca="1" si="103"/>
        <v>0</v>
      </c>
      <c r="AH134" s="7">
        <f t="shared" ca="1" si="103"/>
        <v>0</v>
      </c>
      <c r="AI134" s="7">
        <f t="shared" ca="1" si="103"/>
        <v>0</v>
      </c>
      <c r="AJ134" s="7">
        <f t="shared" ca="1" si="103"/>
        <v>0</v>
      </c>
      <c r="AK134" s="7">
        <f t="shared" ca="1" si="103"/>
        <v>0</v>
      </c>
      <c r="AL134" s="7">
        <f t="shared" ca="1" si="103"/>
        <v>0</v>
      </c>
      <c r="AM134" s="7">
        <f t="shared" si="103"/>
        <v>0</v>
      </c>
    </row>
    <row r="135" spans="1:39" x14ac:dyDescent="0.2">
      <c r="A135" s="3" t="s">
        <v>31</v>
      </c>
      <c r="C135" s="7">
        <f t="shared" ref="C135:AM135" ca="1" si="104">IFERROR(-IF(C130=0,VLOOKUP($A129,$8:$12,C$1+2,FALSE),0),0)</f>
        <v>0</v>
      </c>
      <c r="D135" s="7">
        <f t="shared" ca="1" si="104"/>
        <v>0</v>
      </c>
      <c r="E135" s="7">
        <f t="shared" ca="1" si="104"/>
        <v>0</v>
      </c>
      <c r="F135" s="7">
        <f t="shared" ca="1" si="104"/>
        <v>0</v>
      </c>
      <c r="G135" s="7">
        <f t="shared" ca="1" si="104"/>
        <v>0</v>
      </c>
      <c r="H135" s="7">
        <f t="shared" ca="1" si="104"/>
        <v>0</v>
      </c>
      <c r="I135" s="7">
        <f t="shared" ca="1" si="104"/>
        <v>0</v>
      </c>
      <c r="J135" s="7">
        <f t="shared" ca="1" si="104"/>
        <v>0</v>
      </c>
      <c r="K135" s="7">
        <f t="shared" ca="1" si="104"/>
        <v>0</v>
      </c>
      <c r="L135" s="7">
        <f t="shared" ca="1" si="104"/>
        <v>0</v>
      </c>
      <c r="M135" s="7">
        <f t="shared" ca="1" si="104"/>
        <v>0</v>
      </c>
      <c r="N135" s="7">
        <f t="shared" ca="1" si="104"/>
        <v>0</v>
      </c>
      <c r="O135" s="7">
        <f t="shared" ca="1" si="104"/>
        <v>0</v>
      </c>
      <c r="P135" s="7">
        <f t="shared" ca="1" si="104"/>
        <v>0</v>
      </c>
      <c r="Q135" s="7">
        <f t="shared" ca="1" si="104"/>
        <v>0</v>
      </c>
      <c r="R135" s="7">
        <f t="shared" ca="1" si="104"/>
        <v>0</v>
      </c>
      <c r="S135" s="7">
        <f t="shared" ca="1" si="104"/>
        <v>0</v>
      </c>
      <c r="T135" s="7">
        <f t="shared" ca="1" si="104"/>
        <v>0</v>
      </c>
      <c r="U135" s="7">
        <f t="shared" ca="1" si="104"/>
        <v>0</v>
      </c>
      <c r="V135" s="7">
        <f t="shared" ca="1" si="104"/>
        <v>0</v>
      </c>
      <c r="W135" s="7">
        <f t="shared" ca="1" si="104"/>
        <v>0</v>
      </c>
      <c r="X135" s="7">
        <f t="shared" ca="1" si="104"/>
        <v>0</v>
      </c>
      <c r="Y135" s="7">
        <f t="shared" ca="1" si="104"/>
        <v>0</v>
      </c>
      <c r="Z135" s="7">
        <f t="shared" ca="1" si="104"/>
        <v>0</v>
      </c>
      <c r="AA135" s="7">
        <f t="shared" ca="1" si="104"/>
        <v>0</v>
      </c>
      <c r="AB135" s="7">
        <f t="shared" ca="1" si="104"/>
        <v>0</v>
      </c>
      <c r="AC135" s="7">
        <f t="shared" ca="1" si="104"/>
        <v>0</v>
      </c>
      <c r="AD135" s="7">
        <f t="shared" ca="1" si="104"/>
        <v>0</v>
      </c>
      <c r="AE135" s="7">
        <f t="shared" ca="1" si="104"/>
        <v>0</v>
      </c>
      <c r="AF135" s="7">
        <f t="shared" ca="1" si="104"/>
        <v>0</v>
      </c>
      <c r="AG135" s="7">
        <f t="shared" ca="1" si="104"/>
        <v>0</v>
      </c>
      <c r="AH135" s="7">
        <f t="shared" ca="1" si="104"/>
        <v>0</v>
      </c>
      <c r="AI135" s="7">
        <f t="shared" ca="1" si="104"/>
        <v>0</v>
      </c>
      <c r="AJ135" s="7">
        <f t="shared" ca="1" si="104"/>
        <v>0</v>
      </c>
      <c r="AK135" s="7">
        <f t="shared" ca="1" si="104"/>
        <v>0</v>
      </c>
      <c r="AL135" s="7">
        <f t="shared" ca="1" si="104"/>
        <v>0</v>
      </c>
      <c r="AM135" s="7">
        <f t="shared" ca="1" si="104"/>
        <v>0</v>
      </c>
    </row>
    <row r="136" spans="1:39" x14ac:dyDescent="0.2">
      <c r="A136" s="3" t="s">
        <v>50</v>
      </c>
      <c r="C136" s="7">
        <f t="shared" ref="C136:AM136" ca="1" si="105">IFERROR(IF(C130=0,VLOOKUP($A129,$45:$49,C$1+2,FALSE),0),0)</f>
        <v>0</v>
      </c>
      <c r="D136" s="7">
        <f t="shared" ca="1" si="105"/>
        <v>0</v>
      </c>
      <c r="E136" s="7">
        <f t="shared" ca="1" si="105"/>
        <v>0</v>
      </c>
      <c r="F136" s="7">
        <f t="shared" ca="1" si="105"/>
        <v>0</v>
      </c>
      <c r="G136" s="7">
        <f t="shared" ca="1" si="105"/>
        <v>0</v>
      </c>
      <c r="H136" s="7">
        <f t="shared" ca="1" si="105"/>
        <v>0</v>
      </c>
      <c r="I136" s="7">
        <f t="shared" ca="1" si="105"/>
        <v>0</v>
      </c>
      <c r="J136" s="7">
        <f t="shared" ca="1" si="105"/>
        <v>0</v>
      </c>
      <c r="K136" s="7">
        <f t="shared" ca="1" si="105"/>
        <v>0</v>
      </c>
      <c r="L136" s="7">
        <f t="shared" ca="1" si="105"/>
        <v>0</v>
      </c>
      <c r="M136" s="7">
        <f t="shared" ca="1" si="105"/>
        <v>0</v>
      </c>
      <c r="N136" s="7">
        <f t="shared" ca="1" si="105"/>
        <v>0</v>
      </c>
      <c r="O136" s="7">
        <f t="shared" ca="1" si="105"/>
        <v>0</v>
      </c>
      <c r="P136" s="7">
        <f t="shared" ca="1" si="105"/>
        <v>0</v>
      </c>
      <c r="Q136" s="7">
        <f t="shared" ca="1" si="105"/>
        <v>0</v>
      </c>
      <c r="R136" s="7">
        <f t="shared" ca="1" si="105"/>
        <v>0</v>
      </c>
      <c r="S136" s="7">
        <f t="shared" ca="1" si="105"/>
        <v>0</v>
      </c>
      <c r="T136" s="7">
        <f t="shared" ca="1" si="105"/>
        <v>0</v>
      </c>
      <c r="U136" s="7">
        <f t="shared" ca="1" si="105"/>
        <v>0</v>
      </c>
      <c r="V136" s="7">
        <f t="shared" ca="1" si="105"/>
        <v>0</v>
      </c>
      <c r="W136" s="7">
        <f t="shared" ca="1" si="105"/>
        <v>0</v>
      </c>
      <c r="X136" s="7">
        <f t="shared" ca="1" si="105"/>
        <v>0</v>
      </c>
      <c r="Y136" s="7">
        <f t="shared" ca="1" si="105"/>
        <v>0</v>
      </c>
      <c r="Z136" s="7">
        <f t="shared" ca="1" si="105"/>
        <v>0</v>
      </c>
      <c r="AA136" s="7">
        <f t="shared" ca="1" si="105"/>
        <v>0</v>
      </c>
      <c r="AB136" s="7">
        <f t="shared" ca="1" si="105"/>
        <v>0</v>
      </c>
      <c r="AC136" s="7">
        <f t="shared" ca="1" si="105"/>
        <v>0</v>
      </c>
      <c r="AD136" s="7">
        <f t="shared" ca="1" si="105"/>
        <v>0</v>
      </c>
      <c r="AE136" s="7">
        <f t="shared" ca="1" si="105"/>
        <v>0</v>
      </c>
      <c r="AF136" s="7">
        <f t="shared" ca="1" si="105"/>
        <v>0</v>
      </c>
      <c r="AG136" s="7">
        <f t="shared" ca="1" si="105"/>
        <v>0</v>
      </c>
      <c r="AH136" s="7">
        <f t="shared" ca="1" si="105"/>
        <v>0</v>
      </c>
      <c r="AI136" s="7">
        <f t="shared" ca="1" si="105"/>
        <v>0</v>
      </c>
      <c r="AJ136" s="7">
        <f t="shared" ca="1" si="105"/>
        <v>0</v>
      </c>
      <c r="AK136" s="7">
        <f t="shared" ca="1" si="105"/>
        <v>0</v>
      </c>
      <c r="AL136" s="7">
        <f t="shared" ca="1" si="105"/>
        <v>0</v>
      </c>
      <c r="AM136" s="7">
        <f t="shared" ca="1" si="105"/>
        <v>0</v>
      </c>
    </row>
    <row r="137" spans="1:39" x14ac:dyDescent="0.2">
      <c r="A137" s="3" t="s">
        <v>36</v>
      </c>
      <c r="B137" s="14" t="str">
        <f>A129</f>
        <v>Car</v>
      </c>
      <c r="C137" s="7">
        <f t="shared" ref="C137:AM137" ca="1" si="106">IF(AND(C130&gt;0,C133=0),VLOOKUP($A129,$83:$92,C$1+2,FALSE),0)</f>
        <v>0</v>
      </c>
      <c r="D137" s="7">
        <f t="shared" ca="1" si="106"/>
        <v>0</v>
      </c>
      <c r="E137" s="7">
        <f t="shared" ca="1" si="106"/>
        <v>0</v>
      </c>
      <c r="F137" s="7">
        <f t="shared" ca="1" si="106"/>
        <v>0</v>
      </c>
      <c r="G137" s="7">
        <f t="shared" ca="1" si="106"/>
        <v>0</v>
      </c>
      <c r="H137" s="7">
        <f t="shared" ca="1" si="106"/>
        <v>0</v>
      </c>
      <c r="I137" s="7">
        <f t="shared" ca="1" si="106"/>
        <v>0</v>
      </c>
      <c r="J137" s="7">
        <f t="shared" ca="1" si="106"/>
        <v>0</v>
      </c>
      <c r="K137" s="7">
        <f t="shared" ca="1" si="106"/>
        <v>0</v>
      </c>
      <c r="L137" s="7">
        <f t="shared" ca="1" si="106"/>
        <v>0</v>
      </c>
      <c r="M137" s="7">
        <f t="shared" ca="1" si="106"/>
        <v>0</v>
      </c>
      <c r="N137" s="7">
        <f t="shared" ca="1" si="106"/>
        <v>0</v>
      </c>
      <c r="O137" s="7">
        <f t="shared" ca="1" si="106"/>
        <v>0</v>
      </c>
      <c r="P137" s="7">
        <f t="shared" ca="1" si="106"/>
        <v>0</v>
      </c>
      <c r="Q137" s="7">
        <f t="shared" ca="1" si="106"/>
        <v>0</v>
      </c>
      <c r="R137" s="7">
        <f t="shared" ca="1" si="106"/>
        <v>0</v>
      </c>
      <c r="S137" s="7">
        <f t="shared" ca="1" si="106"/>
        <v>0</v>
      </c>
      <c r="T137" s="7">
        <f t="shared" ca="1" si="106"/>
        <v>0</v>
      </c>
      <c r="U137" s="7">
        <f t="shared" ca="1" si="106"/>
        <v>0</v>
      </c>
      <c r="V137" s="7">
        <f t="shared" ca="1" si="106"/>
        <v>0</v>
      </c>
      <c r="W137" s="7">
        <f t="shared" ca="1" si="106"/>
        <v>0</v>
      </c>
      <c r="X137" s="7">
        <f t="shared" ca="1" si="106"/>
        <v>0</v>
      </c>
      <c r="Y137" s="7">
        <f t="shared" ca="1" si="106"/>
        <v>0</v>
      </c>
      <c r="Z137" s="7">
        <f t="shared" ca="1" si="106"/>
        <v>0</v>
      </c>
      <c r="AA137" s="7">
        <f t="shared" ca="1" si="106"/>
        <v>0</v>
      </c>
      <c r="AB137" s="7">
        <f t="shared" ca="1" si="106"/>
        <v>0</v>
      </c>
      <c r="AC137" s="7">
        <f t="shared" ca="1" si="106"/>
        <v>0</v>
      </c>
      <c r="AD137" s="7">
        <f t="shared" ca="1" si="106"/>
        <v>0</v>
      </c>
      <c r="AE137" s="7">
        <f t="shared" ca="1" si="106"/>
        <v>0</v>
      </c>
      <c r="AF137" s="7">
        <f t="shared" ca="1" si="106"/>
        <v>0</v>
      </c>
      <c r="AG137" s="7">
        <f t="shared" ca="1" si="106"/>
        <v>0</v>
      </c>
      <c r="AH137" s="7">
        <f t="shared" ca="1" si="106"/>
        <v>0</v>
      </c>
      <c r="AI137" s="7">
        <f t="shared" ca="1" si="106"/>
        <v>0</v>
      </c>
      <c r="AJ137" s="7">
        <f t="shared" ca="1" si="106"/>
        <v>0</v>
      </c>
      <c r="AK137" s="7">
        <f t="shared" ca="1" si="106"/>
        <v>0</v>
      </c>
      <c r="AL137" s="7">
        <f t="shared" ca="1" si="106"/>
        <v>0</v>
      </c>
      <c r="AM137" s="7">
        <f t="shared" ca="1" si="106"/>
        <v>0</v>
      </c>
    </row>
    <row r="138" spans="1:39" x14ac:dyDescent="0.2">
      <c r="A138" s="3" t="s">
        <v>37</v>
      </c>
      <c r="C138" s="7">
        <f ca="1">-C131+SUM(C134:C137)</f>
        <v>0</v>
      </c>
      <c r="D138" s="7">
        <f t="shared" ref="D138" ca="1" si="107">-D131+SUM(D134:D137)</f>
        <v>0</v>
      </c>
      <c r="E138" s="7">
        <f t="shared" ref="E138:AM138" ca="1" si="108">-E131+SUM(E134:E137)</f>
        <v>0</v>
      </c>
      <c r="F138" s="7">
        <f t="shared" ca="1" si="108"/>
        <v>0</v>
      </c>
      <c r="G138" s="7">
        <f t="shared" ca="1" si="108"/>
        <v>0</v>
      </c>
      <c r="H138" s="7">
        <f t="shared" ca="1" si="108"/>
        <v>0</v>
      </c>
      <c r="I138" s="7">
        <f t="shared" ca="1" si="108"/>
        <v>0</v>
      </c>
      <c r="J138" s="7">
        <f t="shared" ca="1" si="108"/>
        <v>0</v>
      </c>
      <c r="K138" s="7">
        <f t="shared" ca="1" si="108"/>
        <v>0</v>
      </c>
      <c r="L138" s="7">
        <f t="shared" ca="1" si="108"/>
        <v>0</v>
      </c>
      <c r="M138" s="7">
        <f t="shared" ca="1" si="108"/>
        <v>0</v>
      </c>
      <c r="N138" s="7">
        <f t="shared" ca="1" si="108"/>
        <v>0</v>
      </c>
      <c r="O138" s="7">
        <f t="shared" ca="1" si="108"/>
        <v>0</v>
      </c>
      <c r="P138" s="7">
        <f t="shared" ca="1" si="108"/>
        <v>0</v>
      </c>
      <c r="Q138" s="7">
        <f t="shared" ca="1" si="108"/>
        <v>0</v>
      </c>
      <c r="R138" s="7">
        <f t="shared" ca="1" si="108"/>
        <v>0</v>
      </c>
      <c r="S138" s="7">
        <f t="shared" ca="1" si="108"/>
        <v>0</v>
      </c>
      <c r="T138" s="7">
        <f t="shared" ca="1" si="108"/>
        <v>0</v>
      </c>
      <c r="U138" s="7">
        <f t="shared" ca="1" si="108"/>
        <v>0</v>
      </c>
      <c r="V138" s="7">
        <f t="shared" ca="1" si="108"/>
        <v>0</v>
      </c>
      <c r="W138" s="7">
        <f t="shared" ca="1" si="108"/>
        <v>0</v>
      </c>
      <c r="X138" s="7">
        <f t="shared" ca="1" si="108"/>
        <v>0</v>
      </c>
      <c r="Y138" s="7">
        <f t="shared" ca="1" si="108"/>
        <v>0</v>
      </c>
      <c r="Z138" s="7">
        <f t="shared" ca="1" si="108"/>
        <v>0</v>
      </c>
      <c r="AA138" s="7">
        <f t="shared" ca="1" si="108"/>
        <v>0</v>
      </c>
      <c r="AB138" s="7">
        <f t="shared" ca="1" si="108"/>
        <v>0</v>
      </c>
      <c r="AC138" s="7">
        <f t="shared" ca="1" si="108"/>
        <v>0</v>
      </c>
      <c r="AD138" s="7">
        <f t="shared" ca="1" si="108"/>
        <v>0</v>
      </c>
      <c r="AE138" s="7">
        <f t="shared" ca="1" si="108"/>
        <v>0</v>
      </c>
      <c r="AF138" s="7">
        <f t="shared" ca="1" si="108"/>
        <v>0</v>
      </c>
      <c r="AG138" s="7">
        <f t="shared" ca="1" si="108"/>
        <v>0</v>
      </c>
      <c r="AH138" s="7">
        <f t="shared" ca="1" si="108"/>
        <v>0</v>
      </c>
      <c r="AI138" s="7">
        <f t="shared" ca="1" si="108"/>
        <v>0</v>
      </c>
      <c r="AJ138" s="7">
        <f t="shared" ca="1" si="108"/>
        <v>0</v>
      </c>
      <c r="AK138" s="7">
        <f t="shared" ca="1" si="108"/>
        <v>0</v>
      </c>
      <c r="AL138" s="7">
        <f t="shared" ca="1" si="108"/>
        <v>0</v>
      </c>
      <c r="AM138" s="7">
        <f t="shared" ca="1" si="108"/>
        <v>0</v>
      </c>
    </row>
    <row r="139" spans="1:39" x14ac:dyDescent="0.2">
      <c r="A139" s="3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x14ac:dyDescent="0.2">
      <c r="A140" s="3" t="s">
        <v>71</v>
      </c>
      <c r="C140" s="7">
        <f ca="1">C126+SUM($C138:C138)</f>
        <v>12809.375000000015</v>
      </c>
      <c r="D140" s="7">
        <f ca="1">D126+SUM($C138:D138)</f>
        <v>24162.215625000026</v>
      </c>
      <c r="E140" s="7">
        <f ca="1">E126+SUM($C138:E138)</f>
        <v>41813.279140625047</v>
      </c>
      <c r="F140" s="7">
        <f ca="1">F126+SUM($C138:F138)</f>
        <v>41803.568657505195</v>
      </c>
      <c r="G140" s="7">
        <f ca="1">G126+SUM($C138:G138)</f>
        <v>73524.627177360788</v>
      </c>
      <c r="H140" s="7">
        <f ca="1">H126+SUM($C138:H138)</f>
        <v>111945.76563583669</v>
      </c>
      <c r="I140" s="7">
        <f ca="1">I126+SUM($C138:I138)</f>
        <v>179058.63493181192</v>
      </c>
      <c r="J140" s="7">
        <f ca="1">J126+SUM($C138:J138)</f>
        <v>250182.50067145552</v>
      </c>
      <c r="K140" s="7">
        <f ca="1">K126+SUM($C138:K138)</f>
        <v>308095.70278366783</v>
      </c>
      <c r="L140" s="7">
        <f ca="1">L126+SUM($C138:L138)</f>
        <v>453640.47280939861</v>
      </c>
      <c r="M140" s="7">
        <f ca="1">M126+SUM($C138:M138)</f>
        <v>510683.42164108111</v>
      </c>
      <c r="N140" s="7">
        <f ca="1">N126+SUM($C138:N138)</f>
        <v>621525.85327123245</v>
      </c>
      <c r="O140" s="7">
        <f ca="1">O126+SUM($C138:O138)</f>
        <v>738362.94313265686</v>
      </c>
      <c r="P140" s="7">
        <f ca="1">P126+SUM($C138:P138)</f>
        <v>861449.23653079802</v>
      </c>
      <c r="Q140" s="7">
        <f ca="1">Q126+SUM($C138:Q138)</f>
        <v>991048.98204238666</v>
      </c>
      <c r="R140" s="7">
        <f ca="1">R126+SUM($C138:R138)</f>
        <v>1127436.4792682112</v>
      </c>
      <c r="S140" s="7">
        <f ca="1">S126+SUM($C138:S138)</f>
        <v>1270896.4385593834</v>
      </c>
      <c r="T140" s="7">
        <f ca="1">T126+SUM($C138:T138)</f>
        <v>1312493.9107349962</v>
      </c>
      <c r="U140" s="7">
        <f ca="1">U126+SUM($C138:U138)</f>
        <v>1363530.8459680481</v>
      </c>
      <c r="V140" s="7">
        <f ca="1">V126+SUM($C138:V138)</f>
        <v>1416566.1280568431</v>
      </c>
      <c r="W140" s="7">
        <f ca="1">W126+SUM($C138:W138)</f>
        <v>1471676.7180232967</v>
      </c>
      <c r="X140" s="7">
        <f ca="1">X126+SUM($C138:X138)</f>
        <v>1528942.4442265448</v>
      </c>
      <c r="Y140" s="7">
        <f ca="1">Y126+SUM($C138:Y138)</f>
        <v>1567529.0131961552</v>
      </c>
      <c r="Z140" s="7">
        <f ca="1">Z126+SUM($C138:Z138)</f>
        <v>1607393.5393787338</v>
      </c>
      <c r="AA140" s="7">
        <f ca="1">AA126+SUM($C138:AA138)</f>
        <v>1648585.8680630873</v>
      </c>
      <c r="AB140" s="7">
        <f ca="1">AB126+SUM($C138:AB138)</f>
        <v>1691157.8400002168</v>
      </c>
      <c r="AC140" s="7">
        <f ca="1">AC126+SUM($C138:AC138)</f>
        <v>1735163.3690807538</v>
      </c>
      <c r="AD140" s="7">
        <f ca="1">AD126+SUM($C138:AD138)</f>
        <v>1780658.5229208304</v>
      </c>
      <c r="AE140" s="7">
        <f ca="1">AE126+SUM($C138:AE138)</f>
        <v>1837808.8624938719</v>
      </c>
      <c r="AF140" s="7">
        <f ca="1">AF126+SUM($C138:AF138)</f>
        <v>1897073.1235563438</v>
      </c>
      <c r="AG140" s="7">
        <f ca="1">AG126+SUM($C138:AG138)</f>
        <v>1958533.3002031124</v>
      </c>
      <c r="AH140" s="7">
        <f ca="1">AH126+SUM($C138:AH138)</f>
        <v>2022274.5255423354</v>
      </c>
      <c r="AI140" s="7">
        <f ca="1">AI126+SUM($C138:AI138)</f>
        <v>2088385.1882151016</v>
      </c>
      <c r="AJ140" s="7">
        <f ca="1">AJ126+SUM($C138:AJ138)</f>
        <v>2156957.0531036272</v>
      </c>
      <c r="AK140" s="7">
        <f ca="1">AK126+SUM($C138:AK138)</f>
        <v>2228085.3863743474</v>
      </c>
      <c r="AL140" s="7">
        <f ca="1">AL126+SUM($C138:AL138)</f>
        <v>2301869.0850072289</v>
      </c>
      <c r="AM140" s="7">
        <f ca="1">AM126+SUM($C138:AM138)</f>
        <v>2378410.8109677895</v>
      </c>
    </row>
    <row r="141" spans="1:39" x14ac:dyDescent="0.2">
      <c r="A141" s="3" t="s">
        <v>68</v>
      </c>
      <c r="C141" s="7">
        <f t="shared" ref="C141:AM141" ca="1" si="109">MAX(C140+buffer,0)-MAX(C126+buffer,0)</f>
        <v>0</v>
      </c>
      <c r="D141" s="7">
        <f t="shared" ca="1" si="109"/>
        <v>0</v>
      </c>
      <c r="E141" s="7">
        <f t="shared" ca="1" si="109"/>
        <v>0</v>
      </c>
      <c r="F141" s="7">
        <f t="shared" ca="1" si="109"/>
        <v>0</v>
      </c>
      <c r="G141" s="7">
        <f t="shared" ca="1" si="109"/>
        <v>0</v>
      </c>
      <c r="H141" s="7">
        <f t="shared" ca="1" si="109"/>
        <v>0</v>
      </c>
      <c r="I141" s="7">
        <f t="shared" ca="1" si="109"/>
        <v>0</v>
      </c>
      <c r="J141" s="7">
        <f t="shared" ca="1" si="109"/>
        <v>0</v>
      </c>
      <c r="K141" s="7">
        <f t="shared" ca="1" si="109"/>
        <v>0</v>
      </c>
      <c r="L141" s="7">
        <f t="shared" ca="1" si="109"/>
        <v>0</v>
      </c>
      <c r="M141" s="7">
        <f t="shared" ca="1" si="109"/>
        <v>0</v>
      </c>
      <c r="N141" s="7">
        <f t="shared" ca="1" si="109"/>
        <v>0</v>
      </c>
      <c r="O141" s="7">
        <f t="shared" ca="1" si="109"/>
        <v>0</v>
      </c>
      <c r="P141" s="7">
        <f t="shared" ca="1" si="109"/>
        <v>0</v>
      </c>
      <c r="Q141" s="7">
        <f t="shared" ca="1" si="109"/>
        <v>0</v>
      </c>
      <c r="R141" s="7">
        <f t="shared" ca="1" si="109"/>
        <v>0</v>
      </c>
      <c r="S141" s="7">
        <f t="shared" ca="1" si="109"/>
        <v>0</v>
      </c>
      <c r="T141" s="7">
        <f t="shared" ca="1" si="109"/>
        <v>0</v>
      </c>
      <c r="U141" s="7">
        <f t="shared" ca="1" si="109"/>
        <v>0</v>
      </c>
      <c r="V141" s="7">
        <f t="shared" ca="1" si="109"/>
        <v>0</v>
      </c>
      <c r="W141" s="7">
        <f t="shared" ca="1" si="109"/>
        <v>0</v>
      </c>
      <c r="X141" s="7">
        <f t="shared" ca="1" si="109"/>
        <v>0</v>
      </c>
      <c r="Y141" s="7">
        <f t="shared" ca="1" si="109"/>
        <v>0</v>
      </c>
      <c r="Z141" s="7">
        <f t="shared" ca="1" si="109"/>
        <v>0</v>
      </c>
      <c r="AA141" s="7">
        <f t="shared" ca="1" si="109"/>
        <v>0</v>
      </c>
      <c r="AB141" s="7">
        <f t="shared" ca="1" si="109"/>
        <v>0</v>
      </c>
      <c r="AC141" s="7">
        <f t="shared" ca="1" si="109"/>
        <v>0</v>
      </c>
      <c r="AD141" s="7">
        <f t="shared" ca="1" si="109"/>
        <v>0</v>
      </c>
      <c r="AE141" s="7">
        <f t="shared" ca="1" si="109"/>
        <v>0</v>
      </c>
      <c r="AF141" s="7">
        <f t="shared" ca="1" si="109"/>
        <v>0</v>
      </c>
      <c r="AG141" s="7">
        <f t="shared" ca="1" si="109"/>
        <v>0</v>
      </c>
      <c r="AH141" s="7">
        <f t="shared" ca="1" si="109"/>
        <v>0</v>
      </c>
      <c r="AI141" s="7">
        <f t="shared" ca="1" si="109"/>
        <v>0</v>
      </c>
      <c r="AJ141" s="7">
        <f t="shared" ca="1" si="109"/>
        <v>0</v>
      </c>
      <c r="AK141" s="7">
        <f t="shared" ca="1" si="109"/>
        <v>0</v>
      </c>
      <c r="AL141" s="7">
        <f t="shared" ca="1" si="109"/>
        <v>0</v>
      </c>
      <c r="AM141" s="7">
        <f t="shared" ca="1" si="109"/>
        <v>0</v>
      </c>
    </row>
    <row r="142" spans="1:39" x14ac:dyDescent="0.2">
      <c r="A142" s="3" t="s">
        <v>69</v>
      </c>
      <c r="C142" s="7">
        <f ca="1">C141*Inputs!$B$259</f>
        <v>0</v>
      </c>
      <c r="D142" s="7">
        <f ca="1">D141*Inputs!$B$259</f>
        <v>0</v>
      </c>
      <c r="E142" s="7">
        <f ca="1">E141*Inputs!$B$259</f>
        <v>0</v>
      </c>
      <c r="F142" s="7">
        <f ca="1">F141*Inputs!$B$259</f>
        <v>0</v>
      </c>
      <c r="G142" s="7">
        <f ca="1">G141*Inputs!$B$259</f>
        <v>0</v>
      </c>
      <c r="H142" s="7">
        <f ca="1">H141*Inputs!$B$259</f>
        <v>0</v>
      </c>
      <c r="I142" s="7">
        <f ca="1">I141*Inputs!$B$259</f>
        <v>0</v>
      </c>
      <c r="J142" s="7">
        <f ca="1">J141*Inputs!$B$259</f>
        <v>0</v>
      </c>
      <c r="K142" s="7">
        <f ca="1">K141*Inputs!$B$259</f>
        <v>0</v>
      </c>
      <c r="L142" s="7">
        <f ca="1">L141*Inputs!$B$259</f>
        <v>0</v>
      </c>
      <c r="M142" s="7">
        <f ca="1">M141*Inputs!$B$259</f>
        <v>0</v>
      </c>
      <c r="N142" s="7">
        <f ca="1">N141*Inputs!$B$259</f>
        <v>0</v>
      </c>
      <c r="O142" s="7">
        <f ca="1">O141*Inputs!$B$259</f>
        <v>0</v>
      </c>
      <c r="P142" s="7">
        <f ca="1">P141*Inputs!$B$259</f>
        <v>0</v>
      </c>
      <c r="Q142" s="7">
        <f ca="1">Q141*Inputs!$B$259</f>
        <v>0</v>
      </c>
      <c r="R142" s="7">
        <f ca="1">R141*Inputs!$B$259</f>
        <v>0</v>
      </c>
      <c r="S142" s="7">
        <f ca="1">S141*Inputs!$B$259</f>
        <v>0</v>
      </c>
      <c r="T142" s="7">
        <f ca="1">T141*Inputs!$B$259</f>
        <v>0</v>
      </c>
      <c r="U142" s="7">
        <f ca="1">U141*Inputs!$B$259</f>
        <v>0</v>
      </c>
      <c r="V142" s="7">
        <f ca="1">V141*Inputs!$B$259</f>
        <v>0</v>
      </c>
      <c r="W142" s="7">
        <f ca="1">W141*Inputs!$B$259</f>
        <v>0</v>
      </c>
      <c r="X142" s="7">
        <f ca="1">X141*Inputs!$B$259</f>
        <v>0</v>
      </c>
      <c r="Y142" s="7">
        <f ca="1">Y141*Inputs!$B$259</f>
        <v>0</v>
      </c>
      <c r="Z142" s="7">
        <f ca="1">Z141*Inputs!$B$259</f>
        <v>0</v>
      </c>
      <c r="AA142" s="7">
        <f ca="1">AA141*Inputs!$B$259</f>
        <v>0</v>
      </c>
      <c r="AB142" s="7">
        <f ca="1">AB141*Inputs!$B$259</f>
        <v>0</v>
      </c>
      <c r="AC142" s="7">
        <f ca="1">AC141*Inputs!$B$259</f>
        <v>0</v>
      </c>
      <c r="AD142" s="7">
        <f ca="1">AD141*Inputs!$B$259</f>
        <v>0</v>
      </c>
      <c r="AE142" s="7">
        <f ca="1">AE141*Inputs!$B$259</f>
        <v>0</v>
      </c>
      <c r="AF142" s="7">
        <f ca="1">AF141*Inputs!$B$259</f>
        <v>0</v>
      </c>
      <c r="AG142" s="7">
        <f ca="1">AG141*Inputs!$B$259</f>
        <v>0</v>
      </c>
      <c r="AH142" s="7">
        <f ca="1">AH141*Inputs!$B$259</f>
        <v>0</v>
      </c>
      <c r="AI142" s="7">
        <f ca="1">AI141*Inputs!$B$259</f>
        <v>0</v>
      </c>
      <c r="AJ142" s="7">
        <f ca="1">AJ141*Inputs!$B$259</f>
        <v>0</v>
      </c>
      <c r="AK142" s="7">
        <f ca="1">AK141*Inputs!$B$259</f>
        <v>0</v>
      </c>
      <c r="AL142" s="7">
        <f ca="1">AL141*Inputs!$B$259</f>
        <v>0</v>
      </c>
      <c r="AM142" s="7">
        <f ca="1">AM141*Inputs!$B$259</f>
        <v>0</v>
      </c>
    </row>
    <row r="143" spans="1:39" x14ac:dyDescent="0.2">
      <c r="A143" s="3" t="s">
        <v>150</v>
      </c>
      <c r="C143" s="7">
        <f ca="1">C140+SUM($C142:C142)</f>
        <v>12809.375000000015</v>
      </c>
      <c r="D143" s="7">
        <f ca="1">D140+SUM($C142:D142)</f>
        <v>24162.215625000026</v>
      </c>
      <c r="E143" s="7">
        <f ca="1">E140+SUM($C142:E142)</f>
        <v>41813.279140625047</v>
      </c>
      <c r="F143" s="7">
        <f ca="1">F140+SUM($C142:F142)</f>
        <v>41803.568657505195</v>
      </c>
      <c r="G143" s="7">
        <f ca="1">G140+SUM($C142:G142)</f>
        <v>73524.627177360788</v>
      </c>
      <c r="H143" s="7">
        <f ca="1">H140+SUM($C142:H142)</f>
        <v>111945.76563583669</v>
      </c>
      <c r="I143" s="7">
        <f ca="1">I140+SUM($C142:I142)</f>
        <v>179058.63493181192</v>
      </c>
      <c r="J143" s="7">
        <f ca="1">J140+SUM($C142:J142)</f>
        <v>250182.50067145552</v>
      </c>
      <c r="K143" s="7">
        <f ca="1">K140+SUM($C142:K142)</f>
        <v>308095.70278366783</v>
      </c>
      <c r="L143" s="7">
        <f ca="1">L140+SUM($C142:L142)</f>
        <v>453640.47280939861</v>
      </c>
      <c r="M143" s="7">
        <f ca="1">M140+SUM($C142:M142)</f>
        <v>510683.42164108111</v>
      </c>
      <c r="N143" s="7">
        <f ca="1">N140+SUM($C142:N142)</f>
        <v>621525.85327123245</v>
      </c>
      <c r="O143" s="7">
        <f ca="1">O140+SUM($C142:O142)</f>
        <v>738362.94313265686</v>
      </c>
      <c r="P143" s="7">
        <f ca="1">P140+SUM($C142:P142)</f>
        <v>861449.23653079802</v>
      </c>
      <c r="Q143" s="7">
        <f ca="1">Q140+SUM($C142:Q142)</f>
        <v>991048.98204238666</v>
      </c>
      <c r="R143" s="7">
        <f ca="1">R140+SUM($C142:R142)</f>
        <v>1127436.4792682112</v>
      </c>
      <c r="S143" s="7">
        <f ca="1">S140+SUM($C142:S142)</f>
        <v>1270896.4385593834</v>
      </c>
      <c r="T143" s="7">
        <f ca="1">T140+SUM($C142:T142)</f>
        <v>1312493.9107349962</v>
      </c>
      <c r="U143" s="7">
        <f ca="1">U140+SUM($C142:U142)</f>
        <v>1363530.8459680481</v>
      </c>
      <c r="V143" s="7">
        <f ca="1">V140+SUM($C142:V142)</f>
        <v>1416566.1280568431</v>
      </c>
      <c r="W143" s="7">
        <f ca="1">W140+SUM($C142:W142)</f>
        <v>1471676.7180232967</v>
      </c>
      <c r="X143" s="7">
        <f ca="1">X140+SUM($C142:X142)</f>
        <v>1528942.4442265448</v>
      </c>
      <c r="Y143" s="7">
        <f ca="1">Y140+SUM($C142:Y142)</f>
        <v>1567529.0131961552</v>
      </c>
      <c r="Z143" s="7">
        <f ca="1">Z140+SUM($C142:Z142)</f>
        <v>1607393.5393787338</v>
      </c>
      <c r="AA143" s="7">
        <f ca="1">AA140+SUM($C142:AA142)</f>
        <v>1648585.8680630873</v>
      </c>
      <c r="AB143" s="7">
        <f ca="1">AB140+SUM($C142:AB142)</f>
        <v>1691157.8400002168</v>
      </c>
      <c r="AC143" s="7">
        <f ca="1">AC140+SUM($C142:AC142)</f>
        <v>1735163.3690807538</v>
      </c>
      <c r="AD143" s="7">
        <f ca="1">AD140+SUM($C142:AD142)</f>
        <v>1780658.5229208304</v>
      </c>
      <c r="AE143" s="7">
        <f ca="1">AE140+SUM($C142:AE142)</f>
        <v>1837808.8624938719</v>
      </c>
      <c r="AF143" s="7">
        <f ca="1">AF140+SUM($C142:AF142)</f>
        <v>1897073.1235563438</v>
      </c>
      <c r="AG143" s="7">
        <f ca="1">AG140+SUM($C142:AG142)</f>
        <v>1958533.3002031124</v>
      </c>
      <c r="AH143" s="7">
        <f ca="1">AH140+SUM($C142:AH142)</f>
        <v>2022274.5255423354</v>
      </c>
      <c r="AI143" s="7">
        <f ca="1">AI140+SUM($C142:AI142)</f>
        <v>2088385.1882151016</v>
      </c>
      <c r="AJ143" s="7">
        <f ca="1">AJ140+SUM($C142:AJ142)</f>
        <v>2156957.0531036272</v>
      </c>
      <c r="AK143" s="7">
        <f ca="1">AK140+SUM($C142:AK142)</f>
        <v>2228085.3863743474</v>
      </c>
      <c r="AL143" s="7">
        <f ca="1">AL140+SUM($C142:AL142)</f>
        <v>2301869.0850072289</v>
      </c>
      <c r="AM143" s="7">
        <f ca="1">AM140+SUM($C142:AM142)</f>
        <v>2378410.8109677895</v>
      </c>
    </row>
    <row r="144" spans="1:39" x14ac:dyDescent="0.2">
      <c r="A144" s="3" t="s">
        <v>20</v>
      </c>
      <c r="C144" s="7">
        <f ca="1">IF(C143&lt;0,-C143,0)</f>
        <v>0</v>
      </c>
      <c r="D144" s="7">
        <f ca="1">IF(D143+SUM($C144:C144)&lt;0,-(D143+SUM($C144:C144)),0)</f>
        <v>0</v>
      </c>
      <c r="E144" s="7">
        <f ca="1">IF(E143+SUM($C144:D144)&lt;0,-(E143+SUM($C144:D144)),0)</f>
        <v>0</v>
      </c>
      <c r="F144" s="7">
        <f ca="1">IF(F143+SUM($C144:E144)&lt;0,-(F143+SUM($C144:E144)),0)</f>
        <v>0</v>
      </c>
      <c r="G144" s="7">
        <f ca="1">IF(G143+SUM($C144:F144)&lt;0,-(G143+SUM($C144:F144)),0)</f>
        <v>0</v>
      </c>
      <c r="H144" s="7">
        <f ca="1">IF(H143+SUM($C144:G144)&lt;0,-(H143+SUM($C144:G144)),0)</f>
        <v>0</v>
      </c>
      <c r="I144" s="7">
        <f ca="1">IF(I143+SUM($C144:H144)&lt;0,-(I143+SUM($C144:H144)),0)</f>
        <v>0</v>
      </c>
      <c r="J144" s="7">
        <f ca="1">IF(J143+SUM($C144:I144)&lt;0,-(J143+SUM($C144:I144)),0)</f>
        <v>0</v>
      </c>
      <c r="K144" s="7">
        <f ca="1">IF(K143+SUM($C144:J144)&lt;0,-(K143+SUM($C144:J144)),0)</f>
        <v>0</v>
      </c>
      <c r="L144" s="7">
        <f ca="1">IF(L143+SUM($C144:K144)&lt;0,-(L143+SUM($C144:K144)),0)</f>
        <v>0</v>
      </c>
      <c r="M144" s="7">
        <f ca="1">IF(M143+SUM($C144:L144)&lt;0,-(M143+SUM($C144:L144)),0)</f>
        <v>0</v>
      </c>
      <c r="N144" s="7">
        <f ca="1">IF(N143+SUM($C144:M144)&lt;0,-(N143+SUM($C144:M144)),0)</f>
        <v>0</v>
      </c>
      <c r="O144" s="7">
        <f ca="1">IF(O143+SUM($C144:N144)&lt;0,-(O143+SUM($C144:N144)),0)</f>
        <v>0</v>
      </c>
      <c r="P144" s="7">
        <f ca="1">IF(P143+SUM($C144:O144)&lt;0,-(P143+SUM($C144:O144)),0)</f>
        <v>0</v>
      </c>
      <c r="Q144" s="7">
        <f ca="1">IF(Q143+SUM($C144:P144)&lt;0,-(Q143+SUM($C144:P144)),0)</f>
        <v>0</v>
      </c>
      <c r="R144" s="7">
        <f ca="1">IF(R143+SUM($C144:Q144)&lt;0,-(R143+SUM($C144:Q144)),0)</f>
        <v>0</v>
      </c>
      <c r="S144" s="7">
        <f ca="1">IF(S143+SUM($C144:R144)&lt;0,-(S143+SUM($C144:R144)),0)</f>
        <v>0</v>
      </c>
      <c r="T144" s="7">
        <f ca="1">IF(T143+SUM($C144:S144)&lt;0,-(T143+SUM($C144:S144)),0)</f>
        <v>0</v>
      </c>
      <c r="U144" s="7">
        <f ca="1">IF(U143+SUM($C144:T144)&lt;0,-(U143+SUM($C144:T144)),0)</f>
        <v>0</v>
      </c>
      <c r="V144" s="7">
        <f ca="1">IF(V143+SUM($C144:U144)&lt;0,-(V143+SUM($C144:U144)),0)</f>
        <v>0</v>
      </c>
      <c r="W144" s="7">
        <f ca="1">IF(W143+SUM($C144:V144)&lt;0,-(W143+SUM($C144:V144)),0)</f>
        <v>0</v>
      </c>
      <c r="X144" s="7">
        <f ca="1">IF(X143+SUM($C144:W144)&lt;0,-(X143+SUM($C144:W144)),0)</f>
        <v>0</v>
      </c>
      <c r="Y144" s="7">
        <f ca="1">IF(Y143+SUM($C144:X144)&lt;0,-(Y143+SUM($C144:X144)),0)</f>
        <v>0</v>
      </c>
      <c r="Z144" s="7">
        <f ca="1">IF(Z143+SUM($C144:Y144)&lt;0,-(Z143+SUM($C144:Y144)),0)</f>
        <v>0</v>
      </c>
      <c r="AA144" s="7">
        <f ca="1">IF(AA143+SUM($C144:Z144)&lt;0,-(AA143+SUM($C144:Z144)),0)</f>
        <v>0</v>
      </c>
      <c r="AB144" s="7">
        <f ca="1">IF(AB143+SUM($C144:AA144)&lt;0,-(AB143+SUM($C144:AA144)),0)</f>
        <v>0</v>
      </c>
      <c r="AC144" s="7">
        <f ca="1">IF(AC143+SUM($C144:AB144)&lt;0,-(AC143+SUM($C144:AB144)),0)</f>
        <v>0</v>
      </c>
      <c r="AD144" s="7">
        <f ca="1">IF(AD143+SUM($C144:AC144)&lt;0,-(AD143+SUM($C144:AC144)),0)</f>
        <v>0</v>
      </c>
      <c r="AE144" s="7">
        <f ca="1">IF(AE143+SUM($C144:AD144)&lt;0,-(AE143+SUM($C144:AD144)),0)</f>
        <v>0</v>
      </c>
      <c r="AF144" s="7">
        <f ca="1">IF(AF143+SUM($C144:AE144)&lt;0,-(AF143+SUM($C144:AE144)),0)</f>
        <v>0</v>
      </c>
      <c r="AG144" s="7">
        <f ca="1">IF(AG143+SUM($C144:AF144)&lt;0,-(AG143+SUM($C144:AF144)),0)</f>
        <v>0</v>
      </c>
      <c r="AH144" s="7">
        <f ca="1">IF(AH143+SUM($C144:AG144)&lt;0,-(AH143+SUM($C144:AG144)),0)</f>
        <v>0</v>
      </c>
      <c r="AI144" s="7">
        <f ca="1">IF(AI143+SUM($C144:AH144)&lt;0,-(AI143+SUM($C144:AH144)),0)</f>
        <v>0</v>
      </c>
      <c r="AJ144" s="7">
        <f ca="1">IF(AJ143+SUM($C144:AI144)&lt;0,-(AJ143+SUM($C144:AI144)),0)</f>
        <v>0</v>
      </c>
      <c r="AK144" s="7">
        <f ca="1">IF(AK143+SUM($C144:AJ144)&lt;0,-(AK143+SUM($C144:AJ144)),0)</f>
        <v>0</v>
      </c>
      <c r="AL144" s="7">
        <f ca="1">IF(AL143+SUM($C144:AK144)&lt;0,-(AL143+SUM($C144:AK144)),0)</f>
        <v>0</v>
      </c>
      <c r="AM144" s="7">
        <f ca="1">IF(AM143+SUM($C144:AL144)&lt;0,-(AM143+SUM($C144:AL144)),0)</f>
        <v>0</v>
      </c>
    </row>
    <row r="145" spans="1:39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">
      <c r="A146" s="24" t="str">
        <f>IF(Inputs!$B$279=6,IFERROR(_xlfn.XLOOKUP($B146,Inputs!$B$280:$B$289,Inputs!$A$280:$A$289,,0,1),""),IFERROR(_xlfn.XLOOKUP($B146,Inputs!$C$280:$C$289,Inputs!$A$280:$A$289,,0,1),""))</f>
        <v>Jewelry</v>
      </c>
      <c r="B146" s="26">
        <v>3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3" t="s">
        <v>22</v>
      </c>
      <c r="C147" s="7">
        <f ca="1">IFERROR(VLOOKUP($A146,$A$65:$H$94,C$1+2,FALSE),0)</f>
        <v>50831.955131348885</v>
      </c>
      <c r="D147" s="7">
        <f ca="1">C150</f>
        <v>50831.955131348885</v>
      </c>
      <c r="E147" s="7">
        <f t="shared" ref="E147:AM147" ca="1" si="110">D150</f>
        <v>51848.594233975862</v>
      </c>
      <c r="F147" s="7">
        <f t="shared" ca="1" si="110"/>
        <v>52885.566118655377</v>
      </c>
      <c r="G147" s="7">
        <f t="shared" ca="1" si="110"/>
        <v>53943.277441028484</v>
      </c>
      <c r="H147" s="7">
        <f t="shared" ca="1" si="110"/>
        <v>55022.142989849053</v>
      </c>
      <c r="I147" s="7">
        <f t="shared" ca="1" si="110"/>
        <v>56122.585849646035</v>
      </c>
      <c r="J147" s="7">
        <f t="shared" ca="1" si="110"/>
        <v>57245.037566638959</v>
      </c>
      <c r="K147" s="7">
        <f t="shared" ca="1" si="110"/>
        <v>58389.938317971741</v>
      </c>
      <c r="L147" s="7">
        <f t="shared" ca="1" si="110"/>
        <v>59557.737084331173</v>
      </c>
      <c r="M147" s="7">
        <f t="shared" ca="1" si="110"/>
        <v>60748.891826017796</v>
      </c>
      <c r="N147" s="7">
        <f t="shared" ca="1" si="110"/>
        <v>61963.869662538149</v>
      </c>
      <c r="O147" s="7">
        <f t="shared" ca="1" si="110"/>
        <v>63203.147055788912</v>
      </c>
      <c r="P147" s="7">
        <f t="shared" ca="1" si="110"/>
        <v>64467.20999690469</v>
      </c>
      <c r="Q147" s="7">
        <f t="shared" ca="1" si="110"/>
        <v>65756.554196842786</v>
      </c>
      <c r="R147" s="7">
        <f t="shared" ca="1" si="110"/>
        <v>67071.685280779639</v>
      </c>
      <c r="S147" s="7">
        <f t="shared" ca="1" si="110"/>
        <v>68413.118986395231</v>
      </c>
      <c r="T147" s="7">
        <f t="shared" ca="1" si="110"/>
        <v>69781.38136612314</v>
      </c>
      <c r="U147" s="7">
        <f t="shared" ca="1" si="110"/>
        <v>71177.008993445605</v>
      </c>
      <c r="V147" s="7">
        <f t="shared" ca="1" si="110"/>
        <v>72600.549173314517</v>
      </c>
      <c r="W147" s="7">
        <f t="shared" ca="1" si="110"/>
        <v>74052.560156780804</v>
      </c>
      <c r="X147" s="7">
        <f t="shared" ca="1" si="110"/>
        <v>75533.611359916424</v>
      </c>
      <c r="Y147" s="7">
        <f t="shared" ca="1" si="110"/>
        <v>77044.283587114754</v>
      </c>
      <c r="Z147" s="7">
        <f t="shared" ca="1" si="110"/>
        <v>78585.169258857044</v>
      </c>
      <c r="AA147" s="7">
        <f t="shared" ca="1" si="110"/>
        <v>80156.872644034185</v>
      </c>
      <c r="AB147" s="7">
        <f t="shared" ca="1" si="110"/>
        <v>81760.010096914863</v>
      </c>
      <c r="AC147" s="7">
        <f t="shared" ca="1" si="110"/>
        <v>83395.210298853155</v>
      </c>
      <c r="AD147" s="7">
        <f t="shared" ca="1" si="110"/>
        <v>85063.114504830213</v>
      </c>
      <c r="AE147" s="7">
        <f t="shared" ca="1" si="110"/>
        <v>86764.376794926822</v>
      </c>
      <c r="AF147" s="7">
        <f t="shared" ca="1" si="110"/>
        <v>88499.664330825355</v>
      </c>
      <c r="AG147" s="7">
        <f t="shared" ca="1" si="110"/>
        <v>90269.657617441859</v>
      </c>
      <c r="AH147" s="7">
        <f t="shared" ca="1" si="110"/>
        <v>92075.050769790701</v>
      </c>
      <c r="AI147" s="7">
        <f t="shared" ca="1" si="110"/>
        <v>93916.551785186515</v>
      </c>
      <c r="AJ147" s="7">
        <f t="shared" ca="1" si="110"/>
        <v>95794.882820890241</v>
      </c>
      <c r="AK147" s="7">
        <f t="shared" ca="1" si="110"/>
        <v>97710.780477308042</v>
      </c>
      <c r="AL147" s="7">
        <f t="shared" ca="1" si="110"/>
        <v>99664.996086854197</v>
      </c>
      <c r="AM147" s="7">
        <f t="shared" ca="1" si="110"/>
        <v>101658.29600859128</v>
      </c>
    </row>
    <row r="148" spans="1:39" x14ac:dyDescent="0.2">
      <c r="A148" s="3" t="s">
        <v>23</v>
      </c>
      <c r="C148" s="7">
        <f ca="1">-IF(D144&gt;0,C147,0)</f>
        <v>0</v>
      </c>
      <c r="D148" s="7">
        <f ca="1">-IF(E144&gt;0,D147,0)</f>
        <v>0</v>
      </c>
      <c r="E148" s="7">
        <f ca="1">-IF(F144&gt;0,E147,0)</f>
        <v>0</v>
      </c>
      <c r="F148" s="7">
        <f ca="1">-IF(G144&gt;0,F147,0)</f>
        <v>0</v>
      </c>
      <c r="G148" s="7">
        <f t="shared" ref="G148" ca="1" si="111">-IF(H144&gt;0,G147,0)</f>
        <v>0</v>
      </c>
      <c r="H148" s="7">
        <f t="shared" ref="H148" ca="1" si="112">-IF(I144&gt;0,H147,0)</f>
        <v>0</v>
      </c>
      <c r="I148" s="7">
        <f t="shared" ref="I148" ca="1" si="113">-IF(J144&gt;0,I147,0)</f>
        <v>0</v>
      </c>
      <c r="J148" s="7">
        <f t="shared" ref="J148" ca="1" si="114">-IF(K144&gt;0,J147,0)</f>
        <v>0</v>
      </c>
      <c r="K148" s="7">
        <f t="shared" ref="K148" ca="1" si="115">-IF(L144&gt;0,K147,0)</f>
        <v>0</v>
      </c>
      <c r="L148" s="7">
        <f t="shared" ref="L148" ca="1" si="116">-IF(M144&gt;0,L147,0)</f>
        <v>0</v>
      </c>
      <c r="M148" s="7">
        <f t="shared" ref="M148" ca="1" si="117">-IF(N144&gt;0,M147,0)</f>
        <v>0</v>
      </c>
      <c r="N148" s="7">
        <f t="shared" ref="N148" ca="1" si="118">-IF(O144&gt;0,N147,0)</f>
        <v>0</v>
      </c>
      <c r="O148" s="7">
        <f t="shared" ref="O148" ca="1" si="119">-IF(P144&gt;0,O147,0)</f>
        <v>0</v>
      </c>
      <c r="P148" s="7">
        <f t="shared" ref="P148" ca="1" si="120">-IF(Q144&gt;0,P147,0)</f>
        <v>0</v>
      </c>
      <c r="Q148" s="7">
        <f t="shared" ref="Q148" ca="1" si="121">-IF(R144&gt;0,Q147,0)</f>
        <v>0</v>
      </c>
      <c r="R148" s="7">
        <f t="shared" ref="R148" ca="1" si="122">-IF(S144&gt;0,R147,0)</f>
        <v>0</v>
      </c>
      <c r="S148" s="7">
        <f t="shared" ref="S148" ca="1" si="123">-IF(T144&gt;0,S147,0)</f>
        <v>0</v>
      </c>
      <c r="T148" s="7">
        <f t="shared" ref="T148" ca="1" si="124">-IF(U144&gt;0,T147,0)</f>
        <v>0</v>
      </c>
      <c r="U148" s="7">
        <f t="shared" ref="U148" ca="1" si="125">-IF(V144&gt;0,U147,0)</f>
        <v>0</v>
      </c>
      <c r="V148" s="7">
        <f t="shared" ref="V148" ca="1" si="126">-IF(W144&gt;0,V147,0)</f>
        <v>0</v>
      </c>
      <c r="W148" s="7">
        <f t="shared" ref="W148" ca="1" si="127">-IF(X144&gt;0,W147,0)</f>
        <v>0</v>
      </c>
      <c r="X148" s="7">
        <f t="shared" ref="X148" ca="1" si="128">-IF(Y144&gt;0,X147,0)</f>
        <v>0</v>
      </c>
      <c r="Y148" s="7">
        <f t="shared" ref="Y148" ca="1" si="129">-IF(Z144&gt;0,Y147,0)</f>
        <v>0</v>
      </c>
      <c r="Z148" s="7">
        <f t="shared" ref="Z148" ca="1" si="130">-IF(AA144&gt;0,Z147,0)</f>
        <v>0</v>
      </c>
      <c r="AA148" s="7">
        <f t="shared" ref="AA148" ca="1" si="131">-IF(AB144&gt;0,AA147,0)</f>
        <v>0</v>
      </c>
      <c r="AB148" s="7">
        <f t="shared" ref="AB148" ca="1" si="132">-IF(AC144&gt;0,AB147,0)</f>
        <v>0</v>
      </c>
      <c r="AC148" s="7">
        <f t="shared" ref="AC148" ca="1" si="133">-IF(AD144&gt;0,AC147,0)</f>
        <v>0</v>
      </c>
      <c r="AD148" s="7">
        <f t="shared" ref="AD148" ca="1" si="134">-IF(AE144&gt;0,AD147,0)</f>
        <v>0</v>
      </c>
      <c r="AE148" s="7">
        <f t="shared" ref="AE148" ca="1" si="135">-IF(AF144&gt;0,AE147,0)</f>
        <v>0</v>
      </c>
      <c r="AF148" s="7">
        <f t="shared" ref="AF148" ca="1" si="136">-IF(AG144&gt;0,AF147,0)</f>
        <v>0</v>
      </c>
      <c r="AG148" s="7">
        <f t="shared" ref="AG148" ca="1" si="137">-IF(AH144&gt;0,AG147,0)</f>
        <v>0</v>
      </c>
      <c r="AH148" s="7">
        <f t="shared" ref="AH148" ca="1" si="138">-IF(AI144&gt;0,AH147,0)</f>
        <v>0</v>
      </c>
      <c r="AI148" s="7">
        <f t="shared" ref="AI148" ca="1" si="139">-IF(AJ144&gt;0,AI147,0)</f>
        <v>0</v>
      </c>
      <c r="AJ148" s="7">
        <f t="shared" ref="AJ148" ca="1" si="140">-IF(AK144&gt;0,AJ147,0)</f>
        <v>0</v>
      </c>
      <c r="AK148" s="7">
        <f t="shared" ref="AK148" ca="1" si="141">-IF(AL144&gt;0,AK147,0)</f>
        <v>0</v>
      </c>
      <c r="AL148" s="7">
        <f t="shared" ref="AL148" ca="1" si="142">-IF(AM144&gt;0,AL147,0)</f>
        <v>0</v>
      </c>
      <c r="AM148" s="7">
        <f t="shared" ref="AM148" si="143">-IF(AN144&gt;0,AM147,0)</f>
        <v>0</v>
      </c>
    </row>
    <row r="149" spans="1:39" x14ac:dyDescent="0.2">
      <c r="A149" s="3" t="s">
        <v>24</v>
      </c>
      <c r="C149" s="7">
        <v>0</v>
      </c>
      <c r="D149" s="7">
        <f t="shared" ref="D149:AM149" ca="1" si="144">SUM(D147:D148)*VLOOKUP($A146,AssVar,2,FALSE)</f>
        <v>1016.6391026269777</v>
      </c>
      <c r="E149" s="7">
        <f t="shared" ca="1" si="144"/>
        <v>1036.9718846795172</v>
      </c>
      <c r="F149" s="7">
        <f t="shared" ca="1" si="144"/>
        <v>1057.7113223731076</v>
      </c>
      <c r="G149" s="7">
        <f t="shared" ca="1" si="144"/>
        <v>1078.8655488205698</v>
      </c>
      <c r="H149" s="7">
        <f t="shared" ca="1" si="144"/>
        <v>1100.4428597969811</v>
      </c>
      <c r="I149" s="7">
        <f t="shared" ca="1" si="144"/>
        <v>1122.4517169929206</v>
      </c>
      <c r="J149" s="7">
        <f t="shared" ca="1" si="144"/>
        <v>1144.9007513327792</v>
      </c>
      <c r="K149" s="7">
        <f t="shared" ca="1" si="144"/>
        <v>1167.7987663594349</v>
      </c>
      <c r="L149" s="7">
        <f t="shared" ca="1" si="144"/>
        <v>1191.1547416866235</v>
      </c>
      <c r="M149" s="7">
        <f t="shared" ca="1" si="144"/>
        <v>1214.977836520356</v>
      </c>
      <c r="N149" s="7">
        <f t="shared" ca="1" si="144"/>
        <v>1239.277393250763</v>
      </c>
      <c r="O149" s="7">
        <f t="shared" ca="1" si="144"/>
        <v>1264.0629411157784</v>
      </c>
      <c r="P149" s="7">
        <f t="shared" ca="1" si="144"/>
        <v>1289.3441999380939</v>
      </c>
      <c r="Q149" s="7">
        <f t="shared" ca="1" si="144"/>
        <v>1315.1310839368557</v>
      </c>
      <c r="R149" s="7">
        <f t="shared" ca="1" si="144"/>
        <v>1341.4337056155928</v>
      </c>
      <c r="S149" s="7">
        <f t="shared" ca="1" si="144"/>
        <v>1368.2623797279045</v>
      </c>
      <c r="T149" s="7">
        <f t="shared" ca="1" si="144"/>
        <v>1395.6276273224628</v>
      </c>
      <c r="U149" s="7">
        <f t="shared" ca="1" si="144"/>
        <v>1423.5401798689122</v>
      </c>
      <c r="V149" s="7">
        <f t="shared" ca="1" si="144"/>
        <v>1452.0109834662903</v>
      </c>
      <c r="W149" s="7">
        <f t="shared" ca="1" si="144"/>
        <v>1481.0512031356161</v>
      </c>
      <c r="X149" s="7">
        <f t="shared" ca="1" si="144"/>
        <v>1510.6722271983285</v>
      </c>
      <c r="Y149" s="7">
        <f t="shared" ca="1" si="144"/>
        <v>1540.885671742295</v>
      </c>
      <c r="Z149" s="7">
        <f t="shared" ca="1" si="144"/>
        <v>1571.7033851771409</v>
      </c>
      <c r="AA149" s="7">
        <f t="shared" ca="1" si="144"/>
        <v>1603.1374528806837</v>
      </c>
      <c r="AB149" s="7">
        <f t="shared" ca="1" si="144"/>
        <v>1635.2002019382974</v>
      </c>
      <c r="AC149" s="7">
        <f t="shared" ca="1" si="144"/>
        <v>1667.9042059770632</v>
      </c>
      <c r="AD149" s="7">
        <f t="shared" ca="1" si="144"/>
        <v>1701.2622900966044</v>
      </c>
      <c r="AE149" s="7">
        <f t="shared" ca="1" si="144"/>
        <v>1735.2875358985366</v>
      </c>
      <c r="AF149" s="7">
        <f t="shared" ca="1" si="144"/>
        <v>1769.9932866165072</v>
      </c>
      <c r="AG149" s="7">
        <f t="shared" ca="1" si="144"/>
        <v>1805.3931523488372</v>
      </c>
      <c r="AH149" s="7">
        <f t="shared" ca="1" si="144"/>
        <v>1841.501015395814</v>
      </c>
      <c r="AI149" s="7">
        <f t="shared" ca="1" si="144"/>
        <v>1878.3310357037303</v>
      </c>
      <c r="AJ149" s="7">
        <f t="shared" ca="1" si="144"/>
        <v>1915.8976564178049</v>
      </c>
      <c r="AK149" s="7">
        <f t="shared" ca="1" si="144"/>
        <v>1954.215609546161</v>
      </c>
      <c r="AL149" s="7">
        <f t="shared" ca="1" si="144"/>
        <v>1993.2999217370839</v>
      </c>
      <c r="AM149" s="7">
        <f t="shared" ca="1" si="144"/>
        <v>2033.1659201718255</v>
      </c>
    </row>
    <row r="150" spans="1:39" x14ac:dyDescent="0.2">
      <c r="A150" s="3" t="s">
        <v>25</v>
      </c>
      <c r="C150" s="7">
        <f ca="1">SUM(C147:C149)</f>
        <v>50831.955131348885</v>
      </c>
      <c r="D150" s="7">
        <f t="shared" ref="D150:AM150" ca="1" si="145">SUM(D147:D149)</f>
        <v>51848.594233975862</v>
      </c>
      <c r="E150" s="7">
        <f t="shared" ca="1" si="145"/>
        <v>52885.566118655377</v>
      </c>
      <c r="F150" s="7">
        <f t="shared" ca="1" si="145"/>
        <v>53943.277441028484</v>
      </c>
      <c r="G150" s="7">
        <f t="shared" ca="1" si="145"/>
        <v>55022.142989849053</v>
      </c>
      <c r="H150" s="7">
        <f t="shared" ca="1" si="145"/>
        <v>56122.585849646035</v>
      </c>
      <c r="I150" s="7">
        <f t="shared" ca="1" si="145"/>
        <v>57245.037566638959</v>
      </c>
      <c r="J150" s="7">
        <f t="shared" ca="1" si="145"/>
        <v>58389.938317971741</v>
      </c>
      <c r="K150" s="7">
        <f t="shared" ca="1" si="145"/>
        <v>59557.737084331173</v>
      </c>
      <c r="L150" s="7">
        <f t="shared" ca="1" si="145"/>
        <v>60748.891826017796</v>
      </c>
      <c r="M150" s="7">
        <f t="shared" ca="1" si="145"/>
        <v>61963.869662538149</v>
      </c>
      <c r="N150" s="7">
        <f t="shared" ca="1" si="145"/>
        <v>63203.147055788912</v>
      </c>
      <c r="O150" s="7">
        <f t="shared" ca="1" si="145"/>
        <v>64467.20999690469</v>
      </c>
      <c r="P150" s="7">
        <f t="shared" ca="1" si="145"/>
        <v>65756.554196842786</v>
      </c>
      <c r="Q150" s="7">
        <f t="shared" ca="1" si="145"/>
        <v>67071.685280779639</v>
      </c>
      <c r="R150" s="7">
        <f t="shared" ca="1" si="145"/>
        <v>68413.118986395231</v>
      </c>
      <c r="S150" s="7">
        <f t="shared" ca="1" si="145"/>
        <v>69781.38136612314</v>
      </c>
      <c r="T150" s="7">
        <f t="shared" ca="1" si="145"/>
        <v>71177.008993445605</v>
      </c>
      <c r="U150" s="7">
        <f t="shared" ca="1" si="145"/>
        <v>72600.549173314517</v>
      </c>
      <c r="V150" s="7">
        <f t="shared" ca="1" si="145"/>
        <v>74052.560156780804</v>
      </c>
      <c r="W150" s="7">
        <f t="shared" ca="1" si="145"/>
        <v>75533.611359916424</v>
      </c>
      <c r="X150" s="7">
        <f t="shared" ca="1" si="145"/>
        <v>77044.283587114754</v>
      </c>
      <c r="Y150" s="7">
        <f t="shared" ca="1" si="145"/>
        <v>78585.169258857044</v>
      </c>
      <c r="Z150" s="7">
        <f t="shared" ca="1" si="145"/>
        <v>80156.872644034185</v>
      </c>
      <c r="AA150" s="7">
        <f t="shared" ca="1" si="145"/>
        <v>81760.010096914863</v>
      </c>
      <c r="AB150" s="7">
        <f t="shared" ca="1" si="145"/>
        <v>83395.210298853155</v>
      </c>
      <c r="AC150" s="7">
        <f t="shared" ca="1" si="145"/>
        <v>85063.114504830213</v>
      </c>
      <c r="AD150" s="7">
        <f t="shared" ca="1" si="145"/>
        <v>86764.376794926822</v>
      </c>
      <c r="AE150" s="7">
        <f t="shared" ca="1" si="145"/>
        <v>88499.664330825355</v>
      </c>
      <c r="AF150" s="7">
        <f t="shared" ca="1" si="145"/>
        <v>90269.657617441859</v>
      </c>
      <c r="AG150" s="7">
        <f t="shared" ca="1" si="145"/>
        <v>92075.050769790701</v>
      </c>
      <c r="AH150" s="7">
        <f t="shared" ca="1" si="145"/>
        <v>93916.551785186515</v>
      </c>
      <c r="AI150" s="7">
        <f t="shared" ca="1" si="145"/>
        <v>95794.882820890241</v>
      </c>
      <c r="AJ150" s="7">
        <f t="shared" ca="1" si="145"/>
        <v>97710.780477308042</v>
      </c>
      <c r="AK150" s="7">
        <f t="shared" ca="1" si="145"/>
        <v>99664.996086854197</v>
      </c>
      <c r="AL150" s="7">
        <f t="shared" ca="1" si="145"/>
        <v>101658.29600859128</v>
      </c>
      <c r="AM150" s="7">
        <f t="shared" ca="1" si="145"/>
        <v>103691.46192876311</v>
      </c>
    </row>
    <row r="151" spans="1:39" x14ac:dyDescent="0.2">
      <c r="A151" s="3" t="s">
        <v>26</v>
      </c>
      <c r="C151" s="7">
        <f t="shared" ref="C151:AM151" ca="1" si="146">C148*VLOOKUP($A146,AssVar,3,FALSE)</f>
        <v>0</v>
      </c>
      <c r="D151" s="7">
        <f t="shared" ca="1" si="146"/>
        <v>0</v>
      </c>
      <c r="E151" s="7">
        <f t="shared" ca="1" si="146"/>
        <v>0</v>
      </c>
      <c r="F151" s="7">
        <f t="shared" ca="1" si="146"/>
        <v>0</v>
      </c>
      <c r="G151" s="7">
        <f t="shared" ca="1" si="146"/>
        <v>0</v>
      </c>
      <c r="H151" s="7">
        <f t="shared" ca="1" si="146"/>
        <v>0</v>
      </c>
      <c r="I151" s="7">
        <f t="shared" ca="1" si="146"/>
        <v>0</v>
      </c>
      <c r="J151" s="7">
        <f t="shared" ca="1" si="146"/>
        <v>0</v>
      </c>
      <c r="K151" s="7">
        <f t="shared" ca="1" si="146"/>
        <v>0</v>
      </c>
      <c r="L151" s="7">
        <f t="shared" ca="1" si="146"/>
        <v>0</v>
      </c>
      <c r="M151" s="7">
        <f t="shared" ca="1" si="146"/>
        <v>0</v>
      </c>
      <c r="N151" s="7">
        <f t="shared" ca="1" si="146"/>
        <v>0</v>
      </c>
      <c r="O151" s="7">
        <f t="shared" ca="1" si="146"/>
        <v>0</v>
      </c>
      <c r="P151" s="7">
        <f t="shared" ca="1" si="146"/>
        <v>0</v>
      </c>
      <c r="Q151" s="7">
        <f t="shared" ca="1" si="146"/>
        <v>0</v>
      </c>
      <c r="R151" s="7">
        <f t="shared" ca="1" si="146"/>
        <v>0</v>
      </c>
      <c r="S151" s="7">
        <f t="shared" ca="1" si="146"/>
        <v>0</v>
      </c>
      <c r="T151" s="7">
        <f t="shared" ca="1" si="146"/>
        <v>0</v>
      </c>
      <c r="U151" s="7">
        <f t="shared" ca="1" si="146"/>
        <v>0</v>
      </c>
      <c r="V151" s="7">
        <f t="shared" ca="1" si="146"/>
        <v>0</v>
      </c>
      <c r="W151" s="7">
        <f t="shared" ca="1" si="146"/>
        <v>0</v>
      </c>
      <c r="X151" s="7">
        <f t="shared" ca="1" si="146"/>
        <v>0</v>
      </c>
      <c r="Y151" s="7">
        <f t="shared" ca="1" si="146"/>
        <v>0</v>
      </c>
      <c r="Z151" s="7">
        <f t="shared" ca="1" si="146"/>
        <v>0</v>
      </c>
      <c r="AA151" s="7">
        <f t="shared" ca="1" si="146"/>
        <v>0</v>
      </c>
      <c r="AB151" s="7">
        <f t="shared" ca="1" si="146"/>
        <v>0</v>
      </c>
      <c r="AC151" s="7">
        <f t="shared" ca="1" si="146"/>
        <v>0</v>
      </c>
      <c r="AD151" s="7">
        <f t="shared" ca="1" si="146"/>
        <v>0</v>
      </c>
      <c r="AE151" s="7">
        <f t="shared" ca="1" si="146"/>
        <v>0</v>
      </c>
      <c r="AF151" s="7">
        <f t="shared" ca="1" si="146"/>
        <v>0</v>
      </c>
      <c r="AG151" s="7">
        <f t="shared" ca="1" si="146"/>
        <v>0</v>
      </c>
      <c r="AH151" s="7">
        <f t="shared" ca="1" si="146"/>
        <v>0</v>
      </c>
      <c r="AI151" s="7">
        <f t="shared" ca="1" si="146"/>
        <v>0</v>
      </c>
      <c r="AJ151" s="7">
        <f t="shared" ca="1" si="146"/>
        <v>0</v>
      </c>
      <c r="AK151" s="7">
        <f t="shared" ca="1" si="146"/>
        <v>0</v>
      </c>
      <c r="AL151" s="7">
        <f t="shared" ca="1" si="146"/>
        <v>0</v>
      </c>
      <c r="AM151" s="7">
        <f t="shared" si="146"/>
        <v>0</v>
      </c>
    </row>
    <row r="152" spans="1:39" x14ac:dyDescent="0.2">
      <c r="A152" s="3" t="s">
        <v>31</v>
      </c>
      <c r="C152" s="7">
        <f t="shared" ref="C152:AM152" ca="1" si="147">IFERROR(-IF(C147=0,VLOOKUP($A146,$8:$12,C$1+2,FALSE),0),0)</f>
        <v>0</v>
      </c>
      <c r="D152" s="7">
        <f t="shared" ca="1" si="147"/>
        <v>0</v>
      </c>
      <c r="E152" s="7">
        <f t="shared" ca="1" si="147"/>
        <v>0</v>
      </c>
      <c r="F152" s="7">
        <f t="shared" ca="1" si="147"/>
        <v>0</v>
      </c>
      <c r="G152" s="7">
        <f t="shared" ca="1" si="147"/>
        <v>0</v>
      </c>
      <c r="H152" s="7">
        <f t="shared" ca="1" si="147"/>
        <v>0</v>
      </c>
      <c r="I152" s="7">
        <f t="shared" ca="1" si="147"/>
        <v>0</v>
      </c>
      <c r="J152" s="7">
        <f t="shared" ca="1" si="147"/>
        <v>0</v>
      </c>
      <c r="K152" s="7">
        <f t="shared" ca="1" si="147"/>
        <v>0</v>
      </c>
      <c r="L152" s="7">
        <f t="shared" ca="1" si="147"/>
        <v>0</v>
      </c>
      <c r="M152" s="7">
        <f t="shared" ca="1" si="147"/>
        <v>0</v>
      </c>
      <c r="N152" s="7">
        <f t="shared" ca="1" si="147"/>
        <v>0</v>
      </c>
      <c r="O152" s="7">
        <f t="shared" ca="1" si="147"/>
        <v>0</v>
      </c>
      <c r="P152" s="7">
        <f t="shared" ca="1" si="147"/>
        <v>0</v>
      </c>
      <c r="Q152" s="7">
        <f t="shared" ca="1" si="147"/>
        <v>0</v>
      </c>
      <c r="R152" s="7">
        <f t="shared" ca="1" si="147"/>
        <v>0</v>
      </c>
      <c r="S152" s="7">
        <f t="shared" ca="1" si="147"/>
        <v>0</v>
      </c>
      <c r="T152" s="7">
        <f t="shared" ca="1" si="147"/>
        <v>0</v>
      </c>
      <c r="U152" s="7">
        <f t="shared" ca="1" si="147"/>
        <v>0</v>
      </c>
      <c r="V152" s="7">
        <f t="shared" ca="1" si="147"/>
        <v>0</v>
      </c>
      <c r="W152" s="7">
        <f t="shared" ca="1" si="147"/>
        <v>0</v>
      </c>
      <c r="X152" s="7">
        <f t="shared" ca="1" si="147"/>
        <v>0</v>
      </c>
      <c r="Y152" s="7">
        <f t="shared" ca="1" si="147"/>
        <v>0</v>
      </c>
      <c r="Z152" s="7">
        <f t="shared" ca="1" si="147"/>
        <v>0</v>
      </c>
      <c r="AA152" s="7">
        <f t="shared" ca="1" si="147"/>
        <v>0</v>
      </c>
      <c r="AB152" s="7">
        <f t="shared" ca="1" si="147"/>
        <v>0</v>
      </c>
      <c r="AC152" s="7">
        <f t="shared" ca="1" si="147"/>
        <v>0</v>
      </c>
      <c r="AD152" s="7">
        <f t="shared" ca="1" si="147"/>
        <v>0</v>
      </c>
      <c r="AE152" s="7">
        <f t="shared" ca="1" si="147"/>
        <v>0</v>
      </c>
      <c r="AF152" s="7">
        <f t="shared" ca="1" si="147"/>
        <v>0</v>
      </c>
      <c r="AG152" s="7">
        <f t="shared" ca="1" si="147"/>
        <v>0</v>
      </c>
      <c r="AH152" s="7">
        <f t="shared" ca="1" si="147"/>
        <v>0</v>
      </c>
      <c r="AI152" s="7">
        <f t="shared" ca="1" si="147"/>
        <v>0</v>
      </c>
      <c r="AJ152" s="7">
        <f t="shared" ca="1" si="147"/>
        <v>0</v>
      </c>
      <c r="AK152" s="7">
        <f t="shared" ca="1" si="147"/>
        <v>0</v>
      </c>
      <c r="AL152" s="7">
        <f t="shared" ca="1" si="147"/>
        <v>0</v>
      </c>
      <c r="AM152" s="7">
        <f t="shared" ca="1" si="147"/>
        <v>0</v>
      </c>
    </row>
    <row r="153" spans="1:39" x14ac:dyDescent="0.2">
      <c r="A153" s="3" t="s">
        <v>50</v>
      </c>
      <c r="C153" s="7">
        <f t="shared" ref="C153:AM153" ca="1" si="148">IFERROR(IF(C147=0,VLOOKUP($A146,$45:$49,C$1+2,FALSE),0),0)</f>
        <v>0</v>
      </c>
      <c r="D153" s="7">
        <f t="shared" ca="1" si="148"/>
        <v>0</v>
      </c>
      <c r="E153" s="7">
        <f t="shared" ca="1" si="148"/>
        <v>0</v>
      </c>
      <c r="F153" s="7">
        <f t="shared" ca="1" si="148"/>
        <v>0</v>
      </c>
      <c r="G153" s="7">
        <f t="shared" ca="1" si="148"/>
        <v>0</v>
      </c>
      <c r="H153" s="7">
        <f t="shared" ca="1" si="148"/>
        <v>0</v>
      </c>
      <c r="I153" s="7">
        <f t="shared" ca="1" si="148"/>
        <v>0</v>
      </c>
      <c r="J153" s="7">
        <f t="shared" ca="1" si="148"/>
        <v>0</v>
      </c>
      <c r="K153" s="7">
        <f t="shared" ca="1" si="148"/>
        <v>0</v>
      </c>
      <c r="L153" s="7">
        <f t="shared" ca="1" si="148"/>
        <v>0</v>
      </c>
      <c r="M153" s="7">
        <f t="shared" ca="1" si="148"/>
        <v>0</v>
      </c>
      <c r="N153" s="7">
        <f t="shared" ca="1" si="148"/>
        <v>0</v>
      </c>
      <c r="O153" s="7">
        <f t="shared" ca="1" si="148"/>
        <v>0</v>
      </c>
      <c r="P153" s="7">
        <f t="shared" ca="1" si="148"/>
        <v>0</v>
      </c>
      <c r="Q153" s="7">
        <f t="shared" ca="1" si="148"/>
        <v>0</v>
      </c>
      <c r="R153" s="7">
        <f t="shared" ca="1" si="148"/>
        <v>0</v>
      </c>
      <c r="S153" s="7">
        <f t="shared" ca="1" si="148"/>
        <v>0</v>
      </c>
      <c r="T153" s="7">
        <f t="shared" ca="1" si="148"/>
        <v>0</v>
      </c>
      <c r="U153" s="7">
        <f t="shared" ca="1" si="148"/>
        <v>0</v>
      </c>
      <c r="V153" s="7">
        <f t="shared" ca="1" si="148"/>
        <v>0</v>
      </c>
      <c r="W153" s="7">
        <f t="shared" ca="1" si="148"/>
        <v>0</v>
      </c>
      <c r="X153" s="7">
        <f t="shared" ca="1" si="148"/>
        <v>0</v>
      </c>
      <c r="Y153" s="7">
        <f t="shared" ca="1" si="148"/>
        <v>0</v>
      </c>
      <c r="Z153" s="7">
        <f t="shared" ca="1" si="148"/>
        <v>0</v>
      </c>
      <c r="AA153" s="7">
        <f t="shared" ca="1" si="148"/>
        <v>0</v>
      </c>
      <c r="AB153" s="7">
        <f t="shared" ca="1" si="148"/>
        <v>0</v>
      </c>
      <c r="AC153" s="7">
        <f t="shared" ca="1" si="148"/>
        <v>0</v>
      </c>
      <c r="AD153" s="7">
        <f t="shared" ca="1" si="148"/>
        <v>0</v>
      </c>
      <c r="AE153" s="7">
        <f t="shared" ca="1" si="148"/>
        <v>0</v>
      </c>
      <c r="AF153" s="7">
        <f t="shared" ca="1" si="148"/>
        <v>0</v>
      </c>
      <c r="AG153" s="7">
        <f t="shared" ca="1" si="148"/>
        <v>0</v>
      </c>
      <c r="AH153" s="7">
        <f t="shared" ca="1" si="148"/>
        <v>0</v>
      </c>
      <c r="AI153" s="7">
        <f t="shared" ca="1" si="148"/>
        <v>0</v>
      </c>
      <c r="AJ153" s="7">
        <f t="shared" ca="1" si="148"/>
        <v>0</v>
      </c>
      <c r="AK153" s="7">
        <f t="shared" ca="1" si="148"/>
        <v>0</v>
      </c>
      <c r="AL153" s="7">
        <f t="shared" ca="1" si="148"/>
        <v>0</v>
      </c>
      <c r="AM153" s="7">
        <f t="shared" ca="1" si="148"/>
        <v>0</v>
      </c>
    </row>
    <row r="154" spans="1:39" x14ac:dyDescent="0.2">
      <c r="A154" s="3" t="s">
        <v>36</v>
      </c>
      <c r="B154" s="14" t="str">
        <f>A146</f>
        <v>Jewelry</v>
      </c>
      <c r="C154" s="7">
        <f t="shared" ref="C154:AM154" ca="1" si="149">IF(AND(C147&gt;0,C150=0),VLOOKUP($A146,$83:$92,C$1+2,FALSE),0)</f>
        <v>0</v>
      </c>
      <c r="D154" s="7">
        <f t="shared" ca="1" si="149"/>
        <v>0</v>
      </c>
      <c r="E154" s="7">
        <f t="shared" ca="1" si="149"/>
        <v>0</v>
      </c>
      <c r="F154" s="7">
        <f t="shared" ca="1" si="149"/>
        <v>0</v>
      </c>
      <c r="G154" s="7">
        <f t="shared" ca="1" si="149"/>
        <v>0</v>
      </c>
      <c r="H154" s="7">
        <f t="shared" ca="1" si="149"/>
        <v>0</v>
      </c>
      <c r="I154" s="7">
        <f t="shared" ca="1" si="149"/>
        <v>0</v>
      </c>
      <c r="J154" s="7">
        <f t="shared" ca="1" si="149"/>
        <v>0</v>
      </c>
      <c r="K154" s="7">
        <f t="shared" ca="1" si="149"/>
        <v>0</v>
      </c>
      <c r="L154" s="7">
        <f t="shared" ca="1" si="149"/>
        <v>0</v>
      </c>
      <c r="M154" s="7">
        <f t="shared" ca="1" si="149"/>
        <v>0</v>
      </c>
      <c r="N154" s="7">
        <f t="shared" ca="1" si="149"/>
        <v>0</v>
      </c>
      <c r="O154" s="7">
        <f t="shared" ca="1" si="149"/>
        <v>0</v>
      </c>
      <c r="P154" s="7">
        <f t="shared" ca="1" si="149"/>
        <v>0</v>
      </c>
      <c r="Q154" s="7">
        <f t="shared" ca="1" si="149"/>
        <v>0</v>
      </c>
      <c r="R154" s="7">
        <f t="shared" ca="1" si="149"/>
        <v>0</v>
      </c>
      <c r="S154" s="7">
        <f t="shared" ca="1" si="149"/>
        <v>0</v>
      </c>
      <c r="T154" s="7">
        <f t="shared" ca="1" si="149"/>
        <v>0</v>
      </c>
      <c r="U154" s="7">
        <f t="shared" ca="1" si="149"/>
        <v>0</v>
      </c>
      <c r="V154" s="7">
        <f t="shared" ca="1" si="149"/>
        <v>0</v>
      </c>
      <c r="W154" s="7">
        <f t="shared" ca="1" si="149"/>
        <v>0</v>
      </c>
      <c r="X154" s="7">
        <f t="shared" ca="1" si="149"/>
        <v>0</v>
      </c>
      <c r="Y154" s="7">
        <f t="shared" ca="1" si="149"/>
        <v>0</v>
      </c>
      <c r="Z154" s="7">
        <f t="shared" ca="1" si="149"/>
        <v>0</v>
      </c>
      <c r="AA154" s="7">
        <f t="shared" ca="1" si="149"/>
        <v>0</v>
      </c>
      <c r="AB154" s="7">
        <f t="shared" ca="1" si="149"/>
        <v>0</v>
      </c>
      <c r="AC154" s="7">
        <f t="shared" ca="1" si="149"/>
        <v>0</v>
      </c>
      <c r="AD154" s="7">
        <f t="shared" ca="1" si="149"/>
        <v>0</v>
      </c>
      <c r="AE154" s="7">
        <f t="shared" ca="1" si="149"/>
        <v>0</v>
      </c>
      <c r="AF154" s="7">
        <f t="shared" ca="1" si="149"/>
        <v>0</v>
      </c>
      <c r="AG154" s="7">
        <f t="shared" ca="1" si="149"/>
        <v>0</v>
      </c>
      <c r="AH154" s="7">
        <f t="shared" ca="1" si="149"/>
        <v>0</v>
      </c>
      <c r="AI154" s="7">
        <f t="shared" ca="1" si="149"/>
        <v>0</v>
      </c>
      <c r="AJ154" s="7">
        <f t="shared" ca="1" si="149"/>
        <v>0</v>
      </c>
      <c r="AK154" s="7">
        <f t="shared" ca="1" si="149"/>
        <v>0</v>
      </c>
      <c r="AL154" s="7">
        <f t="shared" ca="1" si="149"/>
        <v>0</v>
      </c>
      <c r="AM154" s="7">
        <f t="shared" ca="1" si="149"/>
        <v>0</v>
      </c>
    </row>
    <row r="155" spans="1:39" x14ac:dyDescent="0.2">
      <c r="A155" s="3" t="s">
        <v>37</v>
      </c>
      <c r="C155" s="7">
        <f ca="1">-C148+SUM(C151:C154)</f>
        <v>0</v>
      </c>
      <c r="D155" s="7">
        <f t="shared" ref="D155" ca="1" si="150">-D148+SUM(D151:D154)</f>
        <v>0</v>
      </c>
      <c r="E155" s="7">
        <f t="shared" ref="E155:AM155" ca="1" si="151">-E148+SUM(E151:E154)</f>
        <v>0</v>
      </c>
      <c r="F155" s="7">
        <f t="shared" ca="1" si="151"/>
        <v>0</v>
      </c>
      <c r="G155" s="7">
        <f t="shared" ca="1" si="151"/>
        <v>0</v>
      </c>
      <c r="H155" s="7">
        <f t="shared" ca="1" si="151"/>
        <v>0</v>
      </c>
      <c r="I155" s="7">
        <f t="shared" ca="1" si="151"/>
        <v>0</v>
      </c>
      <c r="J155" s="7">
        <f t="shared" ca="1" si="151"/>
        <v>0</v>
      </c>
      <c r="K155" s="7">
        <f t="shared" ca="1" si="151"/>
        <v>0</v>
      </c>
      <c r="L155" s="7">
        <f t="shared" ca="1" si="151"/>
        <v>0</v>
      </c>
      <c r="M155" s="7">
        <f t="shared" ca="1" si="151"/>
        <v>0</v>
      </c>
      <c r="N155" s="7">
        <f t="shared" ca="1" si="151"/>
        <v>0</v>
      </c>
      <c r="O155" s="7">
        <f t="shared" ca="1" si="151"/>
        <v>0</v>
      </c>
      <c r="P155" s="7">
        <f t="shared" ca="1" si="151"/>
        <v>0</v>
      </c>
      <c r="Q155" s="7">
        <f t="shared" ca="1" si="151"/>
        <v>0</v>
      </c>
      <c r="R155" s="7">
        <f t="shared" ca="1" si="151"/>
        <v>0</v>
      </c>
      <c r="S155" s="7">
        <f t="shared" ca="1" si="151"/>
        <v>0</v>
      </c>
      <c r="T155" s="7">
        <f t="shared" ca="1" si="151"/>
        <v>0</v>
      </c>
      <c r="U155" s="7">
        <f t="shared" ca="1" si="151"/>
        <v>0</v>
      </c>
      <c r="V155" s="7">
        <f t="shared" ca="1" si="151"/>
        <v>0</v>
      </c>
      <c r="W155" s="7">
        <f t="shared" ca="1" si="151"/>
        <v>0</v>
      </c>
      <c r="X155" s="7">
        <f t="shared" ca="1" si="151"/>
        <v>0</v>
      </c>
      <c r="Y155" s="7">
        <f t="shared" ca="1" si="151"/>
        <v>0</v>
      </c>
      <c r="Z155" s="7">
        <f t="shared" ca="1" si="151"/>
        <v>0</v>
      </c>
      <c r="AA155" s="7">
        <f t="shared" ca="1" si="151"/>
        <v>0</v>
      </c>
      <c r="AB155" s="7">
        <f t="shared" ca="1" si="151"/>
        <v>0</v>
      </c>
      <c r="AC155" s="7">
        <f t="shared" ca="1" si="151"/>
        <v>0</v>
      </c>
      <c r="AD155" s="7">
        <f t="shared" ca="1" si="151"/>
        <v>0</v>
      </c>
      <c r="AE155" s="7">
        <f t="shared" ca="1" si="151"/>
        <v>0</v>
      </c>
      <c r="AF155" s="7">
        <f t="shared" ca="1" si="151"/>
        <v>0</v>
      </c>
      <c r="AG155" s="7">
        <f t="shared" ca="1" si="151"/>
        <v>0</v>
      </c>
      <c r="AH155" s="7">
        <f t="shared" ca="1" si="151"/>
        <v>0</v>
      </c>
      <c r="AI155" s="7">
        <f t="shared" ca="1" si="151"/>
        <v>0</v>
      </c>
      <c r="AJ155" s="7">
        <f t="shared" ca="1" si="151"/>
        <v>0</v>
      </c>
      <c r="AK155" s="7">
        <f t="shared" ca="1" si="151"/>
        <v>0</v>
      </c>
      <c r="AL155" s="7">
        <f t="shared" ca="1" si="151"/>
        <v>0</v>
      </c>
      <c r="AM155" s="7">
        <f t="shared" ca="1" si="151"/>
        <v>0</v>
      </c>
    </row>
    <row r="156" spans="1:39" x14ac:dyDescent="0.2">
      <c r="A156" s="3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">
      <c r="A157" s="3" t="s">
        <v>71</v>
      </c>
      <c r="C157" s="7">
        <f ca="1">C143+SUM($C155:C155)</f>
        <v>12809.375000000015</v>
      </c>
      <c r="D157" s="7">
        <f ca="1">D143+SUM($C155:D155)</f>
        <v>24162.215625000026</v>
      </c>
      <c r="E157" s="7">
        <f ca="1">E143+SUM($C155:E155)</f>
        <v>41813.279140625047</v>
      </c>
      <c r="F157" s="7">
        <f ca="1">F143+SUM($C155:F155)</f>
        <v>41803.568657505195</v>
      </c>
      <c r="G157" s="7">
        <f ca="1">G143+SUM($C155:G155)</f>
        <v>73524.627177360788</v>
      </c>
      <c r="H157" s="7">
        <f ca="1">H143+SUM($C155:H155)</f>
        <v>111945.76563583669</v>
      </c>
      <c r="I157" s="7">
        <f ca="1">I143+SUM($C155:I155)</f>
        <v>179058.63493181192</v>
      </c>
      <c r="J157" s="7">
        <f ca="1">J143+SUM($C155:J155)</f>
        <v>250182.50067145552</v>
      </c>
      <c r="K157" s="7">
        <f ca="1">K143+SUM($C155:K155)</f>
        <v>308095.70278366783</v>
      </c>
      <c r="L157" s="7">
        <f ca="1">L143+SUM($C155:L155)</f>
        <v>453640.47280939861</v>
      </c>
      <c r="M157" s="7">
        <f ca="1">M143+SUM($C155:M155)</f>
        <v>510683.42164108111</v>
      </c>
      <c r="N157" s="7">
        <f ca="1">N143+SUM($C155:N155)</f>
        <v>621525.85327123245</v>
      </c>
      <c r="O157" s="7">
        <f ca="1">O143+SUM($C155:O155)</f>
        <v>738362.94313265686</v>
      </c>
      <c r="P157" s="7">
        <f ca="1">P143+SUM($C155:P155)</f>
        <v>861449.23653079802</v>
      </c>
      <c r="Q157" s="7">
        <f ca="1">Q143+SUM($C155:Q155)</f>
        <v>991048.98204238666</v>
      </c>
      <c r="R157" s="7">
        <f ca="1">R143+SUM($C155:R155)</f>
        <v>1127436.4792682112</v>
      </c>
      <c r="S157" s="7">
        <f ca="1">S143+SUM($C155:S155)</f>
        <v>1270896.4385593834</v>
      </c>
      <c r="T157" s="7">
        <f ca="1">T143+SUM($C155:T155)</f>
        <v>1312493.9107349962</v>
      </c>
      <c r="U157" s="7">
        <f ca="1">U143+SUM($C155:U155)</f>
        <v>1363530.8459680481</v>
      </c>
      <c r="V157" s="7">
        <f ca="1">V143+SUM($C155:V155)</f>
        <v>1416566.1280568431</v>
      </c>
      <c r="W157" s="7">
        <f ca="1">W143+SUM($C155:W155)</f>
        <v>1471676.7180232967</v>
      </c>
      <c r="X157" s="7">
        <f ca="1">X143+SUM($C155:X155)</f>
        <v>1528942.4442265448</v>
      </c>
      <c r="Y157" s="7">
        <f ca="1">Y143+SUM($C155:Y155)</f>
        <v>1567529.0131961552</v>
      </c>
      <c r="Z157" s="7">
        <f ca="1">Z143+SUM($C155:Z155)</f>
        <v>1607393.5393787338</v>
      </c>
      <c r="AA157" s="7">
        <f ca="1">AA143+SUM($C155:AA155)</f>
        <v>1648585.8680630873</v>
      </c>
      <c r="AB157" s="7">
        <f ca="1">AB143+SUM($C155:AB155)</f>
        <v>1691157.8400002168</v>
      </c>
      <c r="AC157" s="7">
        <f ca="1">AC143+SUM($C155:AC155)</f>
        <v>1735163.3690807538</v>
      </c>
      <c r="AD157" s="7">
        <f ca="1">AD143+SUM($C155:AD155)</f>
        <v>1780658.5229208304</v>
      </c>
      <c r="AE157" s="7">
        <f ca="1">AE143+SUM($C155:AE155)</f>
        <v>1837808.8624938719</v>
      </c>
      <c r="AF157" s="7">
        <f ca="1">AF143+SUM($C155:AF155)</f>
        <v>1897073.1235563438</v>
      </c>
      <c r="AG157" s="7">
        <f ca="1">AG143+SUM($C155:AG155)</f>
        <v>1958533.3002031124</v>
      </c>
      <c r="AH157" s="7">
        <f ca="1">AH143+SUM($C155:AH155)</f>
        <v>2022274.5255423354</v>
      </c>
      <c r="AI157" s="7">
        <f ca="1">AI143+SUM($C155:AI155)</f>
        <v>2088385.1882151016</v>
      </c>
      <c r="AJ157" s="7">
        <f ca="1">AJ143+SUM($C155:AJ155)</f>
        <v>2156957.0531036272</v>
      </c>
      <c r="AK157" s="7">
        <f ca="1">AK143+SUM($C155:AK155)</f>
        <v>2228085.3863743474</v>
      </c>
      <c r="AL157" s="7">
        <f ca="1">AL143+SUM($C155:AL155)</f>
        <v>2301869.0850072289</v>
      </c>
      <c r="AM157" s="7">
        <f ca="1">AM143+SUM($C155:AM155)</f>
        <v>2378410.8109677895</v>
      </c>
    </row>
    <row r="158" spans="1:39" x14ac:dyDescent="0.2">
      <c r="A158" s="3" t="s">
        <v>68</v>
      </c>
      <c r="C158" s="7">
        <f t="shared" ref="C158:AM158" ca="1" si="152">MAX(C157+buffer,0)-MAX(C143+buffer,0)</f>
        <v>0</v>
      </c>
      <c r="D158" s="7">
        <f t="shared" ca="1" si="152"/>
        <v>0</v>
      </c>
      <c r="E158" s="7">
        <f t="shared" ca="1" si="152"/>
        <v>0</v>
      </c>
      <c r="F158" s="7">
        <f t="shared" ca="1" si="152"/>
        <v>0</v>
      </c>
      <c r="G158" s="7">
        <f t="shared" ca="1" si="152"/>
        <v>0</v>
      </c>
      <c r="H158" s="7">
        <f t="shared" ca="1" si="152"/>
        <v>0</v>
      </c>
      <c r="I158" s="7">
        <f t="shared" ca="1" si="152"/>
        <v>0</v>
      </c>
      <c r="J158" s="7">
        <f t="shared" ca="1" si="152"/>
        <v>0</v>
      </c>
      <c r="K158" s="7">
        <f t="shared" ca="1" si="152"/>
        <v>0</v>
      </c>
      <c r="L158" s="7">
        <f t="shared" ca="1" si="152"/>
        <v>0</v>
      </c>
      <c r="M158" s="7">
        <f t="shared" ca="1" si="152"/>
        <v>0</v>
      </c>
      <c r="N158" s="7">
        <f t="shared" ca="1" si="152"/>
        <v>0</v>
      </c>
      <c r="O158" s="7">
        <f t="shared" ca="1" si="152"/>
        <v>0</v>
      </c>
      <c r="P158" s="7">
        <f t="shared" ca="1" si="152"/>
        <v>0</v>
      </c>
      <c r="Q158" s="7">
        <f t="shared" ca="1" si="152"/>
        <v>0</v>
      </c>
      <c r="R158" s="7">
        <f t="shared" ca="1" si="152"/>
        <v>0</v>
      </c>
      <c r="S158" s="7">
        <f t="shared" ca="1" si="152"/>
        <v>0</v>
      </c>
      <c r="T158" s="7">
        <f t="shared" ca="1" si="152"/>
        <v>0</v>
      </c>
      <c r="U158" s="7">
        <f t="shared" ca="1" si="152"/>
        <v>0</v>
      </c>
      <c r="V158" s="7">
        <f t="shared" ca="1" si="152"/>
        <v>0</v>
      </c>
      <c r="W158" s="7">
        <f t="shared" ca="1" si="152"/>
        <v>0</v>
      </c>
      <c r="X158" s="7">
        <f t="shared" ca="1" si="152"/>
        <v>0</v>
      </c>
      <c r="Y158" s="7">
        <f t="shared" ca="1" si="152"/>
        <v>0</v>
      </c>
      <c r="Z158" s="7">
        <f t="shared" ca="1" si="152"/>
        <v>0</v>
      </c>
      <c r="AA158" s="7">
        <f t="shared" ca="1" si="152"/>
        <v>0</v>
      </c>
      <c r="AB158" s="7">
        <f t="shared" ca="1" si="152"/>
        <v>0</v>
      </c>
      <c r="AC158" s="7">
        <f t="shared" ca="1" si="152"/>
        <v>0</v>
      </c>
      <c r="AD158" s="7">
        <f t="shared" ca="1" si="152"/>
        <v>0</v>
      </c>
      <c r="AE158" s="7">
        <f t="shared" ca="1" si="152"/>
        <v>0</v>
      </c>
      <c r="AF158" s="7">
        <f t="shared" ca="1" si="152"/>
        <v>0</v>
      </c>
      <c r="AG158" s="7">
        <f t="shared" ca="1" si="152"/>
        <v>0</v>
      </c>
      <c r="AH158" s="7">
        <f t="shared" ca="1" si="152"/>
        <v>0</v>
      </c>
      <c r="AI158" s="7">
        <f t="shared" ca="1" si="152"/>
        <v>0</v>
      </c>
      <c r="AJ158" s="7">
        <f t="shared" ca="1" si="152"/>
        <v>0</v>
      </c>
      <c r="AK158" s="7">
        <f t="shared" ca="1" si="152"/>
        <v>0</v>
      </c>
      <c r="AL158" s="7">
        <f t="shared" ca="1" si="152"/>
        <v>0</v>
      </c>
      <c r="AM158" s="7">
        <f t="shared" ca="1" si="152"/>
        <v>0</v>
      </c>
    </row>
    <row r="159" spans="1:39" x14ac:dyDescent="0.2">
      <c r="A159" s="3" t="s">
        <v>69</v>
      </c>
      <c r="C159" s="7">
        <f ca="1">C158*Inputs!$B$259</f>
        <v>0</v>
      </c>
      <c r="D159" s="7">
        <f ca="1">D158*Inputs!$B$259</f>
        <v>0</v>
      </c>
      <c r="E159" s="7">
        <f ca="1">E158*Inputs!$B$259</f>
        <v>0</v>
      </c>
      <c r="F159" s="7">
        <f ca="1">F158*Inputs!$B$259</f>
        <v>0</v>
      </c>
      <c r="G159" s="7">
        <f ca="1">G158*Inputs!$B$259</f>
        <v>0</v>
      </c>
      <c r="H159" s="7">
        <f ca="1">H158*Inputs!$B$259</f>
        <v>0</v>
      </c>
      <c r="I159" s="7">
        <f ca="1">I158*Inputs!$B$259</f>
        <v>0</v>
      </c>
      <c r="J159" s="7">
        <f ca="1">J158*Inputs!$B$259</f>
        <v>0</v>
      </c>
      <c r="K159" s="7">
        <f ca="1">K158*Inputs!$B$259</f>
        <v>0</v>
      </c>
      <c r="L159" s="7">
        <f ca="1">L158*Inputs!$B$259</f>
        <v>0</v>
      </c>
      <c r="M159" s="7">
        <f ca="1">M158*Inputs!$B$259</f>
        <v>0</v>
      </c>
      <c r="N159" s="7">
        <f ca="1">N158*Inputs!$B$259</f>
        <v>0</v>
      </c>
      <c r="O159" s="7">
        <f ca="1">O158*Inputs!$B$259</f>
        <v>0</v>
      </c>
      <c r="P159" s="7">
        <f ca="1">P158*Inputs!$B$259</f>
        <v>0</v>
      </c>
      <c r="Q159" s="7">
        <f ca="1">Q158*Inputs!$B$259</f>
        <v>0</v>
      </c>
      <c r="R159" s="7">
        <f ca="1">R158*Inputs!$B$259</f>
        <v>0</v>
      </c>
      <c r="S159" s="7">
        <f ca="1">S158*Inputs!$B$259</f>
        <v>0</v>
      </c>
      <c r="T159" s="7">
        <f ca="1">T158*Inputs!$B$259</f>
        <v>0</v>
      </c>
      <c r="U159" s="7">
        <f ca="1">U158*Inputs!$B$259</f>
        <v>0</v>
      </c>
      <c r="V159" s="7">
        <f ca="1">V158*Inputs!$B$259</f>
        <v>0</v>
      </c>
      <c r="W159" s="7">
        <f ca="1">W158*Inputs!$B$259</f>
        <v>0</v>
      </c>
      <c r="X159" s="7">
        <f ca="1">X158*Inputs!$B$259</f>
        <v>0</v>
      </c>
      <c r="Y159" s="7">
        <f ca="1">Y158*Inputs!$B$259</f>
        <v>0</v>
      </c>
      <c r="Z159" s="7">
        <f ca="1">Z158*Inputs!$B$259</f>
        <v>0</v>
      </c>
      <c r="AA159" s="7">
        <f ca="1">AA158*Inputs!$B$259</f>
        <v>0</v>
      </c>
      <c r="AB159" s="7">
        <f ca="1">AB158*Inputs!$B$259</f>
        <v>0</v>
      </c>
      <c r="AC159" s="7">
        <f ca="1">AC158*Inputs!$B$259</f>
        <v>0</v>
      </c>
      <c r="AD159" s="7">
        <f ca="1">AD158*Inputs!$B$259</f>
        <v>0</v>
      </c>
      <c r="AE159" s="7">
        <f ca="1">AE158*Inputs!$B$259</f>
        <v>0</v>
      </c>
      <c r="AF159" s="7">
        <f ca="1">AF158*Inputs!$B$259</f>
        <v>0</v>
      </c>
      <c r="AG159" s="7">
        <f ca="1">AG158*Inputs!$B$259</f>
        <v>0</v>
      </c>
      <c r="AH159" s="7">
        <f ca="1">AH158*Inputs!$B$259</f>
        <v>0</v>
      </c>
      <c r="AI159" s="7">
        <f ca="1">AI158*Inputs!$B$259</f>
        <v>0</v>
      </c>
      <c r="AJ159" s="7">
        <f ca="1">AJ158*Inputs!$B$259</f>
        <v>0</v>
      </c>
      <c r="AK159" s="7">
        <f ca="1">AK158*Inputs!$B$259</f>
        <v>0</v>
      </c>
      <c r="AL159" s="7">
        <f ca="1">AL158*Inputs!$B$259</f>
        <v>0</v>
      </c>
      <c r="AM159" s="7">
        <f ca="1">AM158*Inputs!$B$259</f>
        <v>0</v>
      </c>
    </row>
    <row r="160" spans="1:39" x14ac:dyDescent="0.2">
      <c r="A160" s="3" t="s">
        <v>150</v>
      </c>
      <c r="C160" s="7">
        <f ca="1">C157+SUM($C159:C159)</f>
        <v>12809.375000000015</v>
      </c>
      <c r="D160" s="7">
        <f ca="1">D157+SUM($C159:D159)</f>
        <v>24162.215625000026</v>
      </c>
      <c r="E160" s="7">
        <f ca="1">E157+SUM($C159:E159)</f>
        <v>41813.279140625047</v>
      </c>
      <c r="F160" s="7">
        <f ca="1">F157+SUM($C159:F159)</f>
        <v>41803.568657505195</v>
      </c>
      <c r="G160" s="7">
        <f ca="1">G157+SUM($C159:G159)</f>
        <v>73524.627177360788</v>
      </c>
      <c r="H160" s="7">
        <f ca="1">H157+SUM($C159:H159)</f>
        <v>111945.76563583669</v>
      </c>
      <c r="I160" s="7">
        <f ca="1">I157+SUM($C159:I159)</f>
        <v>179058.63493181192</v>
      </c>
      <c r="J160" s="7">
        <f ca="1">J157+SUM($C159:J159)</f>
        <v>250182.50067145552</v>
      </c>
      <c r="K160" s="7">
        <f ca="1">K157+SUM($C159:K159)</f>
        <v>308095.70278366783</v>
      </c>
      <c r="L160" s="7">
        <f ca="1">L157+SUM($C159:L159)</f>
        <v>453640.47280939861</v>
      </c>
      <c r="M160" s="7">
        <f ca="1">M157+SUM($C159:M159)</f>
        <v>510683.42164108111</v>
      </c>
      <c r="N160" s="7">
        <f ca="1">N157+SUM($C159:N159)</f>
        <v>621525.85327123245</v>
      </c>
      <c r="O160" s="7">
        <f ca="1">O157+SUM($C159:O159)</f>
        <v>738362.94313265686</v>
      </c>
      <c r="P160" s="7">
        <f ca="1">P157+SUM($C159:P159)</f>
        <v>861449.23653079802</v>
      </c>
      <c r="Q160" s="7">
        <f ca="1">Q157+SUM($C159:Q159)</f>
        <v>991048.98204238666</v>
      </c>
      <c r="R160" s="7">
        <f ca="1">R157+SUM($C159:R159)</f>
        <v>1127436.4792682112</v>
      </c>
      <c r="S160" s="7">
        <f ca="1">S157+SUM($C159:S159)</f>
        <v>1270896.4385593834</v>
      </c>
      <c r="T160" s="7">
        <f ca="1">T157+SUM($C159:T159)</f>
        <v>1312493.9107349962</v>
      </c>
      <c r="U160" s="7">
        <f ca="1">U157+SUM($C159:U159)</f>
        <v>1363530.8459680481</v>
      </c>
      <c r="V160" s="7">
        <f ca="1">V157+SUM($C159:V159)</f>
        <v>1416566.1280568431</v>
      </c>
      <c r="W160" s="7">
        <f ca="1">W157+SUM($C159:W159)</f>
        <v>1471676.7180232967</v>
      </c>
      <c r="X160" s="7">
        <f ca="1">X157+SUM($C159:X159)</f>
        <v>1528942.4442265448</v>
      </c>
      <c r="Y160" s="7">
        <f ca="1">Y157+SUM($C159:Y159)</f>
        <v>1567529.0131961552</v>
      </c>
      <c r="Z160" s="7">
        <f ca="1">Z157+SUM($C159:Z159)</f>
        <v>1607393.5393787338</v>
      </c>
      <c r="AA160" s="7">
        <f ca="1">AA157+SUM($C159:AA159)</f>
        <v>1648585.8680630873</v>
      </c>
      <c r="AB160" s="7">
        <f ca="1">AB157+SUM($C159:AB159)</f>
        <v>1691157.8400002168</v>
      </c>
      <c r="AC160" s="7">
        <f ca="1">AC157+SUM($C159:AC159)</f>
        <v>1735163.3690807538</v>
      </c>
      <c r="AD160" s="7">
        <f ca="1">AD157+SUM($C159:AD159)</f>
        <v>1780658.5229208304</v>
      </c>
      <c r="AE160" s="7">
        <f ca="1">AE157+SUM($C159:AE159)</f>
        <v>1837808.8624938719</v>
      </c>
      <c r="AF160" s="7">
        <f ca="1">AF157+SUM($C159:AF159)</f>
        <v>1897073.1235563438</v>
      </c>
      <c r="AG160" s="7">
        <f ca="1">AG157+SUM($C159:AG159)</f>
        <v>1958533.3002031124</v>
      </c>
      <c r="AH160" s="7">
        <f ca="1">AH157+SUM($C159:AH159)</f>
        <v>2022274.5255423354</v>
      </c>
      <c r="AI160" s="7">
        <f ca="1">AI157+SUM($C159:AI159)</f>
        <v>2088385.1882151016</v>
      </c>
      <c r="AJ160" s="7">
        <f ca="1">AJ157+SUM($C159:AJ159)</f>
        <v>2156957.0531036272</v>
      </c>
      <c r="AK160" s="7">
        <f ca="1">AK157+SUM($C159:AK159)</f>
        <v>2228085.3863743474</v>
      </c>
      <c r="AL160" s="7">
        <f ca="1">AL157+SUM($C159:AL159)</f>
        <v>2301869.0850072289</v>
      </c>
      <c r="AM160" s="7">
        <f ca="1">AM157+SUM($C159:AM159)</f>
        <v>2378410.8109677895</v>
      </c>
    </row>
    <row r="161" spans="1:39" x14ac:dyDescent="0.2">
      <c r="A161" s="3" t="s">
        <v>20</v>
      </c>
      <c r="C161" s="7">
        <f ca="1">IF(C160&lt;0,-C160,0)</f>
        <v>0</v>
      </c>
      <c r="D161" s="7">
        <f ca="1">IF(D160+SUM($C161:C161)&lt;0,-(D160+SUM($C161:C161)),0)</f>
        <v>0</v>
      </c>
      <c r="E161" s="7">
        <f ca="1">IF(E160+SUM($C161:D161)&lt;0,-(E160+SUM($C161:D161)),0)</f>
        <v>0</v>
      </c>
      <c r="F161" s="7">
        <f ca="1">IF(F160+SUM($C161:E161)&lt;0,-(F160+SUM($C161:E161)),0)</f>
        <v>0</v>
      </c>
      <c r="G161" s="7">
        <f ca="1">IF(G160+SUM($C161:F161)&lt;0,-(G160+SUM($C161:F161)),0)</f>
        <v>0</v>
      </c>
      <c r="H161" s="7">
        <f ca="1">IF(H160+SUM($C161:G161)&lt;0,-(H160+SUM($C161:G161)),0)</f>
        <v>0</v>
      </c>
      <c r="I161" s="7">
        <f ca="1">IF(I160+SUM($C161:H161)&lt;0,-(I160+SUM($C161:H161)),0)</f>
        <v>0</v>
      </c>
      <c r="J161" s="7">
        <f ca="1">IF(J160+SUM($C161:I161)&lt;0,-(J160+SUM($C161:I161)),0)</f>
        <v>0</v>
      </c>
      <c r="K161" s="7">
        <f ca="1">IF(K160+SUM($C161:J161)&lt;0,-(K160+SUM($C161:J161)),0)</f>
        <v>0</v>
      </c>
      <c r="L161" s="7">
        <f ca="1">IF(L160+SUM($C161:K161)&lt;0,-(L160+SUM($C161:K161)),0)</f>
        <v>0</v>
      </c>
      <c r="M161" s="7">
        <f ca="1">IF(M160+SUM($C161:L161)&lt;0,-(M160+SUM($C161:L161)),0)</f>
        <v>0</v>
      </c>
      <c r="N161" s="7">
        <f ca="1">IF(N160+SUM($C161:M161)&lt;0,-(N160+SUM($C161:M161)),0)</f>
        <v>0</v>
      </c>
      <c r="O161" s="7">
        <f ca="1">IF(O160+SUM($C161:N161)&lt;0,-(O160+SUM($C161:N161)),0)</f>
        <v>0</v>
      </c>
      <c r="P161" s="7">
        <f ca="1">IF(P160+SUM($C161:O161)&lt;0,-(P160+SUM($C161:O161)),0)</f>
        <v>0</v>
      </c>
      <c r="Q161" s="7">
        <f ca="1">IF(Q160+SUM($C161:P161)&lt;0,-(Q160+SUM($C161:P161)),0)</f>
        <v>0</v>
      </c>
      <c r="R161" s="7">
        <f ca="1">IF(R160+SUM($C161:Q161)&lt;0,-(R160+SUM($C161:Q161)),0)</f>
        <v>0</v>
      </c>
      <c r="S161" s="7">
        <f ca="1">IF(S160+SUM($C161:R161)&lt;0,-(S160+SUM($C161:R161)),0)</f>
        <v>0</v>
      </c>
      <c r="T161" s="7">
        <f ca="1">IF(T160+SUM($C161:S161)&lt;0,-(T160+SUM($C161:S161)),0)</f>
        <v>0</v>
      </c>
      <c r="U161" s="7">
        <f ca="1">IF(U160+SUM($C161:T161)&lt;0,-(U160+SUM($C161:T161)),0)</f>
        <v>0</v>
      </c>
      <c r="V161" s="7">
        <f ca="1">IF(V160+SUM($C161:U161)&lt;0,-(V160+SUM($C161:U161)),0)</f>
        <v>0</v>
      </c>
      <c r="W161" s="7">
        <f ca="1">IF(W160+SUM($C161:V161)&lt;0,-(W160+SUM($C161:V161)),0)</f>
        <v>0</v>
      </c>
      <c r="X161" s="7">
        <f ca="1">IF(X160+SUM($C161:W161)&lt;0,-(X160+SUM($C161:W161)),0)</f>
        <v>0</v>
      </c>
      <c r="Y161" s="7">
        <f ca="1">IF(Y160+SUM($C161:X161)&lt;0,-(Y160+SUM($C161:X161)),0)</f>
        <v>0</v>
      </c>
      <c r="Z161" s="7">
        <f ca="1">IF(Z160+SUM($C161:Y161)&lt;0,-(Z160+SUM($C161:Y161)),0)</f>
        <v>0</v>
      </c>
      <c r="AA161" s="7">
        <f ca="1">IF(AA160+SUM($C161:Z161)&lt;0,-(AA160+SUM($C161:Z161)),0)</f>
        <v>0</v>
      </c>
      <c r="AB161" s="7">
        <f ca="1">IF(AB160+SUM($C161:AA161)&lt;0,-(AB160+SUM($C161:AA161)),0)</f>
        <v>0</v>
      </c>
      <c r="AC161" s="7">
        <f ca="1">IF(AC160+SUM($C161:AB161)&lt;0,-(AC160+SUM($C161:AB161)),0)</f>
        <v>0</v>
      </c>
      <c r="AD161" s="7">
        <f ca="1">IF(AD160+SUM($C161:AC161)&lt;0,-(AD160+SUM($C161:AC161)),0)</f>
        <v>0</v>
      </c>
      <c r="AE161" s="7">
        <f ca="1">IF(AE160+SUM($C161:AD161)&lt;0,-(AE160+SUM($C161:AD161)),0)</f>
        <v>0</v>
      </c>
      <c r="AF161" s="7">
        <f ca="1">IF(AF160+SUM($C161:AE161)&lt;0,-(AF160+SUM($C161:AE161)),0)</f>
        <v>0</v>
      </c>
      <c r="AG161" s="7">
        <f ca="1">IF(AG160+SUM($C161:AF161)&lt;0,-(AG160+SUM($C161:AF161)),0)</f>
        <v>0</v>
      </c>
      <c r="AH161" s="7">
        <f ca="1">IF(AH160+SUM($C161:AG161)&lt;0,-(AH160+SUM($C161:AG161)),0)</f>
        <v>0</v>
      </c>
      <c r="AI161" s="7">
        <f ca="1">IF(AI160+SUM($C161:AH161)&lt;0,-(AI160+SUM($C161:AH161)),0)</f>
        <v>0</v>
      </c>
      <c r="AJ161" s="7">
        <f ca="1">IF(AJ160+SUM($C161:AI161)&lt;0,-(AJ160+SUM($C161:AI161)),0)</f>
        <v>0</v>
      </c>
      <c r="AK161" s="7">
        <f ca="1">IF(AK160+SUM($C161:AJ161)&lt;0,-(AK160+SUM($C161:AJ161)),0)</f>
        <v>0</v>
      </c>
      <c r="AL161" s="7">
        <f ca="1">IF(AL160+SUM($C161:AK161)&lt;0,-(AL160+SUM($C161:AK161)),0)</f>
        <v>0</v>
      </c>
      <c r="AM161" s="7">
        <f ca="1">IF(AM160+SUM($C161:AL161)&lt;0,-(AM160+SUM($C161:AL161)),0)</f>
        <v>0</v>
      </c>
    </row>
    <row r="162" spans="1:39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">
      <c r="A163" s="24" t="str">
        <f>IF(Inputs!$B$279=6,IFERROR(_xlfn.XLOOKUP($B163,Inputs!$B$280:$B$289,Inputs!$A$280:$A$289,,0,1),""),IFERROR(_xlfn.XLOOKUP($B163,Inputs!$C$280:$C$289,Inputs!$A$280:$A$289,,0,1),""))</f>
        <v>Gudja</v>
      </c>
      <c r="B163" s="26">
        <v>4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3" t="s">
        <v>22</v>
      </c>
      <c r="C164" s="7">
        <f ca="1">IFERROR(VLOOKUP($A163,$A$65:$H$94,C$1+2,FALSE),0)</f>
        <v>81995.057403059982</v>
      </c>
      <c r="D164" s="7">
        <f ca="1">C167</f>
        <v>81995.057403059982</v>
      </c>
      <c r="E164" s="7">
        <f t="shared" ref="E164:AM164" ca="1" si="153">D167</f>
        <v>84454.909125151782</v>
      </c>
      <c r="F164" s="7">
        <f t="shared" ca="1" si="153"/>
        <v>86988.556398906338</v>
      </c>
      <c r="G164" s="7">
        <f t="shared" ca="1" si="153"/>
        <v>89598.213090873527</v>
      </c>
      <c r="H164" s="7">
        <f t="shared" ca="1" si="153"/>
        <v>92286.159483599738</v>
      </c>
      <c r="I164" s="7">
        <f t="shared" ca="1" si="153"/>
        <v>95054.744268107737</v>
      </c>
      <c r="J164" s="7">
        <f t="shared" ca="1" si="153"/>
        <v>97906.386596150973</v>
      </c>
      <c r="K164" s="7">
        <f t="shared" ca="1" si="153"/>
        <v>100843.57819403551</v>
      </c>
      <c r="L164" s="7">
        <f t="shared" ca="1" si="153"/>
        <v>103868.88553985658</v>
      </c>
      <c r="M164" s="7">
        <f t="shared" ca="1" si="153"/>
        <v>106984.95210605228</v>
      </c>
      <c r="N164" s="7">
        <f t="shared" ca="1" si="153"/>
        <v>110194.50066923385</v>
      </c>
      <c r="O164" s="7">
        <f t="shared" ca="1" si="153"/>
        <v>113500.33568931087</v>
      </c>
      <c r="P164" s="7">
        <f t="shared" ca="1" si="153"/>
        <v>116905.3457599902</v>
      </c>
      <c r="Q164" s="7">
        <f t="shared" ca="1" si="153"/>
        <v>120412.5061327899</v>
      </c>
      <c r="R164" s="7">
        <f t="shared" ca="1" si="153"/>
        <v>124024.88131677359</v>
      </c>
      <c r="S164" s="7">
        <f t="shared" ca="1" si="153"/>
        <v>127745.62775627681</v>
      </c>
      <c r="T164" s="7">
        <f t="shared" ca="1" si="153"/>
        <v>131577.99658896512</v>
      </c>
      <c r="U164" s="7">
        <f t="shared" ca="1" si="153"/>
        <v>135525.33648663407</v>
      </c>
      <c r="V164" s="7">
        <f t="shared" ca="1" si="153"/>
        <v>139591.09658123308</v>
      </c>
      <c r="W164" s="7">
        <f t="shared" ca="1" si="153"/>
        <v>143778.82947867009</v>
      </c>
      <c r="X164" s="7">
        <f t="shared" ca="1" si="153"/>
        <v>148092.1943630302</v>
      </c>
      <c r="Y164" s="7">
        <f t="shared" ca="1" si="153"/>
        <v>152534.96019392111</v>
      </c>
      <c r="Z164" s="7">
        <f t="shared" ca="1" si="153"/>
        <v>157111.00899973875</v>
      </c>
      <c r="AA164" s="7">
        <f t="shared" ca="1" si="153"/>
        <v>161824.3392697309</v>
      </c>
      <c r="AB164" s="7">
        <f t="shared" ca="1" si="153"/>
        <v>166679.06944782284</v>
      </c>
      <c r="AC164" s="7">
        <f t="shared" ca="1" si="153"/>
        <v>171679.44153125753</v>
      </c>
      <c r="AD164" s="7">
        <f t="shared" ca="1" si="153"/>
        <v>176829.82477719526</v>
      </c>
      <c r="AE164" s="7">
        <f t="shared" ca="1" si="153"/>
        <v>182134.71952051111</v>
      </c>
      <c r="AF164" s="7">
        <f t="shared" ca="1" si="153"/>
        <v>187598.76110612645</v>
      </c>
      <c r="AG164" s="7">
        <f t="shared" ca="1" si="153"/>
        <v>193226.72393931024</v>
      </c>
      <c r="AH164" s="7">
        <f t="shared" ca="1" si="153"/>
        <v>199023.52565748955</v>
      </c>
      <c r="AI164" s="7">
        <f t="shared" ca="1" si="153"/>
        <v>204994.23142721422</v>
      </c>
      <c r="AJ164" s="7">
        <f t="shared" ca="1" si="153"/>
        <v>211144.05837003066</v>
      </c>
      <c r="AK164" s="7">
        <f t="shared" ca="1" si="153"/>
        <v>217478.38012113157</v>
      </c>
      <c r="AL164" s="7">
        <f t="shared" ca="1" si="153"/>
        <v>224002.73152476552</v>
      </c>
      <c r="AM164" s="7">
        <f t="shared" ca="1" si="153"/>
        <v>230722.8134705085</v>
      </c>
    </row>
    <row r="165" spans="1:39" x14ac:dyDescent="0.2">
      <c r="A165" s="3" t="s">
        <v>23</v>
      </c>
      <c r="C165" s="7">
        <f ca="1">-IF(D161&gt;0,C164,0)</f>
        <v>0</v>
      </c>
      <c r="D165" s="7">
        <f ca="1">-IF(E161&gt;0,D164,0)</f>
        <v>0</v>
      </c>
      <c r="E165" s="7">
        <f ca="1">-IF(F161&gt;0,E164,0)</f>
        <v>0</v>
      </c>
      <c r="F165" s="7">
        <f ca="1">-IF(G161&gt;0,F164,0)</f>
        <v>0</v>
      </c>
      <c r="G165" s="7">
        <f t="shared" ref="G165" ca="1" si="154">-IF(H161&gt;0,G164,0)</f>
        <v>0</v>
      </c>
      <c r="H165" s="7">
        <f t="shared" ref="H165" ca="1" si="155">-IF(I161&gt;0,H164,0)</f>
        <v>0</v>
      </c>
      <c r="I165" s="7">
        <f t="shared" ref="I165" ca="1" si="156">-IF(J161&gt;0,I164,0)</f>
        <v>0</v>
      </c>
      <c r="J165" s="7">
        <f t="shared" ref="J165" ca="1" si="157">-IF(K161&gt;0,J164,0)</f>
        <v>0</v>
      </c>
      <c r="K165" s="7">
        <f t="shared" ref="K165" ca="1" si="158">-IF(L161&gt;0,K164,0)</f>
        <v>0</v>
      </c>
      <c r="L165" s="7">
        <f t="shared" ref="L165" ca="1" si="159">-IF(M161&gt;0,L164,0)</f>
        <v>0</v>
      </c>
      <c r="M165" s="7">
        <f t="shared" ref="M165" ca="1" si="160">-IF(N161&gt;0,M164,0)</f>
        <v>0</v>
      </c>
      <c r="N165" s="7">
        <f t="shared" ref="N165" ca="1" si="161">-IF(O161&gt;0,N164,0)</f>
        <v>0</v>
      </c>
      <c r="O165" s="7">
        <f t="shared" ref="O165" ca="1" si="162">-IF(P161&gt;0,O164,0)</f>
        <v>0</v>
      </c>
      <c r="P165" s="7">
        <f t="shared" ref="P165" ca="1" si="163">-IF(Q161&gt;0,P164,0)</f>
        <v>0</v>
      </c>
      <c r="Q165" s="7">
        <f t="shared" ref="Q165" ca="1" si="164">-IF(R161&gt;0,Q164,0)</f>
        <v>0</v>
      </c>
      <c r="R165" s="7">
        <f t="shared" ref="R165" ca="1" si="165">-IF(S161&gt;0,R164,0)</f>
        <v>0</v>
      </c>
      <c r="S165" s="7">
        <f t="shared" ref="S165" ca="1" si="166">-IF(T161&gt;0,S164,0)</f>
        <v>0</v>
      </c>
      <c r="T165" s="7">
        <f t="shared" ref="T165" ca="1" si="167">-IF(U161&gt;0,T164,0)</f>
        <v>0</v>
      </c>
      <c r="U165" s="7">
        <f t="shared" ref="U165" ca="1" si="168">-IF(V161&gt;0,U164,0)</f>
        <v>0</v>
      </c>
      <c r="V165" s="7">
        <f t="shared" ref="V165" ca="1" si="169">-IF(W161&gt;0,V164,0)</f>
        <v>0</v>
      </c>
      <c r="W165" s="7">
        <f t="shared" ref="W165" ca="1" si="170">-IF(X161&gt;0,W164,0)</f>
        <v>0</v>
      </c>
      <c r="X165" s="7">
        <f t="shared" ref="X165" ca="1" si="171">-IF(Y161&gt;0,X164,0)</f>
        <v>0</v>
      </c>
      <c r="Y165" s="7">
        <f t="shared" ref="Y165" ca="1" si="172">-IF(Z161&gt;0,Y164,0)</f>
        <v>0</v>
      </c>
      <c r="Z165" s="7">
        <f t="shared" ref="Z165" ca="1" si="173">-IF(AA161&gt;0,Z164,0)</f>
        <v>0</v>
      </c>
      <c r="AA165" s="7">
        <f t="shared" ref="AA165" ca="1" si="174">-IF(AB161&gt;0,AA164,0)</f>
        <v>0</v>
      </c>
      <c r="AB165" s="7">
        <f t="shared" ref="AB165" ca="1" si="175">-IF(AC161&gt;0,AB164,0)</f>
        <v>0</v>
      </c>
      <c r="AC165" s="7">
        <f t="shared" ref="AC165" ca="1" si="176">-IF(AD161&gt;0,AC164,0)</f>
        <v>0</v>
      </c>
      <c r="AD165" s="7">
        <f t="shared" ref="AD165" ca="1" si="177">-IF(AE161&gt;0,AD164,0)</f>
        <v>0</v>
      </c>
      <c r="AE165" s="7">
        <f t="shared" ref="AE165" ca="1" si="178">-IF(AF161&gt;0,AE164,0)</f>
        <v>0</v>
      </c>
      <c r="AF165" s="7">
        <f t="shared" ref="AF165" ca="1" si="179">-IF(AG161&gt;0,AF164,0)</f>
        <v>0</v>
      </c>
      <c r="AG165" s="7">
        <f t="shared" ref="AG165" ca="1" si="180">-IF(AH161&gt;0,AG164,0)</f>
        <v>0</v>
      </c>
      <c r="AH165" s="7">
        <f t="shared" ref="AH165" ca="1" si="181">-IF(AI161&gt;0,AH164,0)</f>
        <v>0</v>
      </c>
      <c r="AI165" s="7">
        <f t="shared" ref="AI165" ca="1" si="182">-IF(AJ161&gt;0,AI164,0)</f>
        <v>0</v>
      </c>
      <c r="AJ165" s="7">
        <f t="shared" ref="AJ165" ca="1" si="183">-IF(AK161&gt;0,AJ164,0)</f>
        <v>0</v>
      </c>
      <c r="AK165" s="7">
        <f t="shared" ref="AK165" ca="1" si="184">-IF(AL161&gt;0,AK164,0)</f>
        <v>0</v>
      </c>
      <c r="AL165" s="7">
        <f t="shared" ref="AL165" ca="1" si="185">-IF(AM161&gt;0,AL164,0)</f>
        <v>0</v>
      </c>
      <c r="AM165" s="7">
        <f t="shared" ref="AM165" si="186">-IF(AN161&gt;0,AM164,0)</f>
        <v>0</v>
      </c>
    </row>
    <row r="166" spans="1:39" x14ac:dyDescent="0.2">
      <c r="A166" s="3" t="s">
        <v>24</v>
      </c>
      <c r="C166" s="7">
        <v>0</v>
      </c>
      <c r="D166" s="7">
        <f t="shared" ref="D166:AM166" ca="1" si="187">SUM(D164:D165)*VLOOKUP($A163,AssVar,2,FALSE)</f>
        <v>2459.8517220917993</v>
      </c>
      <c r="E166" s="7">
        <f t="shared" ca="1" si="187"/>
        <v>2533.6472737545532</v>
      </c>
      <c r="F166" s="7">
        <f t="shared" ca="1" si="187"/>
        <v>2609.65669196719</v>
      </c>
      <c r="G166" s="7">
        <f t="shared" ca="1" si="187"/>
        <v>2687.9463927262059</v>
      </c>
      <c r="H166" s="7">
        <f t="shared" ca="1" si="187"/>
        <v>2768.584784507992</v>
      </c>
      <c r="I166" s="7">
        <f t="shared" ca="1" si="187"/>
        <v>2851.6423280432318</v>
      </c>
      <c r="J166" s="7">
        <f t="shared" ca="1" si="187"/>
        <v>2937.1915978845291</v>
      </c>
      <c r="K166" s="7">
        <f t="shared" ca="1" si="187"/>
        <v>3025.3073458210652</v>
      </c>
      <c r="L166" s="7">
        <f t="shared" ca="1" si="187"/>
        <v>3116.0665661956973</v>
      </c>
      <c r="M166" s="7">
        <f t="shared" ca="1" si="187"/>
        <v>3209.5485631815682</v>
      </c>
      <c r="N166" s="7">
        <f t="shared" ca="1" si="187"/>
        <v>3305.8350200770155</v>
      </c>
      <c r="O166" s="7">
        <f t="shared" ca="1" si="187"/>
        <v>3405.010070679326</v>
      </c>
      <c r="P166" s="7">
        <f t="shared" ca="1" si="187"/>
        <v>3507.1603727997058</v>
      </c>
      <c r="Q166" s="7">
        <f t="shared" ca="1" si="187"/>
        <v>3612.3751839836968</v>
      </c>
      <c r="R166" s="7">
        <f t="shared" ca="1" si="187"/>
        <v>3720.7464395032075</v>
      </c>
      <c r="S166" s="7">
        <f t="shared" ca="1" si="187"/>
        <v>3832.3688326883039</v>
      </c>
      <c r="T166" s="7">
        <f t="shared" ca="1" si="187"/>
        <v>3947.3398976689537</v>
      </c>
      <c r="U166" s="7">
        <f t="shared" ca="1" si="187"/>
        <v>4065.7600945990221</v>
      </c>
      <c r="V166" s="7">
        <f t="shared" ca="1" si="187"/>
        <v>4187.7328974369921</v>
      </c>
      <c r="W166" s="7">
        <f t="shared" ca="1" si="187"/>
        <v>4313.3648843601022</v>
      </c>
      <c r="X166" s="7">
        <f t="shared" ca="1" si="187"/>
        <v>4442.7658308909058</v>
      </c>
      <c r="Y166" s="7">
        <f t="shared" ca="1" si="187"/>
        <v>4576.0488058176334</v>
      </c>
      <c r="Z166" s="7">
        <f t="shared" ca="1" si="187"/>
        <v>4713.3302699921624</v>
      </c>
      <c r="AA166" s="7">
        <f t="shared" ca="1" si="187"/>
        <v>4854.730178091927</v>
      </c>
      <c r="AB166" s="7">
        <f t="shared" ca="1" si="187"/>
        <v>5000.372083434685</v>
      </c>
      <c r="AC166" s="7">
        <f t="shared" ca="1" si="187"/>
        <v>5150.3832459377254</v>
      </c>
      <c r="AD166" s="7">
        <f t="shared" ca="1" si="187"/>
        <v>5304.8947433158573</v>
      </c>
      <c r="AE166" s="7">
        <f t="shared" ca="1" si="187"/>
        <v>5464.0415856153331</v>
      </c>
      <c r="AF166" s="7">
        <f t="shared" ca="1" si="187"/>
        <v>5627.962833183793</v>
      </c>
      <c r="AG166" s="7">
        <f t="shared" ca="1" si="187"/>
        <v>5796.8017181793066</v>
      </c>
      <c r="AH166" s="7">
        <f t="shared" ca="1" si="187"/>
        <v>5970.7057697246864</v>
      </c>
      <c r="AI166" s="7">
        <f t="shared" ca="1" si="187"/>
        <v>6149.8269428164267</v>
      </c>
      <c r="AJ166" s="7">
        <f t="shared" ca="1" si="187"/>
        <v>6334.3217511009198</v>
      </c>
      <c r="AK166" s="7">
        <f t="shared" ca="1" si="187"/>
        <v>6524.3514036339466</v>
      </c>
      <c r="AL166" s="7">
        <f t="shared" ca="1" si="187"/>
        <v>6720.0819457429652</v>
      </c>
      <c r="AM166" s="7">
        <f t="shared" ca="1" si="187"/>
        <v>6921.6844041152544</v>
      </c>
    </row>
    <row r="167" spans="1:39" x14ac:dyDescent="0.2">
      <c r="A167" s="3" t="s">
        <v>25</v>
      </c>
      <c r="C167" s="7">
        <f ca="1">SUM(C164:C166)</f>
        <v>81995.057403059982</v>
      </c>
      <c r="D167" s="7">
        <f t="shared" ref="D167:AM167" ca="1" si="188">SUM(D164:D166)</f>
        <v>84454.909125151782</v>
      </c>
      <c r="E167" s="7">
        <f t="shared" ca="1" si="188"/>
        <v>86988.556398906338</v>
      </c>
      <c r="F167" s="7">
        <f t="shared" ca="1" si="188"/>
        <v>89598.213090873527</v>
      </c>
      <c r="G167" s="7">
        <f t="shared" ca="1" si="188"/>
        <v>92286.159483599738</v>
      </c>
      <c r="H167" s="7">
        <f t="shared" ca="1" si="188"/>
        <v>95054.744268107737</v>
      </c>
      <c r="I167" s="7">
        <f t="shared" ca="1" si="188"/>
        <v>97906.386596150973</v>
      </c>
      <c r="J167" s="7">
        <f t="shared" ca="1" si="188"/>
        <v>100843.57819403551</v>
      </c>
      <c r="K167" s="7">
        <f t="shared" ca="1" si="188"/>
        <v>103868.88553985658</v>
      </c>
      <c r="L167" s="7">
        <f t="shared" ca="1" si="188"/>
        <v>106984.95210605228</v>
      </c>
      <c r="M167" s="7">
        <f t="shared" ca="1" si="188"/>
        <v>110194.50066923385</v>
      </c>
      <c r="N167" s="7">
        <f t="shared" ca="1" si="188"/>
        <v>113500.33568931087</v>
      </c>
      <c r="O167" s="7">
        <f t="shared" ca="1" si="188"/>
        <v>116905.3457599902</v>
      </c>
      <c r="P167" s="7">
        <f t="shared" ca="1" si="188"/>
        <v>120412.5061327899</v>
      </c>
      <c r="Q167" s="7">
        <f t="shared" ca="1" si="188"/>
        <v>124024.88131677359</v>
      </c>
      <c r="R167" s="7">
        <f t="shared" ca="1" si="188"/>
        <v>127745.62775627681</v>
      </c>
      <c r="S167" s="7">
        <f t="shared" ca="1" si="188"/>
        <v>131577.99658896512</v>
      </c>
      <c r="T167" s="7">
        <f t="shared" ca="1" si="188"/>
        <v>135525.33648663407</v>
      </c>
      <c r="U167" s="7">
        <f t="shared" ca="1" si="188"/>
        <v>139591.09658123308</v>
      </c>
      <c r="V167" s="7">
        <f t="shared" ca="1" si="188"/>
        <v>143778.82947867009</v>
      </c>
      <c r="W167" s="7">
        <f t="shared" ca="1" si="188"/>
        <v>148092.1943630302</v>
      </c>
      <c r="X167" s="7">
        <f t="shared" ca="1" si="188"/>
        <v>152534.96019392111</v>
      </c>
      <c r="Y167" s="7">
        <f t="shared" ca="1" si="188"/>
        <v>157111.00899973875</v>
      </c>
      <c r="Z167" s="7">
        <f t="shared" ca="1" si="188"/>
        <v>161824.3392697309</v>
      </c>
      <c r="AA167" s="7">
        <f t="shared" ca="1" si="188"/>
        <v>166679.06944782284</v>
      </c>
      <c r="AB167" s="7">
        <f t="shared" ca="1" si="188"/>
        <v>171679.44153125753</v>
      </c>
      <c r="AC167" s="7">
        <f t="shared" ca="1" si="188"/>
        <v>176829.82477719526</v>
      </c>
      <c r="AD167" s="7">
        <f t="shared" ca="1" si="188"/>
        <v>182134.71952051111</v>
      </c>
      <c r="AE167" s="7">
        <f t="shared" ca="1" si="188"/>
        <v>187598.76110612645</v>
      </c>
      <c r="AF167" s="7">
        <f t="shared" ca="1" si="188"/>
        <v>193226.72393931024</v>
      </c>
      <c r="AG167" s="7">
        <f t="shared" ca="1" si="188"/>
        <v>199023.52565748955</v>
      </c>
      <c r="AH167" s="7">
        <f t="shared" ca="1" si="188"/>
        <v>204994.23142721422</v>
      </c>
      <c r="AI167" s="7">
        <f t="shared" ca="1" si="188"/>
        <v>211144.05837003066</v>
      </c>
      <c r="AJ167" s="7">
        <f t="shared" ca="1" si="188"/>
        <v>217478.38012113157</v>
      </c>
      <c r="AK167" s="7">
        <f t="shared" ca="1" si="188"/>
        <v>224002.73152476552</v>
      </c>
      <c r="AL167" s="7">
        <f t="shared" ca="1" si="188"/>
        <v>230722.8134705085</v>
      </c>
      <c r="AM167" s="7">
        <f t="shared" ca="1" si="188"/>
        <v>237644.49787462375</v>
      </c>
    </row>
    <row r="168" spans="1:39" x14ac:dyDescent="0.2">
      <c r="A168" s="3" t="s">
        <v>26</v>
      </c>
      <c r="C168" s="7">
        <f t="shared" ref="C168:AM168" ca="1" si="189">C165*VLOOKUP($A163,AssVar,3,FALSE)</f>
        <v>0</v>
      </c>
      <c r="D168" s="7">
        <f t="shared" ca="1" si="189"/>
        <v>0</v>
      </c>
      <c r="E168" s="7">
        <f t="shared" ca="1" si="189"/>
        <v>0</v>
      </c>
      <c r="F168" s="7">
        <f t="shared" ca="1" si="189"/>
        <v>0</v>
      </c>
      <c r="G168" s="7">
        <f t="shared" ca="1" si="189"/>
        <v>0</v>
      </c>
      <c r="H168" s="7">
        <f t="shared" ca="1" si="189"/>
        <v>0</v>
      </c>
      <c r="I168" s="7">
        <f t="shared" ca="1" si="189"/>
        <v>0</v>
      </c>
      <c r="J168" s="7">
        <f t="shared" ca="1" si="189"/>
        <v>0</v>
      </c>
      <c r="K168" s="7">
        <f t="shared" ca="1" si="189"/>
        <v>0</v>
      </c>
      <c r="L168" s="7">
        <f t="shared" ca="1" si="189"/>
        <v>0</v>
      </c>
      <c r="M168" s="7">
        <f t="shared" ca="1" si="189"/>
        <v>0</v>
      </c>
      <c r="N168" s="7">
        <f t="shared" ca="1" si="189"/>
        <v>0</v>
      </c>
      <c r="O168" s="7">
        <f t="shared" ca="1" si="189"/>
        <v>0</v>
      </c>
      <c r="P168" s="7">
        <f t="shared" ca="1" si="189"/>
        <v>0</v>
      </c>
      <c r="Q168" s="7">
        <f t="shared" ca="1" si="189"/>
        <v>0</v>
      </c>
      <c r="R168" s="7">
        <f t="shared" ca="1" si="189"/>
        <v>0</v>
      </c>
      <c r="S168" s="7">
        <f t="shared" ca="1" si="189"/>
        <v>0</v>
      </c>
      <c r="T168" s="7">
        <f t="shared" ca="1" si="189"/>
        <v>0</v>
      </c>
      <c r="U168" s="7">
        <f t="shared" ca="1" si="189"/>
        <v>0</v>
      </c>
      <c r="V168" s="7">
        <f t="shared" ca="1" si="189"/>
        <v>0</v>
      </c>
      <c r="W168" s="7">
        <f t="shared" ca="1" si="189"/>
        <v>0</v>
      </c>
      <c r="X168" s="7">
        <f t="shared" ca="1" si="189"/>
        <v>0</v>
      </c>
      <c r="Y168" s="7">
        <f t="shared" ca="1" si="189"/>
        <v>0</v>
      </c>
      <c r="Z168" s="7">
        <f t="shared" ca="1" si="189"/>
        <v>0</v>
      </c>
      <c r="AA168" s="7">
        <f t="shared" ca="1" si="189"/>
        <v>0</v>
      </c>
      <c r="AB168" s="7">
        <f t="shared" ca="1" si="189"/>
        <v>0</v>
      </c>
      <c r="AC168" s="7">
        <f t="shared" ca="1" si="189"/>
        <v>0</v>
      </c>
      <c r="AD168" s="7">
        <f t="shared" ca="1" si="189"/>
        <v>0</v>
      </c>
      <c r="AE168" s="7">
        <f t="shared" ca="1" si="189"/>
        <v>0</v>
      </c>
      <c r="AF168" s="7">
        <f t="shared" ca="1" si="189"/>
        <v>0</v>
      </c>
      <c r="AG168" s="7">
        <f t="shared" ca="1" si="189"/>
        <v>0</v>
      </c>
      <c r="AH168" s="7">
        <f t="shared" ca="1" si="189"/>
        <v>0</v>
      </c>
      <c r="AI168" s="7">
        <f t="shared" ca="1" si="189"/>
        <v>0</v>
      </c>
      <c r="AJ168" s="7">
        <f t="shared" ca="1" si="189"/>
        <v>0</v>
      </c>
      <c r="AK168" s="7">
        <f t="shared" ca="1" si="189"/>
        <v>0</v>
      </c>
      <c r="AL168" s="7">
        <f t="shared" ca="1" si="189"/>
        <v>0</v>
      </c>
      <c r="AM168" s="7">
        <f t="shared" si="189"/>
        <v>0</v>
      </c>
    </row>
    <row r="169" spans="1:39" x14ac:dyDescent="0.2">
      <c r="A169" s="3" t="s">
        <v>31</v>
      </c>
      <c r="C169" s="7">
        <f t="shared" ref="C169:AM169" ca="1" si="190">IFERROR(-IF(C164=0,VLOOKUP($A163,$8:$12,C$1+2,FALSE),0),0)</f>
        <v>0</v>
      </c>
      <c r="D169" s="7">
        <f t="shared" ca="1" si="190"/>
        <v>0</v>
      </c>
      <c r="E169" s="7">
        <f t="shared" ca="1" si="190"/>
        <v>0</v>
      </c>
      <c r="F169" s="7">
        <f t="shared" ca="1" si="190"/>
        <v>0</v>
      </c>
      <c r="G169" s="7">
        <f t="shared" ca="1" si="190"/>
        <v>0</v>
      </c>
      <c r="H169" s="7">
        <f t="shared" ca="1" si="190"/>
        <v>0</v>
      </c>
      <c r="I169" s="7">
        <f t="shared" ca="1" si="190"/>
        <v>0</v>
      </c>
      <c r="J169" s="7">
        <f t="shared" ca="1" si="190"/>
        <v>0</v>
      </c>
      <c r="K169" s="7">
        <f t="shared" ca="1" si="190"/>
        <v>0</v>
      </c>
      <c r="L169" s="7">
        <f t="shared" ca="1" si="190"/>
        <v>0</v>
      </c>
      <c r="M169" s="7">
        <f t="shared" ca="1" si="190"/>
        <v>0</v>
      </c>
      <c r="N169" s="7">
        <f t="shared" ca="1" si="190"/>
        <v>0</v>
      </c>
      <c r="O169" s="7">
        <f t="shared" ca="1" si="190"/>
        <v>0</v>
      </c>
      <c r="P169" s="7">
        <f t="shared" ca="1" si="190"/>
        <v>0</v>
      </c>
      <c r="Q169" s="7">
        <f t="shared" ca="1" si="190"/>
        <v>0</v>
      </c>
      <c r="R169" s="7">
        <f t="shared" ca="1" si="190"/>
        <v>0</v>
      </c>
      <c r="S169" s="7">
        <f t="shared" ca="1" si="190"/>
        <v>0</v>
      </c>
      <c r="T169" s="7">
        <f t="shared" ca="1" si="190"/>
        <v>0</v>
      </c>
      <c r="U169" s="7">
        <f t="shared" ca="1" si="190"/>
        <v>0</v>
      </c>
      <c r="V169" s="7">
        <f t="shared" ca="1" si="190"/>
        <v>0</v>
      </c>
      <c r="W169" s="7">
        <f t="shared" ca="1" si="190"/>
        <v>0</v>
      </c>
      <c r="X169" s="7">
        <f t="shared" ca="1" si="190"/>
        <v>0</v>
      </c>
      <c r="Y169" s="7">
        <f t="shared" ca="1" si="190"/>
        <v>0</v>
      </c>
      <c r="Z169" s="7">
        <f t="shared" ca="1" si="190"/>
        <v>0</v>
      </c>
      <c r="AA169" s="7">
        <f t="shared" ca="1" si="190"/>
        <v>0</v>
      </c>
      <c r="AB169" s="7">
        <f t="shared" ca="1" si="190"/>
        <v>0</v>
      </c>
      <c r="AC169" s="7">
        <f t="shared" ca="1" si="190"/>
        <v>0</v>
      </c>
      <c r="AD169" s="7">
        <f t="shared" ca="1" si="190"/>
        <v>0</v>
      </c>
      <c r="AE169" s="7">
        <f t="shared" ca="1" si="190"/>
        <v>0</v>
      </c>
      <c r="AF169" s="7">
        <f t="shared" ca="1" si="190"/>
        <v>0</v>
      </c>
      <c r="AG169" s="7">
        <f t="shared" ca="1" si="190"/>
        <v>0</v>
      </c>
      <c r="AH169" s="7">
        <f t="shared" ca="1" si="190"/>
        <v>0</v>
      </c>
      <c r="AI169" s="7">
        <f t="shared" ca="1" si="190"/>
        <v>0</v>
      </c>
      <c r="AJ169" s="7">
        <f t="shared" ca="1" si="190"/>
        <v>0</v>
      </c>
      <c r="AK169" s="7">
        <f t="shared" ca="1" si="190"/>
        <v>0</v>
      </c>
      <c r="AL169" s="7">
        <f t="shared" ca="1" si="190"/>
        <v>0</v>
      </c>
      <c r="AM169" s="7">
        <f t="shared" ca="1" si="190"/>
        <v>0</v>
      </c>
    </row>
    <row r="170" spans="1:39" x14ac:dyDescent="0.2">
      <c r="A170" s="3" t="s">
        <v>50</v>
      </c>
      <c r="C170" s="7">
        <f t="shared" ref="C170:AM170" ca="1" si="191">IFERROR(IF(C164=0,VLOOKUP($A163,$45:$49,C$1+2,FALSE),0),0)</f>
        <v>0</v>
      </c>
      <c r="D170" s="7">
        <f t="shared" ca="1" si="191"/>
        <v>0</v>
      </c>
      <c r="E170" s="7">
        <f t="shared" ca="1" si="191"/>
        <v>0</v>
      </c>
      <c r="F170" s="7">
        <f t="shared" ca="1" si="191"/>
        <v>0</v>
      </c>
      <c r="G170" s="7">
        <f t="shared" ca="1" si="191"/>
        <v>0</v>
      </c>
      <c r="H170" s="7">
        <f t="shared" ca="1" si="191"/>
        <v>0</v>
      </c>
      <c r="I170" s="7">
        <f t="shared" ca="1" si="191"/>
        <v>0</v>
      </c>
      <c r="J170" s="7">
        <f t="shared" ca="1" si="191"/>
        <v>0</v>
      </c>
      <c r="K170" s="7">
        <f t="shared" ca="1" si="191"/>
        <v>0</v>
      </c>
      <c r="L170" s="7">
        <f t="shared" ca="1" si="191"/>
        <v>0</v>
      </c>
      <c r="M170" s="7">
        <f t="shared" ca="1" si="191"/>
        <v>0</v>
      </c>
      <c r="N170" s="7">
        <f t="shared" ca="1" si="191"/>
        <v>0</v>
      </c>
      <c r="O170" s="7">
        <f t="shared" ca="1" si="191"/>
        <v>0</v>
      </c>
      <c r="P170" s="7">
        <f t="shared" ca="1" si="191"/>
        <v>0</v>
      </c>
      <c r="Q170" s="7">
        <f t="shared" ca="1" si="191"/>
        <v>0</v>
      </c>
      <c r="R170" s="7">
        <f t="shared" ca="1" si="191"/>
        <v>0</v>
      </c>
      <c r="S170" s="7">
        <f t="shared" ca="1" si="191"/>
        <v>0</v>
      </c>
      <c r="T170" s="7">
        <f t="shared" ca="1" si="191"/>
        <v>0</v>
      </c>
      <c r="U170" s="7">
        <f t="shared" ca="1" si="191"/>
        <v>0</v>
      </c>
      <c r="V170" s="7">
        <f t="shared" ca="1" si="191"/>
        <v>0</v>
      </c>
      <c r="W170" s="7">
        <f t="shared" ca="1" si="191"/>
        <v>0</v>
      </c>
      <c r="X170" s="7">
        <f t="shared" ca="1" si="191"/>
        <v>0</v>
      </c>
      <c r="Y170" s="7">
        <f t="shared" ca="1" si="191"/>
        <v>0</v>
      </c>
      <c r="Z170" s="7">
        <f t="shared" ca="1" si="191"/>
        <v>0</v>
      </c>
      <c r="AA170" s="7">
        <f t="shared" ca="1" si="191"/>
        <v>0</v>
      </c>
      <c r="AB170" s="7">
        <f t="shared" ca="1" si="191"/>
        <v>0</v>
      </c>
      <c r="AC170" s="7">
        <f t="shared" ca="1" si="191"/>
        <v>0</v>
      </c>
      <c r="AD170" s="7">
        <f t="shared" ca="1" si="191"/>
        <v>0</v>
      </c>
      <c r="AE170" s="7">
        <f t="shared" ca="1" si="191"/>
        <v>0</v>
      </c>
      <c r="AF170" s="7">
        <f t="shared" ca="1" si="191"/>
        <v>0</v>
      </c>
      <c r="AG170" s="7">
        <f t="shared" ca="1" si="191"/>
        <v>0</v>
      </c>
      <c r="AH170" s="7">
        <f t="shared" ca="1" si="191"/>
        <v>0</v>
      </c>
      <c r="AI170" s="7">
        <f t="shared" ca="1" si="191"/>
        <v>0</v>
      </c>
      <c r="AJ170" s="7">
        <f t="shared" ca="1" si="191"/>
        <v>0</v>
      </c>
      <c r="AK170" s="7">
        <f t="shared" ca="1" si="191"/>
        <v>0</v>
      </c>
      <c r="AL170" s="7">
        <f t="shared" ca="1" si="191"/>
        <v>0</v>
      </c>
      <c r="AM170" s="7">
        <f t="shared" ca="1" si="191"/>
        <v>0</v>
      </c>
    </row>
    <row r="171" spans="1:39" x14ac:dyDescent="0.2">
      <c r="A171" s="3" t="s">
        <v>36</v>
      </c>
      <c r="B171" s="14" t="str">
        <f>A163</f>
        <v>Gudja</v>
      </c>
      <c r="C171" s="7">
        <f t="shared" ref="C171:AM171" ca="1" si="192">IF(AND(C164&gt;0,C167=0),VLOOKUP($A163,$83:$92,C$1+2,FALSE),0)</f>
        <v>0</v>
      </c>
      <c r="D171" s="7">
        <f t="shared" ca="1" si="192"/>
        <v>0</v>
      </c>
      <c r="E171" s="7">
        <f t="shared" ca="1" si="192"/>
        <v>0</v>
      </c>
      <c r="F171" s="7">
        <f t="shared" ca="1" si="192"/>
        <v>0</v>
      </c>
      <c r="G171" s="7">
        <f t="shared" ca="1" si="192"/>
        <v>0</v>
      </c>
      <c r="H171" s="7">
        <f t="shared" ca="1" si="192"/>
        <v>0</v>
      </c>
      <c r="I171" s="7">
        <f t="shared" ca="1" si="192"/>
        <v>0</v>
      </c>
      <c r="J171" s="7">
        <f t="shared" ca="1" si="192"/>
        <v>0</v>
      </c>
      <c r="K171" s="7">
        <f t="shared" ca="1" si="192"/>
        <v>0</v>
      </c>
      <c r="L171" s="7">
        <f t="shared" ca="1" si="192"/>
        <v>0</v>
      </c>
      <c r="M171" s="7">
        <f t="shared" ca="1" si="192"/>
        <v>0</v>
      </c>
      <c r="N171" s="7">
        <f t="shared" ca="1" si="192"/>
        <v>0</v>
      </c>
      <c r="O171" s="7">
        <f t="shared" ca="1" si="192"/>
        <v>0</v>
      </c>
      <c r="P171" s="7">
        <f t="shared" ca="1" si="192"/>
        <v>0</v>
      </c>
      <c r="Q171" s="7">
        <f t="shared" ca="1" si="192"/>
        <v>0</v>
      </c>
      <c r="R171" s="7">
        <f t="shared" ca="1" si="192"/>
        <v>0</v>
      </c>
      <c r="S171" s="7">
        <f t="shared" ca="1" si="192"/>
        <v>0</v>
      </c>
      <c r="T171" s="7">
        <f t="shared" ca="1" si="192"/>
        <v>0</v>
      </c>
      <c r="U171" s="7">
        <f t="shared" ca="1" si="192"/>
        <v>0</v>
      </c>
      <c r="V171" s="7">
        <f t="shared" ca="1" si="192"/>
        <v>0</v>
      </c>
      <c r="W171" s="7">
        <f t="shared" ca="1" si="192"/>
        <v>0</v>
      </c>
      <c r="X171" s="7">
        <f t="shared" ca="1" si="192"/>
        <v>0</v>
      </c>
      <c r="Y171" s="7">
        <f t="shared" ca="1" si="192"/>
        <v>0</v>
      </c>
      <c r="Z171" s="7">
        <f t="shared" ca="1" si="192"/>
        <v>0</v>
      </c>
      <c r="AA171" s="7">
        <f t="shared" ca="1" si="192"/>
        <v>0</v>
      </c>
      <c r="AB171" s="7">
        <f t="shared" ca="1" si="192"/>
        <v>0</v>
      </c>
      <c r="AC171" s="7">
        <f t="shared" ca="1" si="192"/>
        <v>0</v>
      </c>
      <c r="AD171" s="7">
        <f t="shared" ca="1" si="192"/>
        <v>0</v>
      </c>
      <c r="AE171" s="7">
        <f t="shared" ca="1" si="192"/>
        <v>0</v>
      </c>
      <c r="AF171" s="7">
        <f t="shared" ca="1" si="192"/>
        <v>0</v>
      </c>
      <c r="AG171" s="7">
        <f t="shared" ca="1" si="192"/>
        <v>0</v>
      </c>
      <c r="AH171" s="7">
        <f t="shared" ca="1" si="192"/>
        <v>0</v>
      </c>
      <c r="AI171" s="7">
        <f t="shared" ca="1" si="192"/>
        <v>0</v>
      </c>
      <c r="AJ171" s="7">
        <f t="shared" ca="1" si="192"/>
        <v>0</v>
      </c>
      <c r="AK171" s="7">
        <f t="shared" ca="1" si="192"/>
        <v>0</v>
      </c>
      <c r="AL171" s="7">
        <f t="shared" ca="1" si="192"/>
        <v>0</v>
      </c>
      <c r="AM171" s="7">
        <f t="shared" ca="1" si="192"/>
        <v>0</v>
      </c>
    </row>
    <row r="172" spans="1:39" x14ac:dyDescent="0.2">
      <c r="A172" s="3" t="s">
        <v>37</v>
      </c>
      <c r="C172" s="7">
        <f ca="1">-C165+SUM(C168:C171)</f>
        <v>0</v>
      </c>
      <c r="D172" s="7">
        <f t="shared" ref="D172" ca="1" si="193">-D165+SUM(D168:D171)</f>
        <v>0</v>
      </c>
      <c r="E172" s="7">
        <f t="shared" ref="E172:AM172" ca="1" si="194">-E165+SUM(E168:E171)</f>
        <v>0</v>
      </c>
      <c r="F172" s="7">
        <f t="shared" ca="1" si="194"/>
        <v>0</v>
      </c>
      <c r="G172" s="7">
        <f t="shared" ca="1" si="194"/>
        <v>0</v>
      </c>
      <c r="H172" s="7">
        <f t="shared" ca="1" si="194"/>
        <v>0</v>
      </c>
      <c r="I172" s="7">
        <f t="shared" ca="1" si="194"/>
        <v>0</v>
      </c>
      <c r="J172" s="7">
        <f t="shared" ca="1" si="194"/>
        <v>0</v>
      </c>
      <c r="K172" s="7">
        <f t="shared" ca="1" si="194"/>
        <v>0</v>
      </c>
      <c r="L172" s="7">
        <f t="shared" ca="1" si="194"/>
        <v>0</v>
      </c>
      <c r="M172" s="7">
        <f t="shared" ca="1" si="194"/>
        <v>0</v>
      </c>
      <c r="N172" s="7">
        <f t="shared" ca="1" si="194"/>
        <v>0</v>
      </c>
      <c r="O172" s="7">
        <f t="shared" ca="1" si="194"/>
        <v>0</v>
      </c>
      <c r="P172" s="7">
        <f t="shared" ca="1" si="194"/>
        <v>0</v>
      </c>
      <c r="Q172" s="7">
        <f t="shared" ca="1" si="194"/>
        <v>0</v>
      </c>
      <c r="R172" s="7">
        <f t="shared" ca="1" si="194"/>
        <v>0</v>
      </c>
      <c r="S172" s="7">
        <f t="shared" ca="1" si="194"/>
        <v>0</v>
      </c>
      <c r="T172" s="7">
        <f t="shared" ca="1" si="194"/>
        <v>0</v>
      </c>
      <c r="U172" s="7">
        <f t="shared" ca="1" si="194"/>
        <v>0</v>
      </c>
      <c r="V172" s="7">
        <f t="shared" ca="1" si="194"/>
        <v>0</v>
      </c>
      <c r="W172" s="7">
        <f t="shared" ca="1" si="194"/>
        <v>0</v>
      </c>
      <c r="X172" s="7">
        <f t="shared" ca="1" si="194"/>
        <v>0</v>
      </c>
      <c r="Y172" s="7">
        <f t="shared" ca="1" si="194"/>
        <v>0</v>
      </c>
      <c r="Z172" s="7">
        <f t="shared" ca="1" si="194"/>
        <v>0</v>
      </c>
      <c r="AA172" s="7">
        <f t="shared" ca="1" si="194"/>
        <v>0</v>
      </c>
      <c r="AB172" s="7">
        <f t="shared" ca="1" si="194"/>
        <v>0</v>
      </c>
      <c r="AC172" s="7">
        <f t="shared" ca="1" si="194"/>
        <v>0</v>
      </c>
      <c r="AD172" s="7">
        <f t="shared" ca="1" si="194"/>
        <v>0</v>
      </c>
      <c r="AE172" s="7">
        <f t="shared" ca="1" si="194"/>
        <v>0</v>
      </c>
      <c r="AF172" s="7">
        <f t="shared" ca="1" si="194"/>
        <v>0</v>
      </c>
      <c r="AG172" s="7">
        <f t="shared" ca="1" si="194"/>
        <v>0</v>
      </c>
      <c r="AH172" s="7">
        <f t="shared" ca="1" si="194"/>
        <v>0</v>
      </c>
      <c r="AI172" s="7">
        <f t="shared" ca="1" si="194"/>
        <v>0</v>
      </c>
      <c r="AJ172" s="7">
        <f t="shared" ca="1" si="194"/>
        <v>0</v>
      </c>
      <c r="AK172" s="7">
        <f t="shared" ca="1" si="194"/>
        <v>0</v>
      </c>
      <c r="AL172" s="7">
        <f t="shared" ca="1" si="194"/>
        <v>0</v>
      </c>
      <c r="AM172" s="7">
        <f t="shared" ca="1" si="194"/>
        <v>0</v>
      </c>
    </row>
    <row r="173" spans="1:39" x14ac:dyDescent="0.2">
      <c r="A173" s="3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x14ac:dyDescent="0.2">
      <c r="A174" s="3" t="s">
        <v>71</v>
      </c>
      <c r="C174" s="7">
        <f ca="1">C160+SUM($C172:C172)</f>
        <v>12809.375000000015</v>
      </c>
      <c r="D174" s="7">
        <f ca="1">D160+SUM($C172:D172)</f>
        <v>24162.215625000026</v>
      </c>
      <c r="E174" s="7">
        <f ca="1">E160+SUM($C172:E172)</f>
        <v>41813.279140625047</v>
      </c>
      <c r="F174" s="7">
        <f ca="1">F160+SUM($C172:F172)</f>
        <v>41803.568657505195</v>
      </c>
      <c r="G174" s="7">
        <f ca="1">G160+SUM($C172:G172)</f>
        <v>73524.627177360788</v>
      </c>
      <c r="H174" s="7">
        <f ca="1">H160+SUM($C172:H172)</f>
        <v>111945.76563583669</v>
      </c>
      <c r="I174" s="7">
        <f ca="1">I160+SUM($C172:I172)</f>
        <v>179058.63493181192</v>
      </c>
      <c r="J174" s="7">
        <f ca="1">J160+SUM($C172:J172)</f>
        <v>250182.50067145552</v>
      </c>
      <c r="K174" s="7">
        <f ca="1">K160+SUM($C172:K172)</f>
        <v>308095.70278366783</v>
      </c>
      <c r="L174" s="7">
        <f ca="1">L160+SUM($C172:L172)</f>
        <v>453640.47280939861</v>
      </c>
      <c r="M174" s="7">
        <f ca="1">M160+SUM($C172:M172)</f>
        <v>510683.42164108111</v>
      </c>
      <c r="N174" s="7">
        <f ca="1">N160+SUM($C172:N172)</f>
        <v>621525.85327123245</v>
      </c>
      <c r="O174" s="7">
        <f ca="1">O160+SUM($C172:O172)</f>
        <v>738362.94313265686</v>
      </c>
      <c r="P174" s="7">
        <f ca="1">P160+SUM($C172:P172)</f>
        <v>861449.23653079802</v>
      </c>
      <c r="Q174" s="7">
        <f ca="1">Q160+SUM($C172:Q172)</f>
        <v>991048.98204238666</v>
      </c>
      <c r="R174" s="7">
        <f ca="1">R160+SUM($C172:R172)</f>
        <v>1127436.4792682112</v>
      </c>
      <c r="S174" s="7">
        <f ca="1">S160+SUM($C172:S172)</f>
        <v>1270896.4385593834</v>
      </c>
      <c r="T174" s="7">
        <f ca="1">T160+SUM($C172:T172)</f>
        <v>1312493.9107349962</v>
      </c>
      <c r="U174" s="7">
        <f ca="1">U160+SUM($C172:U172)</f>
        <v>1363530.8459680481</v>
      </c>
      <c r="V174" s="7">
        <f ca="1">V160+SUM($C172:V172)</f>
        <v>1416566.1280568431</v>
      </c>
      <c r="W174" s="7">
        <f ca="1">W160+SUM($C172:W172)</f>
        <v>1471676.7180232967</v>
      </c>
      <c r="X174" s="7">
        <f ca="1">X160+SUM($C172:X172)</f>
        <v>1528942.4442265448</v>
      </c>
      <c r="Y174" s="7">
        <f ca="1">Y160+SUM($C172:Y172)</f>
        <v>1567529.0131961552</v>
      </c>
      <c r="Z174" s="7">
        <f ca="1">Z160+SUM($C172:Z172)</f>
        <v>1607393.5393787338</v>
      </c>
      <c r="AA174" s="7">
        <f ca="1">AA160+SUM($C172:AA172)</f>
        <v>1648585.8680630873</v>
      </c>
      <c r="AB174" s="7">
        <f ca="1">AB160+SUM($C172:AB172)</f>
        <v>1691157.8400002168</v>
      </c>
      <c r="AC174" s="7">
        <f ca="1">AC160+SUM($C172:AC172)</f>
        <v>1735163.3690807538</v>
      </c>
      <c r="AD174" s="7">
        <f ca="1">AD160+SUM($C172:AD172)</f>
        <v>1780658.5229208304</v>
      </c>
      <c r="AE174" s="7">
        <f ca="1">AE160+SUM($C172:AE172)</f>
        <v>1837808.8624938719</v>
      </c>
      <c r="AF174" s="7">
        <f ca="1">AF160+SUM($C172:AF172)</f>
        <v>1897073.1235563438</v>
      </c>
      <c r="AG174" s="7">
        <f ca="1">AG160+SUM($C172:AG172)</f>
        <v>1958533.3002031124</v>
      </c>
      <c r="AH174" s="7">
        <f ca="1">AH160+SUM($C172:AH172)</f>
        <v>2022274.5255423354</v>
      </c>
      <c r="AI174" s="7">
        <f ca="1">AI160+SUM($C172:AI172)</f>
        <v>2088385.1882151016</v>
      </c>
      <c r="AJ174" s="7">
        <f ca="1">AJ160+SUM($C172:AJ172)</f>
        <v>2156957.0531036272</v>
      </c>
      <c r="AK174" s="7">
        <f ca="1">AK160+SUM($C172:AK172)</f>
        <v>2228085.3863743474</v>
      </c>
      <c r="AL174" s="7">
        <f ca="1">AL160+SUM($C172:AL172)</f>
        <v>2301869.0850072289</v>
      </c>
      <c r="AM174" s="7">
        <f ca="1">AM160+SUM($C172:AM172)</f>
        <v>2378410.8109677895</v>
      </c>
    </row>
    <row r="175" spans="1:39" x14ac:dyDescent="0.2">
      <c r="A175" s="3" t="s">
        <v>68</v>
      </c>
      <c r="C175" s="7">
        <f t="shared" ref="C175:AM175" ca="1" si="195">MAX(C174+buffer,0)-MAX(C160+buffer,0)</f>
        <v>0</v>
      </c>
      <c r="D175" s="7">
        <f t="shared" ca="1" si="195"/>
        <v>0</v>
      </c>
      <c r="E175" s="7">
        <f t="shared" ca="1" si="195"/>
        <v>0</v>
      </c>
      <c r="F175" s="7">
        <f t="shared" ca="1" si="195"/>
        <v>0</v>
      </c>
      <c r="G175" s="7">
        <f t="shared" ca="1" si="195"/>
        <v>0</v>
      </c>
      <c r="H175" s="7">
        <f t="shared" ca="1" si="195"/>
        <v>0</v>
      </c>
      <c r="I175" s="7">
        <f t="shared" ca="1" si="195"/>
        <v>0</v>
      </c>
      <c r="J175" s="7">
        <f t="shared" ca="1" si="195"/>
        <v>0</v>
      </c>
      <c r="K175" s="7">
        <f t="shared" ca="1" si="195"/>
        <v>0</v>
      </c>
      <c r="L175" s="7">
        <f t="shared" ca="1" si="195"/>
        <v>0</v>
      </c>
      <c r="M175" s="7">
        <f t="shared" ca="1" si="195"/>
        <v>0</v>
      </c>
      <c r="N175" s="7">
        <f t="shared" ca="1" si="195"/>
        <v>0</v>
      </c>
      <c r="O175" s="7">
        <f t="shared" ca="1" si="195"/>
        <v>0</v>
      </c>
      <c r="P175" s="7">
        <f t="shared" ca="1" si="195"/>
        <v>0</v>
      </c>
      <c r="Q175" s="7">
        <f t="shared" ca="1" si="195"/>
        <v>0</v>
      </c>
      <c r="R175" s="7">
        <f t="shared" ca="1" si="195"/>
        <v>0</v>
      </c>
      <c r="S175" s="7">
        <f t="shared" ca="1" si="195"/>
        <v>0</v>
      </c>
      <c r="T175" s="7">
        <f t="shared" ca="1" si="195"/>
        <v>0</v>
      </c>
      <c r="U175" s="7">
        <f t="shared" ca="1" si="195"/>
        <v>0</v>
      </c>
      <c r="V175" s="7">
        <f t="shared" ca="1" si="195"/>
        <v>0</v>
      </c>
      <c r="W175" s="7">
        <f t="shared" ca="1" si="195"/>
        <v>0</v>
      </c>
      <c r="X175" s="7">
        <f t="shared" ca="1" si="195"/>
        <v>0</v>
      </c>
      <c r="Y175" s="7">
        <f t="shared" ca="1" si="195"/>
        <v>0</v>
      </c>
      <c r="Z175" s="7">
        <f t="shared" ca="1" si="195"/>
        <v>0</v>
      </c>
      <c r="AA175" s="7">
        <f t="shared" ca="1" si="195"/>
        <v>0</v>
      </c>
      <c r="AB175" s="7">
        <f t="shared" ca="1" si="195"/>
        <v>0</v>
      </c>
      <c r="AC175" s="7">
        <f t="shared" ca="1" si="195"/>
        <v>0</v>
      </c>
      <c r="AD175" s="7">
        <f t="shared" ca="1" si="195"/>
        <v>0</v>
      </c>
      <c r="AE175" s="7">
        <f t="shared" ca="1" si="195"/>
        <v>0</v>
      </c>
      <c r="AF175" s="7">
        <f t="shared" ca="1" si="195"/>
        <v>0</v>
      </c>
      <c r="AG175" s="7">
        <f t="shared" ca="1" si="195"/>
        <v>0</v>
      </c>
      <c r="AH175" s="7">
        <f t="shared" ca="1" si="195"/>
        <v>0</v>
      </c>
      <c r="AI175" s="7">
        <f t="shared" ca="1" si="195"/>
        <v>0</v>
      </c>
      <c r="AJ175" s="7">
        <f t="shared" ca="1" si="195"/>
        <v>0</v>
      </c>
      <c r="AK175" s="7">
        <f t="shared" ca="1" si="195"/>
        <v>0</v>
      </c>
      <c r="AL175" s="7">
        <f t="shared" ca="1" si="195"/>
        <v>0</v>
      </c>
      <c r="AM175" s="7">
        <f t="shared" ca="1" si="195"/>
        <v>0</v>
      </c>
    </row>
    <row r="176" spans="1:39" x14ac:dyDescent="0.2">
      <c r="A176" s="3" t="s">
        <v>69</v>
      </c>
      <c r="C176" s="7">
        <f ca="1">C175*Inputs!$B$259</f>
        <v>0</v>
      </c>
      <c r="D176" s="7">
        <f ca="1">D175*Inputs!$B$259</f>
        <v>0</v>
      </c>
      <c r="E176" s="7">
        <f ca="1">E175*Inputs!$B$259</f>
        <v>0</v>
      </c>
      <c r="F176" s="7">
        <f ca="1">F175*Inputs!$B$259</f>
        <v>0</v>
      </c>
      <c r="G176" s="7">
        <f ca="1">G175*Inputs!$B$259</f>
        <v>0</v>
      </c>
      <c r="H176" s="7">
        <f ca="1">H175*Inputs!$B$259</f>
        <v>0</v>
      </c>
      <c r="I176" s="7">
        <f ca="1">I175*Inputs!$B$259</f>
        <v>0</v>
      </c>
      <c r="J176" s="7">
        <f ca="1">J175*Inputs!$B$259</f>
        <v>0</v>
      </c>
      <c r="K176" s="7">
        <f ca="1">K175*Inputs!$B$259</f>
        <v>0</v>
      </c>
      <c r="L176" s="7">
        <f ca="1">L175*Inputs!$B$259</f>
        <v>0</v>
      </c>
      <c r="M176" s="7">
        <f ca="1">M175*Inputs!$B$259</f>
        <v>0</v>
      </c>
      <c r="N176" s="7">
        <f ca="1">N175*Inputs!$B$259</f>
        <v>0</v>
      </c>
      <c r="O176" s="7">
        <f ca="1">O175*Inputs!$B$259</f>
        <v>0</v>
      </c>
      <c r="P176" s="7">
        <f ca="1">P175*Inputs!$B$259</f>
        <v>0</v>
      </c>
      <c r="Q176" s="7">
        <f ca="1">Q175*Inputs!$B$259</f>
        <v>0</v>
      </c>
      <c r="R176" s="7">
        <f ca="1">R175*Inputs!$B$259</f>
        <v>0</v>
      </c>
      <c r="S176" s="7">
        <f ca="1">S175*Inputs!$B$259</f>
        <v>0</v>
      </c>
      <c r="T176" s="7">
        <f ca="1">T175*Inputs!$B$259</f>
        <v>0</v>
      </c>
      <c r="U176" s="7">
        <f ca="1">U175*Inputs!$B$259</f>
        <v>0</v>
      </c>
      <c r="V176" s="7">
        <f ca="1">V175*Inputs!$B$259</f>
        <v>0</v>
      </c>
      <c r="W176" s="7">
        <f ca="1">W175*Inputs!$B$259</f>
        <v>0</v>
      </c>
      <c r="X176" s="7">
        <f ca="1">X175*Inputs!$B$259</f>
        <v>0</v>
      </c>
      <c r="Y176" s="7">
        <f ca="1">Y175*Inputs!$B$259</f>
        <v>0</v>
      </c>
      <c r="Z176" s="7">
        <f ca="1">Z175*Inputs!$B$259</f>
        <v>0</v>
      </c>
      <c r="AA176" s="7">
        <f ca="1">AA175*Inputs!$B$259</f>
        <v>0</v>
      </c>
      <c r="AB176" s="7">
        <f ca="1">AB175*Inputs!$B$259</f>
        <v>0</v>
      </c>
      <c r="AC176" s="7">
        <f ca="1">AC175*Inputs!$B$259</f>
        <v>0</v>
      </c>
      <c r="AD176" s="7">
        <f ca="1">AD175*Inputs!$B$259</f>
        <v>0</v>
      </c>
      <c r="AE176" s="7">
        <f ca="1">AE175*Inputs!$B$259</f>
        <v>0</v>
      </c>
      <c r="AF176" s="7">
        <f ca="1">AF175*Inputs!$B$259</f>
        <v>0</v>
      </c>
      <c r="AG176" s="7">
        <f ca="1">AG175*Inputs!$B$259</f>
        <v>0</v>
      </c>
      <c r="AH176" s="7">
        <f ca="1">AH175*Inputs!$B$259</f>
        <v>0</v>
      </c>
      <c r="AI176" s="7">
        <f ca="1">AI175*Inputs!$B$259</f>
        <v>0</v>
      </c>
      <c r="AJ176" s="7">
        <f ca="1">AJ175*Inputs!$B$259</f>
        <v>0</v>
      </c>
      <c r="AK176" s="7">
        <f ca="1">AK175*Inputs!$B$259</f>
        <v>0</v>
      </c>
      <c r="AL176" s="7">
        <f ca="1">AL175*Inputs!$B$259</f>
        <v>0</v>
      </c>
      <c r="AM176" s="7">
        <f ca="1">AM175*Inputs!$B$259</f>
        <v>0</v>
      </c>
    </row>
    <row r="177" spans="1:39" x14ac:dyDescent="0.2">
      <c r="A177" s="3" t="s">
        <v>150</v>
      </c>
      <c r="C177" s="7">
        <f ca="1">C174+SUM($C176:C176)</f>
        <v>12809.375000000015</v>
      </c>
      <c r="D177" s="7">
        <f ca="1">D174+SUM($C176:D176)</f>
        <v>24162.215625000026</v>
      </c>
      <c r="E177" s="7">
        <f ca="1">E174+SUM($C176:E176)</f>
        <v>41813.279140625047</v>
      </c>
      <c r="F177" s="7">
        <f ca="1">F174+SUM($C176:F176)</f>
        <v>41803.568657505195</v>
      </c>
      <c r="G177" s="7">
        <f ca="1">G174+SUM($C176:G176)</f>
        <v>73524.627177360788</v>
      </c>
      <c r="H177" s="7">
        <f ca="1">H174+SUM($C176:H176)</f>
        <v>111945.76563583669</v>
      </c>
      <c r="I177" s="7">
        <f ca="1">I174+SUM($C176:I176)</f>
        <v>179058.63493181192</v>
      </c>
      <c r="J177" s="7">
        <f ca="1">J174+SUM($C176:J176)</f>
        <v>250182.50067145552</v>
      </c>
      <c r="K177" s="7">
        <f ca="1">K174+SUM($C176:K176)</f>
        <v>308095.70278366783</v>
      </c>
      <c r="L177" s="7">
        <f ca="1">L174+SUM($C176:L176)</f>
        <v>453640.47280939861</v>
      </c>
      <c r="M177" s="7">
        <f ca="1">M174+SUM($C176:M176)</f>
        <v>510683.42164108111</v>
      </c>
      <c r="N177" s="7">
        <f ca="1">N174+SUM($C176:N176)</f>
        <v>621525.85327123245</v>
      </c>
      <c r="O177" s="7">
        <f ca="1">O174+SUM($C176:O176)</f>
        <v>738362.94313265686</v>
      </c>
      <c r="P177" s="7">
        <f ca="1">P174+SUM($C176:P176)</f>
        <v>861449.23653079802</v>
      </c>
      <c r="Q177" s="7">
        <f ca="1">Q174+SUM($C176:Q176)</f>
        <v>991048.98204238666</v>
      </c>
      <c r="R177" s="7">
        <f ca="1">R174+SUM($C176:R176)</f>
        <v>1127436.4792682112</v>
      </c>
      <c r="S177" s="7">
        <f ca="1">S174+SUM($C176:S176)</f>
        <v>1270896.4385593834</v>
      </c>
      <c r="T177" s="7">
        <f ca="1">T174+SUM($C176:T176)</f>
        <v>1312493.9107349962</v>
      </c>
      <c r="U177" s="7">
        <f ca="1">U174+SUM($C176:U176)</f>
        <v>1363530.8459680481</v>
      </c>
      <c r="V177" s="7">
        <f ca="1">V174+SUM($C176:V176)</f>
        <v>1416566.1280568431</v>
      </c>
      <c r="W177" s="7">
        <f ca="1">W174+SUM($C176:W176)</f>
        <v>1471676.7180232967</v>
      </c>
      <c r="X177" s="7">
        <f ca="1">X174+SUM($C176:X176)</f>
        <v>1528942.4442265448</v>
      </c>
      <c r="Y177" s="7">
        <f ca="1">Y174+SUM($C176:Y176)</f>
        <v>1567529.0131961552</v>
      </c>
      <c r="Z177" s="7">
        <f ca="1">Z174+SUM($C176:Z176)</f>
        <v>1607393.5393787338</v>
      </c>
      <c r="AA177" s="7">
        <f ca="1">AA174+SUM($C176:AA176)</f>
        <v>1648585.8680630873</v>
      </c>
      <c r="AB177" s="7">
        <f ca="1">AB174+SUM($C176:AB176)</f>
        <v>1691157.8400002168</v>
      </c>
      <c r="AC177" s="7">
        <f ca="1">AC174+SUM($C176:AC176)</f>
        <v>1735163.3690807538</v>
      </c>
      <c r="AD177" s="7">
        <f ca="1">AD174+SUM($C176:AD176)</f>
        <v>1780658.5229208304</v>
      </c>
      <c r="AE177" s="7">
        <f ca="1">AE174+SUM($C176:AE176)</f>
        <v>1837808.8624938719</v>
      </c>
      <c r="AF177" s="7">
        <f ca="1">AF174+SUM($C176:AF176)</f>
        <v>1897073.1235563438</v>
      </c>
      <c r="AG177" s="7">
        <f ca="1">AG174+SUM($C176:AG176)</f>
        <v>1958533.3002031124</v>
      </c>
      <c r="AH177" s="7">
        <f ca="1">AH174+SUM($C176:AH176)</f>
        <v>2022274.5255423354</v>
      </c>
      <c r="AI177" s="7">
        <f ca="1">AI174+SUM($C176:AI176)</f>
        <v>2088385.1882151016</v>
      </c>
      <c r="AJ177" s="7">
        <f ca="1">AJ174+SUM($C176:AJ176)</f>
        <v>2156957.0531036272</v>
      </c>
      <c r="AK177" s="7">
        <f ca="1">AK174+SUM($C176:AK176)</f>
        <v>2228085.3863743474</v>
      </c>
      <c r="AL177" s="7">
        <f ca="1">AL174+SUM($C176:AL176)</f>
        <v>2301869.0850072289</v>
      </c>
      <c r="AM177" s="7">
        <f ca="1">AM174+SUM($C176:AM176)</f>
        <v>2378410.8109677895</v>
      </c>
    </row>
    <row r="178" spans="1:39" x14ac:dyDescent="0.2">
      <c r="A178" s="3" t="s">
        <v>20</v>
      </c>
      <c r="C178" s="7">
        <f ca="1">IF(C177&lt;0,-C177,0)</f>
        <v>0</v>
      </c>
      <c r="D178" s="7">
        <f ca="1">IF(D177+SUM($C178:C178)&lt;0,-(D177+SUM($C178:C178)),0)</f>
        <v>0</v>
      </c>
      <c r="E178" s="7">
        <f ca="1">IF(E177+SUM($C178:D178)&lt;0,-(E177+SUM($C178:D178)),0)</f>
        <v>0</v>
      </c>
      <c r="F178" s="7">
        <f ca="1">IF(F177+SUM($C178:E178)&lt;0,-(F177+SUM($C178:E178)),0)</f>
        <v>0</v>
      </c>
      <c r="G178" s="7">
        <f ca="1">IF(G177+SUM($C178:F178)&lt;0,-(G177+SUM($C178:F178)),0)</f>
        <v>0</v>
      </c>
      <c r="H178" s="7">
        <f ca="1">IF(H177+SUM($C178:G178)&lt;0,-(H177+SUM($C178:G178)),0)</f>
        <v>0</v>
      </c>
      <c r="I178" s="7">
        <f ca="1">IF(I177+SUM($C178:H178)&lt;0,-(I177+SUM($C178:H178)),0)</f>
        <v>0</v>
      </c>
      <c r="J178" s="7">
        <f ca="1">IF(J177+SUM($C178:I178)&lt;0,-(J177+SUM($C178:I178)),0)</f>
        <v>0</v>
      </c>
      <c r="K178" s="7">
        <f ca="1">IF(K177+SUM($C178:J178)&lt;0,-(K177+SUM($C178:J178)),0)</f>
        <v>0</v>
      </c>
      <c r="L178" s="7">
        <f ca="1">IF(L177+SUM($C178:K178)&lt;0,-(L177+SUM($C178:K178)),0)</f>
        <v>0</v>
      </c>
      <c r="M178" s="7">
        <f ca="1">IF(M177+SUM($C178:L178)&lt;0,-(M177+SUM($C178:L178)),0)</f>
        <v>0</v>
      </c>
      <c r="N178" s="7">
        <f ca="1">IF(N177+SUM($C178:M178)&lt;0,-(N177+SUM($C178:M178)),0)</f>
        <v>0</v>
      </c>
      <c r="O178" s="7">
        <f ca="1">IF(O177+SUM($C178:N178)&lt;0,-(O177+SUM($C178:N178)),0)</f>
        <v>0</v>
      </c>
      <c r="P178" s="7">
        <f ca="1">IF(P177+SUM($C178:O178)&lt;0,-(P177+SUM($C178:O178)),0)</f>
        <v>0</v>
      </c>
      <c r="Q178" s="7">
        <f ca="1">IF(Q177+SUM($C178:P178)&lt;0,-(Q177+SUM($C178:P178)),0)</f>
        <v>0</v>
      </c>
      <c r="R178" s="7">
        <f ca="1">IF(R177+SUM($C178:Q178)&lt;0,-(R177+SUM($C178:Q178)),0)</f>
        <v>0</v>
      </c>
      <c r="S178" s="7">
        <f ca="1">IF(S177+SUM($C178:R178)&lt;0,-(S177+SUM($C178:R178)),0)</f>
        <v>0</v>
      </c>
      <c r="T178" s="7">
        <f ca="1">IF(T177+SUM($C178:S178)&lt;0,-(T177+SUM($C178:S178)),0)</f>
        <v>0</v>
      </c>
      <c r="U178" s="7">
        <f ca="1">IF(U177+SUM($C178:T178)&lt;0,-(U177+SUM($C178:T178)),0)</f>
        <v>0</v>
      </c>
      <c r="V178" s="7">
        <f ca="1">IF(V177+SUM($C178:U178)&lt;0,-(V177+SUM($C178:U178)),0)</f>
        <v>0</v>
      </c>
      <c r="W178" s="7">
        <f ca="1">IF(W177+SUM($C178:V178)&lt;0,-(W177+SUM($C178:V178)),0)</f>
        <v>0</v>
      </c>
      <c r="X178" s="7">
        <f ca="1">IF(X177+SUM($C178:W178)&lt;0,-(X177+SUM($C178:W178)),0)</f>
        <v>0</v>
      </c>
      <c r="Y178" s="7">
        <f ca="1">IF(Y177+SUM($C178:X178)&lt;0,-(Y177+SUM($C178:X178)),0)</f>
        <v>0</v>
      </c>
      <c r="Z178" s="7">
        <f ca="1">IF(Z177+SUM($C178:Y178)&lt;0,-(Z177+SUM($C178:Y178)),0)</f>
        <v>0</v>
      </c>
      <c r="AA178" s="7">
        <f ca="1">IF(AA177+SUM($C178:Z178)&lt;0,-(AA177+SUM($C178:Z178)),0)</f>
        <v>0</v>
      </c>
      <c r="AB178" s="7">
        <f ca="1">IF(AB177+SUM($C178:AA178)&lt;0,-(AB177+SUM($C178:AA178)),0)</f>
        <v>0</v>
      </c>
      <c r="AC178" s="7">
        <f ca="1">IF(AC177+SUM($C178:AB178)&lt;0,-(AC177+SUM($C178:AB178)),0)</f>
        <v>0</v>
      </c>
      <c r="AD178" s="7">
        <f ca="1">IF(AD177+SUM($C178:AC178)&lt;0,-(AD177+SUM($C178:AC178)),0)</f>
        <v>0</v>
      </c>
      <c r="AE178" s="7">
        <f ca="1">IF(AE177+SUM($C178:AD178)&lt;0,-(AE177+SUM($C178:AD178)),0)</f>
        <v>0</v>
      </c>
      <c r="AF178" s="7">
        <f ca="1">IF(AF177+SUM($C178:AE178)&lt;0,-(AF177+SUM($C178:AE178)),0)</f>
        <v>0</v>
      </c>
      <c r="AG178" s="7">
        <f ca="1">IF(AG177+SUM($C178:AF178)&lt;0,-(AG177+SUM($C178:AF178)),0)</f>
        <v>0</v>
      </c>
      <c r="AH178" s="7">
        <f ca="1">IF(AH177+SUM($C178:AG178)&lt;0,-(AH177+SUM($C178:AG178)),0)</f>
        <v>0</v>
      </c>
      <c r="AI178" s="7">
        <f ca="1">IF(AI177+SUM($C178:AH178)&lt;0,-(AI177+SUM($C178:AH178)),0)</f>
        <v>0</v>
      </c>
      <c r="AJ178" s="7">
        <f ca="1">IF(AJ177+SUM($C178:AI178)&lt;0,-(AJ177+SUM($C178:AI178)),0)</f>
        <v>0</v>
      </c>
      <c r="AK178" s="7">
        <f ca="1">IF(AK177+SUM($C178:AJ178)&lt;0,-(AK177+SUM($C178:AJ178)),0)</f>
        <v>0</v>
      </c>
      <c r="AL178" s="7">
        <f ca="1">IF(AL177+SUM($C178:AK178)&lt;0,-(AL177+SUM($C178:AK178)),0)</f>
        <v>0</v>
      </c>
      <c r="AM178" s="7">
        <f ca="1">IF(AM177+SUM($C178:AL178)&lt;0,-(AM177+SUM($C178:AL178)),0)</f>
        <v>0</v>
      </c>
    </row>
    <row r="179" spans="1:39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24" t="str">
        <f>IF(Inputs!$B$279=6,IFERROR(_xlfn.XLOOKUP($B180,Inputs!$B$280:$B$289,Inputs!$A$280:$A$289,,0,1),""),IFERROR(_xlfn.XLOOKUP($B180,Inputs!$C$280:$C$289,Inputs!$A$280:$A$289,,0,1),""))</f>
        <v>Antiques</v>
      </c>
      <c r="B180" s="26">
        <v>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">
      <c r="A181" s="3" t="s">
        <v>22</v>
      </c>
      <c r="C181" s="7">
        <f ca="1">IFERROR(VLOOKUP($A180,$A$65:$H$94,C$1+2,FALSE),0)</f>
        <v>83364.406415412173</v>
      </c>
      <c r="D181" s="7">
        <f ca="1">C184</f>
        <v>83364.406415412173</v>
      </c>
      <c r="E181" s="7">
        <f t="shared" ref="E181" ca="1" si="196">D184</f>
        <v>85031.694543720412</v>
      </c>
      <c r="F181" s="7">
        <f t="shared" ref="F181" ca="1" si="197">E184</f>
        <v>86732.32843459482</v>
      </c>
      <c r="G181" s="7">
        <f t="shared" ref="G181" ca="1" si="198">F184</f>
        <v>88466.975003286716</v>
      </c>
      <c r="H181" s="7">
        <f t="shared" ref="H181" ca="1" si="199">G184</f>
        <v>90236.314503352449</v>
      </c>
      <c r="I181" s="7">
        <f t="shared" ref="I181" ca="1" si="200">H184</f>
        <v>92041.040793419495</v>
      </c>
      <c r="J181" s="7">
        <f t="shared" ref="J181" ca="1" si="201">I184</f>
        <v>93881.86160928788</v>
      </c>
      <c r="K181" s="7">
        <f t="shared" ref="K181" ca="1" si="202">J184</f>
        <v>95759.498841473644</v>
      </c>
      <c r="L181" s="7">
        <f t="shared" ref="L181" ca="1" si="203">K184</f>
        <v>97674.688818303111</v>
      </c>
      <c r="M181" s="7">
        <f t="shared" ref="M181" ca="1" si="204">L184</f>
        <v>99628.182594669168</v>
      </c>
      <c r="N181" s="7">
        <f t="shared" ref="N181" ca="1" si="205">M184</f>
        <v>101620.74624656256</v>
      </c>
      <c r="O181" s="7">
        <f t="shared" ref="O181" ca="1" si="206">N184</f>
        <v>103653.1611714938</v>
      </c>
      <c r="P181" s="7">
        <f t="shared" ref="P181" ca="1" si="207">O184</f>
        <v>105726.22439492369</v>
      </c>
      <c r="Q181" s="7">
        <f t="shared" ref="Q181" ca="1" si="208">P184</f>
        <v>107840.74888282215</v>
      </c>
      <c r="R181" s="7">
        <f t="shared" ref="R181" ca="1" si="209">Q184</f>
        <v>109997.56386047859</v>
      </c>
      <c r="S181" s="7">
        <f t="shared" ref="S181" ca="1" si="210">R184</f>
        <v>112197.51513768817</v>
      </c>
      <c r="T181" s="7">
        <f t="shared" ref="T181" ca="1" si="211">S184</f>
        <v>114441.46544044193</v>
      </c>
      <c r="U181" s="7">
        <f t="shared" ref="U181" ca="1" si="212">T184</f>
        <v>116730.29474925077</v>
      </c>
      <c r="V181" s="7">
        <f t="shared" ref="V181" ca="1" si="213">U184</f>
        <v>119064.90064423578</v>
      </c>
      <c r="W181" s="7">
        <f t="shared" ref="W181" ca="1" si="214">V184</f>
        <v>121446.19865712049</v>
      </c>
      <c r="X181" s="7">
        <f t="shared" ref="X181" ca="1" si="215">W184</f>
        <v>123875.12263026291</v>
      </c>
      <c r="Y181" s="7">
        <f t="shared" ref="Y181" ca="1" si="216">X184</f>
        <v>126352.62508286817</v>
      </c>
      <c r="Z181" s="7">
        <f t="shared" ref="Z181" ca="1" si="217">Y184</f>
        <v>128879.67758452553</v>
      </c>
      <c r="AA181" s="7">
        <f t="shared" ref="AA181" ca="1" si="218">Z184</f>
        <v>131457.27113621603</v>
      </c>
      <c r="AB181" s="7">
        <f t="shared" ref="AB181" ca="1" si="219">AA184</f>
        <v>134086.41655894034</v>
      </c>
      <c r="AC181" s="7">
        <f t="shared" ref="AC181" ca="1" si="220">AB184</f>
        <v>136768.14489011915</v>
      </c>
      <c r="AD181" s="7">
        <f t="shared" ref="AD181" ca="1" si="221">AC184</f>
        <v>139503.50778792152</v>
      </c>
      <c r="AE181" s="7">
        <f t="shared" ref="AE181" ca="1" si="222">AD184</f>
        <v>142293.57794367996</v>
      </c>
      <c r="AF181" s="7">
        <f t="shared" ref="AF181" ca="1" si="223">AE184</f>
        <v>145139.44950255356</v>
      </c>
      <c r="AG181" s="7">
        <f t="shared" ref="AG181" ca="1" si="224">AF184</f>
        <v>148042.23849260464</v>
      </c>
      <c r="AH181" s="7">
        <f t="shared" ref="AH181" ca="1" si="225">AG184</f>
        <v>151003.08326245673</v>
      </c>
      <c r="AI181" s="7">
        <f t="shared" ref="AI181" ca="1" si="226">AH184</f>
        <v>154023.14492770587</v>
      </c>
      <c r="AJ181" s="7">
        <f t="shared" ref="AJ181" ca="1" si="227">AI184</f>
        <v>157103.60782625998</v>
      </c>
      <c r="AK181" s="7">
        <f t="shared" ref="AK181" ca="1" si="228">AJ184</f>
        <v>160245.67998278516</v>
      </c>
      <c r="AL181" s="7">
        <f t="shared" ref="AL181" ca="1" si="229">AK184</f>
        <v>163450.59358244087</v>
      </c>
      <c r="AM181" s="7">
        <f t="shared" ref="AM181" ca="1" si="230">AL184</f>
        <v>166719.60545408967</v>
      </c>
    </row>
    <row r="182" spans="1:39" x14ac:dyDescent="0.2">
      <c r="A182" s="3" t="s">
        <v>23</v>
      </c>
      <c r="C182" s="7">
        <f ca="1">-IF(D178&gt;0,C181,0)</f>
        <v>0</v>
      </c>
      <c r="D182" s="7">
        <f ca="1">-IF(E178&gt;0,D181,0)</f>
        <v>0</v>
      </c>
      <c r="E182" s="7">
        <f ca="1">-IF(F178&gt;0,E181,0)</f>
        <v>0</v>
      </c>
      <c r="F182" s="7">
        <f ca="1">-IF(G178&gt;0,F181,0)</f>
        <v>0</v>
      </c>
      <c r="G182" s="7">
        <f t="shared" ref="G182" ca="1" si="231">-IF(H178&gt;0,G181,0)</f>
        <v>0</v>
      </c>
      <c r="H182" s="7">
        <f t="shared" ref="H182" ca="1" si="232">-IF(I178&gt;0,H181,0)</f>
        <v>0</v>
      </c>
      <c r="I182" s="7">
        <f t="shared" ref="I182" ca="1" si="233">-IF(J178&gt;0,I181,0)</f>
        <v>0</v>
      </c>
      <c r="J182" s="7">
        <f t="shared" ref="J182" ca="1" si="234">-IF(K178&gt;0,J181,0)</f>
        <v>0</v>
      </c>
      <c r="K182" s="7">
        <f t="shared" ref="K182" ca="1" si="235">-IF(L178&gt;0,K181,0)</f>
        <v>0</v>
      </c>
      <c r="L182" s="7">
        <f t="shared" ref="L182" ca="1" si="236">-IF(M178&gt;0,L181,0)</f>
        <v>0</v>
      </c>
      <c r="M182" s="7">
        <f t="shared" ref="M182" ca="1" si="237">-IF(N178&gt;0,M181,0)</f>
        <v>0</v>
      </c>
      <c r="N182" s="7">
        <f t="shared" ref="N182" ca="1" si="238">-IF(O178&gt;0,N181,0)</f>
        <v>0</v>
      </c>
      <c r="O182" s="7">
        <f t="shared" ref="O182" ca="1" si="239">-IF(P178&gt;0,O181,0)</f>
        <v>0</v>
      </c>
      <c r="P182" s="7">
        <f t="shared" ref="P182" ca="1" si="240">-IF(Q178&gt;0,P181,0)</f>
        <v>0</v>
      </c>
      <c r="Q182" s="7">
        <f t="shared" ref="Q182" ca="1" si="241">-IF(R178&gt;0,Q181,0)</f>
        <v>0</v>
      </c>
      <c r="R182" s="7">
        <f t="shared" ref="R182" ca="1" si="242">-IF(S178&gt;0,R181,0)</f>
        <v>0</v>
      </c>
      <c r="S182" s="7">
        <f t="shared" ref="S182" ca="1" si="243">-IF(T178&gt;0,S181,0)</f>
        <v>0</v>
      </c>
      <c r="T182" s="7">
        <f t="shared" ref="T182" ca="1" si="244">-IF(U178&gt;0,T181,0)</f>
        <v>0</v>
      </c>
      <c r="U182" s="7">
        <f t="shared" ref="U182" ca="1" si="245">-IF(V178&gt;0,U181,0)</f>
        <v>0</v>
      </c>
      <c r="V182" s="7">
        <f t="shared" ref="V182" ca="1" si="246">-IF(W178&gt;0,V181,0)</f>
        <v>0</v>
      </c>
      <c r="W182" s="7">
        <f t="shared" ref="W182" ca="1" si="247">-IF(X178&gt;0,W181,0)</f>
        <v>0</v>
      </c>
      <c r="X182" s="7">
        <f t="shared" ref="X182" ca="1" si="248">-IF(Y178&gt;0,X181,0)</f>
        <v>0</v>
      </c>
      <c r="Y182" s="7">
        <f t="shared" ref="Y182" ca="1" si="249">-IF(Z178&gt;0,Y181,0)</f>
        <v>0</v>
      </c>
      <c r="Z182" s="7">
        <f t="shared" ref="Z182" ca="1" si="250">-IF(AA178&gt;0,Z181,0)</f>
        <v>0</v>
      </c>
      <c r="AA182" s="7">
        <f t="shared" ref="AA182" ca="1" si="251">-IF(AB178&gt;0,AA181,0)</f>
        <v>0</v>
      </c>
      <c r="AB182" s="7">
        <f t="shared" ref="AB182" ca="1" si="252">-IF(AC178&gt;0,AB181,0)</f>
        <v>0</v>
      </c>
      <c r="AC182" s="7">
        <f t="shared" ref="AC182" ca="1" si="253">-IF(AD178&gt;0,AC181,0)</f>
        <v>0</v>
      </c>
      <c r="AD182" s="7">
        <f t="shared" ref="AD182" ca="1" si="254">-IF(AE178&gt;0,AD181,0)</f>
        <v>0</v>
      </c>
      <c r="AE182" s="7">
        <f t="shared" ref="AE182" ca="1" si="255">-IF(AF178&gt;0,AE181,0)</f>
        <v>0</v>
      </c>
      <c r="AF182" s="7">
        <f t="shared" ref="AF182" ca="1" si="256">-IF(AG178&gt;0,AF181,0)</f>
        <v>0</v>
      </c>
      <c r="AG182" s="7">
        <f t="shared" ref="AG182" ca="1" si="257">-IF(AH178&gt;0,AG181,0)</f>
        <v>0</v>
      </c>
      <c r="AH182" s="7">
        <f t="shared" ref="AH182" ca="1" si="258">-IF(AI178&gt;0,AH181,0)</f>
        <v>0</v>
      </c>
      <c r="AI182" s="7">
        <f t="shared" ref="AI182" ca="1" si="259">-IF(AJ178&gt;0,AI181,0)</f>
        <v>0</v>
      </c>
      <c r="AJ182" s="7">
        <f t="shared" ref="AJ182" ca="1" si="260">-IF(AK178&gt;0,AJ181,0)</f>
        <v>0</v>
      </c>
      <c r="AK182" s="7">
        <f t="shared" ref="AK182" ca="1" si="261">-IF(AL178&gt;0,AK181,0)</f>
        <v>0</v>
      </c>
      <c r="AL182" s="7">
        <f t="shared" ref="AL182" ca="1" si="262">-IF(AM178&gt;0,AL181,0)</f>
        <v>0</v>
      </c>
      <c r="AM182" s="7">
        <f t="shared" ref="AM182" si="263">-IF(AN178&gt;0,AM181,0)</f>
        <v>0</v>
      </c>
    </row>
    <row r="183" spans="1:39" x14ac:dyDescent="0.2">
      <c r="A183" s="3" t="s">
        <v>24</v>
      </c>
      <c r="C183" s="7">
        <v>0</v>
      </c>
      <c r="D183" s="7">
        <f t="shared" ref="D183:AM183" ca="1" si="264">SUM(D181:D182)*VLOOKUP($A180,AssVar,2,FALSE)</f>
        <v>1667.2881283082436</v>
      </c>
      <c r="E183" s="7">
        <f t="shared" ca="1" si="264"/>
        <v>1700.6338908744083</v>
      </c>
      <c r="F183" s="7">
        <f t="shared" ca="1" si="264"/>
        <v>1734.6465686918964</v>
      </c>
      <c r="G183" s="7">
        <f t="shared" ca="1" si="264"/>
        <v>1769.3395000657345</v>
      </c>
      <c r="H183" s="7">
        <f t="shared" ca="1" si="264"/>
        <v>1804.7262900670489</v>
      </c>
      <c r="I183" s="7">
        <f t="shared" ca="1" si="264"/>
        <v>1840.8208158683899</v>
      </c>
      <c r="J183" s="7">
        <f t="shared" ca="1" si="264"/>
        <v>1877.6372321857577</v>
      </c>
      <c r="K183" s="7">
        <f t="shared" ca="1" si="264"/>
        <v>1915.1899768294729</v>
      </c>
      <c r="L183" s="7">
        <f t="shared" ca="1" si="264"/>
        <v>1953.4937763660623</v>
      </c>
      <c r="M183" s="7">
        <f t="shared" ca="1" si="264"/>
        <v>1992.5636518933834</v>
      </c>
      <c r="N183" s="7">
        <f t="shared" ca="1" si="264"/>
        <v>2032.4149249312511</v>
      </c>
      <c r="O183" s="7">
        <f t="shared" ca="1" si="264"/>
        <v>2073.063223429876</v>
      </c>
      <c r="P183" s="7">
        <f t="shared" ca="1" si="264"/>
        <v>2114.5244878984736</v>
      </c>
      <c r="Q183" s="7">
        <f t="shared" ca="1" si="264"/>
        <v>2156.8149776564433</v>
      </c>
      <c r="R183" s="7">
        <f t="shared" ca="1" si="264"/>
        <v>2199.9512772095718</v>
      </c>
      <c r="S183" s="7">
        <f t="shared" ca="1" si="264"/>
        <v>2243.9503027537635</v>
      </c>
      <c r="T183" s="7">
        <f t="shared" ca="1" si="264"/>
        <v>2288.8293088088385</v>
      </c>
      <c r="U183" s="7">
        <f t="shared" ca="1" si="264"/>
        <v>2334.6058949850153</v>
      </c>
      <c r="V183" s="7">
        <f t="shared" ca="1" si="264"/>
        <v>2381.2980128847157</v>
      </c>
      <c r="W183" s="7">
        <f t="shared" ca="1" si="264"/>
        <v>2428.92397314241</v>
      </c>
      <c r="X183" s="7">
        <f t="shared" ca="1" si="264"/>
        <v>2477.502452605258</v>
      </c>
      <c r="Y183" s="7">
        <f t="shared" ca="1" si="264"/>
        <v>2527.0525016573633</v>
      </c>
      <c r="Z183" s="7">
        <f t="shared" ca="1" si="264"/>
        <v>2577.5935516905106</v>
      </c>
      <c r="AA183" s="7">
        <f t="shared" ca="1" si="264"/>
        <v>2629.1454227243207</v>
      </c>
      <c r="AB183" s="7">
        <f t="shared" ca="1" si="264"/>
        <v>2681.7283311788069</v>
      </c>
      <c r="AC183" s="7">
        <f t="shared" ca="1" si="264"/>
        <v>2735.362897802383</v>
      </c>
      <c r="AD183" s="7">
        <f t="shared" ca="1" si="264"/>
        <v>2790.0701557584307</v>
      </c>
      <c r="AE183" s="7">
        <f t="shared" ca="1" si="264"/>
        <v>2845.8715588735995</v>
      </c>
      <c r="AF183" s="7">
        <f t="shared" ca="1" si="264"/>
        <v>2902.7889900510713</v>
      </c>
      <c r="AG183" s="7">
        <f t="shared" ca="1" si="264"/>
        <v>2960.8447698520927</v>
      </c>
      <c r="AH183" s="7">
        <f t="shared" ca="1" si="264"/>
        <v>3020.0616652491344</v>
      </c>
      <c r="AI183" s="7">
        <f t="shared" ca="1" si="264"/>
        <v>3080.4628985541176</v>
      </c>
      <c r="AJ183" s="7">
        <f t="shared" ca="1" si="264"/>
        <v>3142.0721565251997</v>
      </c>
      <c r="AK183" s="7">
        <f t="shared" ca="1" si="264"/>
        <v>3204.9135996557034</v>
      </c>
      <c r="AL183" s="7">
        <f t="shared" ca="1" si="264"/>
        <v>3269.0118716488173</v>
      </c>
      <c r="AM183" s="7">
        <f t="shared" ca="1" si="264"/>
        <v>3334.3921090817935</v>
      </c>
    </row>
    <row r="184" spans="1:39" x14ac:dyDescent="0.2">
      <c r="A184" s="3" t="s">
        <v>25</v>
      </c>
      <c r="C184" s="7">
        <f ca="1">SUM(C181:C183)</f>
        <v>83364.406415412173</v>
      </c>
      <c r="D184" s="7">
        <f t="shared" ref="D184:AM184" ca="1" si="265">SUM(D181:D183)</f>
        <v>85031.694543720412</v>
      </c>
      <c r="E184" s="7">
        <f t="shared" ca="1" si="265"/>
        <v>86732.32843459482</v>
      </c>
      <c r="F184" s="7">
        <f t="shared" ca="1" si="265"/>
        <v>88466.975003286716</v>
      </c>
      <c r="G184" s="7">
        <f t="shared" ca="1" si="265"/>
        <v>90236.314503352449</v>
      </c>
      <c r="H184" s="7">
        <f t="shared" ca="1" si="265"/>
        <v>92041.040793419495</v>
      </c>
      <c r="I184" s="7">
        <f t="shared" ca="1" si="265"/>
        <v>93881.86160928788</v>
      </c>
      <c r="J184" s="7">
        <f t="shared" ca="1" si="265"/>
        <v>95759.498841473644</v>
      </c>
      <c r="K184" s="7">
        <f t="shared" ca="1" si="265"/>
        <v>97674.688818303111</v>
      </c>
      <c r="L184" s="7">
        <f t="shared" ca="1" si="265"/>
        <v>99628.182594669168</v>
      </c>
      <c r="M184" s="7">
        <f t="shared" ca="1" si="265"/>
        <v>101620.74624656256</v>
      </c>
      <c r="N184" s="7">
        <f t="shared" ca="1" si="265"/>
        <v>103653.1611714938</v>
      </c>
      <c r="O184" s="7">
        <f t="shared" ca="1" si="265"/>
        <v>105726.22439492369</v>
      </c>
      <c r="P184" s="7">
        <f t="shared" ca="1" si="265"/>
        <v>107840.74888282215</v>
      </c>
      <c r="Q184" s="7">
        <f t="shared" ca="1" si="265"/>
        <v>109997.56386047859</v>
      </c>
      <c r="R184" s="7">
        <f t="shared" ca="1" si="265"/>
        <v>112197.51513768817</v>
      </c>
      <c r="S184" s="7">
        <f t="shared" ca="1" si="265"/>
        <v>114441.46544044193</v>
      </c>
      <c r="T184" s="7">
        <f t="shared" ca="1" si="265"/>
        <v>116730.29474925077</v>
      </c>
      <c r="U184" s="7">
        <f t="shared" ca="1" si="265"/>
        <v>119064.90064423578</v>
      </c>
      <c r="V184" s="7">
        <f t="shared" ca="1" si="265"/>
        <v>121446.19865712049</v>
      </c>
      <c r="W184" s="7">
        <f t="shared" ca="1" si="265"/>
        <v>123875.12263026291</v>
      </c>
      <c r="X184" s="7">
        <f t="shared" ca="1" si="265"/>
        <v>126352.62508286817</v>
      </c>
      <c r="Y184" s="7">
        <f t="shared" ca="1" si="265"/>
        <v>128879.67758452553</v>
      </c>
      <c r="Z184" s="7">
        <f t="shared" ca="1" si="265"/>
        <v>131457.27113621603</v>
      </c>
      <c r="AA184" s="7">
        <f t="shared" ca="1" si="265"/>
        <v>134086.41655894034</v>
      </c>
      <c r="AB184" s="7">
        <f t="shared" ca="1" si="265"/>
        <v>136768.14489011915</v>
      </c>
      <c r="AC184" s="7">
        <f t="shared" ca="1" si="265"/>
        <v>139503.50778792152</v>
      </c>
      <c r="AD184" s="7">
        <f t="shared" ca="1" si="265"/>
        <v>142293.57794367996</v>
      </c>
      <c r="AE184" s="7">
        <f t="shared" ca="1" si="265"/>
        <v>145139.44950255356</v>
      </c>
      <c r="AF184" s="7">
        <f t="shared" ca="1" si="265"/>
        <v>148042.23849260464</v>
      </c>
      <c r="AG184" s="7">
        <f t="shared" ca="1" si="265"/>
        <v>151003.08326245673</v>
      </c>
      <c r="AH184" s="7">
        <f t="shared" ca="1" si="265"/>
        <v>154023.14492770587</v>
      </c>
      <c r="AI184" s="7">
        <f t="shared" ca="1" si="265"/>
        <v>157103.60782625998</v>
      </c>
      <c r="AJ184" s="7">
        <f t="shared" ca="1" si="265"/>
        <v>160245.67998278516</v>
      </c>
      <c r="AK184" s="7">
        <f t="shared" ca="1" si="265"/>
        <v>163450.59358244087</v>
      </c>
      <c r="AL184" s="7">
        <f t="shared" ca="1" si="265"/>
        <v>166719.60545408967</v>
      </c>
      <c r="AM184" s="7">
        <f t="shared" ca="1" si="265"/>
        <v>170053.99756317146</v>
      </c>
    </row>
    <row r="185" spans="1:39" x14ac:dyDescent="0.2">
      <c r="A185" s="3" t="s">
        <v>26</v>
      </c>
      <c r="C185" s="7">
        <f t="shared" ref="C185:AM185" ca="1" si="266">C182*VLOOKUP($A180,AssVar,3,FALSE)</f>
        <v>0</v>
      </c>
      <c r="D185" s="7">
        <f t="shared" ca="1" si="266"/>
        <v>0</v>
      </c>
      <c r="E185" s="7">
        <f t="shared" ca="1" si="266"/>
        <v>0</v>
      </c>
      <c r="F185" s="7">
        <f t="shared" ca="1" si="266"/>
        <v>0</v>
      </c>
      <c r="G185" s="7">
        <f t="shared" ca="1" si="266"/>
        <v>0</v>
      </c>
      <c r="H185" s="7">
        <f t="shared" ca="1" si="266"/>
        <v>0</v>
      </c>
      <c r="I185" s="7">
        <f t="shared" ca="1" si="266"/>
        <v>0</v>
      </c>
      <c r="J185" s="7">
        <f t="shared" ca="1" si="266"/>
        <v>0</v>
      </c>
      <c r="K185" s="7">
        <f t="shared" ca="1" si="266"/>
        <v>0</v>
      </c>
      <c r="L185" s="7">
        <f t="shared" ca="1" si="266"/>
        <v>0</v>
      </c>
      <c r="M185" s="7">
        <f t="shared" ca="1" si="266"/>
        <v>0</v>
      </c>
      <c r="N185" s="7">
        <f t="shared" ca="1" si="266"/>
        <v>0</v>
      </c>
      <c r="O185" s="7">
        <f t="shared" ca="1" si="266"/>
        <v>0</v>
      </c>
      <c r="P185" s="7">
        <f t="shared" ca="1" si="266"/>
        <v>0</v>
      </c>
      <c r="Q185" s="7">
        <f t="shared" ca="1" si="266"/>
        <v>0</v>
      </c>
      <c r="R185" s="7">
        <f t="shared" ca="1" si="266"/>
        <v>0</v>
      </c>
      <c r="S185" s="7">
        <f t="shared" ca="1" si="266"/>
        <v>0</v>
      </c>
      <c r="T185" s="7">
        <f t="shared" ca="1" si="266"/>
        <v>0</v>
      </c>
      <c r="U185" s="7">
        <f t="shared" ca="1" si="266"/>
        <v>0</v>
      </c>
      <c r="V185" s="7">
        <f t="shared" ca="1" si="266"/>
        <v>0</v>
      </c>
      <c r="W185" s="7">
        <f t="shared" ca="1" si="266"/>
        <v>0</v>
      </c>
      <c r="X185" s="7">
        <f t="shared" ca="1" si="266"/>
        <v>0</v>
      </c>
      <c r="Y185" s="7">
        <f t="shared" ca="1" si="266"/>
        <v>0</v>
      </c>
      <c r="Z185" s="7">
        <f t="shared" ca="1" si="266"/>
        <v>0</v>
      </c>
      <c r="AA185" s="7">
        <f t="shared" ca="1" si="266"/>
        <v>0</v>
      </c>
      <c r="AB185" s="7">
        <f t="shared" ca="1" si="266"/>
        <v>0</v>
      </c>
      <c r="AC185" s="7">
        <f t="shared" ca="1" si="266"/>
        <v>0</v>
      </c>
      <c r="AD185" s="7">
        <f t="shared" ca="1" si="266"/>
        <v>0</v>
      </c>
      <c r="AE185" s="7">
        <f t="shared" ca="1" si="266"/>
        <v>0</v>
      </c>
      <c r="AF185" s="7">
        <f t="shared" ca="1" si="266"/>
        <v>0</v>
      </c>
      <c r="AG185" s="7">
        <f t="shared" ca="1" si="266"/>
        <v>0</v>
      </c>
      <c r="AH185" s="7">
        <f t="shared" ca="1" si="266"/>
        <v>0</v>
      </c>
      <c r="AI185" s="7">
        <f t="shared" ca="1" si="266"/>
        <v>0</v>
      </c>
      <c r="AJ185" s="7">
        <f t="shared" ca="1" si="266"/>
        <v>0</v>
      </c>
      <c r="AK185" s="7">
        <f t="shared" ca="1" si="266"/>
        <v>0</v>
      </c>
      <c r="AL185" s="7">
        <f t="shared" ca="1" si="266"/>
        <v>0</v>
      </c>
      <c r="AM185" s="7">
        <f t="shared" si="266"/>
        <v>0</v>
      </c>
    </row>
    <row r="186" spans="1:39" x14ac:dyDescent="0.2">
      <c r="A186" s="3" t="s">
        <v>31</v>
      </c>
      <c r="C186" s="7">
        <f t="shared" ref="C186:AM186" ca="1" si="267">IFERROR(-IF(C181=0,VLOOKUP($A180,$8:$12,C$1+2,FALSE),0),0)</f>
        <v>0</v>
      </c>
      <c r="D186" s="7">
        <f t="shared" ca="1" si="267"/>
        <v>0</v>
      </c>
      <c r="E186" s="7">
        <f t="shared" ca="1" si="267"/>
        <v>0</v>
      </c>
      <c r="F186" s="7">
        <f t="shared" ca="1" si="267"/>
        <v>0</v>
      </c>
      <c r="G186" s="7">
        <f t="shared" ca="1" si="267"/>
        <v>0</v>
      </c>
      <c r="H186" s="7">
        <f t="shared" ca="1" si="267"/>
        <v>0</v>
      </c>
      <c r="I186" s="7">
        <f t="shared" ca="1" si="267"/>
        <v>0</v>
      </c>
      <c r="J186" s="7">
        <f t="shared" ca="1" si="267"/>
        <v>0</v>
      </c>
      <c r="K186" s="7">
        <f t="shared" ca="1" si="267"/>
        <v>0</v>
      </c>
      <c r="L186" s="7">
        <f t="shared" ca="1" si="267"/>
        <v>0</v>
      </c>
      <c r="M186" s="7">
        <f t="shared" ca="1" si="267"/>
        <v>0</v>
      </c>
      <c r="N186" s="7">
        <f t="shared" ca="1" si="267"/>
        <v>0</v>
      </c>
      <c r="O186" s="7">
        <f t="shared" ca="1" si="267"/>
        <v>0</v>
      </c>
      <c r="P186" s="7">
        <f t="shared" ca="1" si="267"/>
        <v>0</v>
      </c>
      <c r="Q186" s="7">
        <f t="shared" ca="1" si="267"/>
        <v>0</v>
      </c>
      <c r="R186" s="7">
        <f t="shared" ca="1" si="267"/>
        <v>0</v>
      </c>
      <c r="S186" s="7">
        <f t="shared" ca="1" si="267"/>
        <v>0</v>
      </c>
      <c r="T186" s="7">
        <f t="shared" ca="1" si="267"/>
        <v>0</v>
      </c>
      <c r="U186" s="7">
        <f t="shared" ca="1" si="267"/>
        <v>0</v>
      </c>
      <c r="V186" s="7">
        <f t="shared" ca="1" si="267"/>
        <v>0</v>
      </c>
      <c r="W186" s="7">
        <f t="shared" ca="1" si="267"/>
        <v>0</v>
      </c>
      <c r="X186" s="7">
        <f t="shared" ca="1" si="267"/>
        <v>0</v>
      </c>
      <c r="Y186" s="7">
        <f t="shared" ca="1" si="267"/>
        <v>0</v>
      </c>
      <c r="Z186" s="7">
        <f t="shared" ca="1" si="267"/>
        <v>0</v>
      </c>
      <c r="AA186" s="7">
        <f t="shared" ca="1" si="267"/>
        <v>0</v>
      </c>
      <c r="AB186" s="7">
        <f t="shared" ca="1" si="267"/>
        <v>0</v>
      </c>
      <c r="AC186" s="7">
        <f t="shared" ca="1" si="267"/>
        <v>0</v>
      </c>
      <c r="AD186" s="7">
        <f t="shared" ca="1" si="267"/>
        <v>0</v>
      </c>
      <c r="AE186" s="7">
        <f t="shared" ca="1" si="267"/>
        <v>0</v>
      </c>
      <c r="AF186" s="7">
        <f t="shared" ca="1" si="267"/>
        <v>0</v>
      </c>
      <c r="AG186" s="7">
        <f t="shared" ca="1" si="267"/>
        <v>0</v>
      </c>
      <c r="AH186" s="7">
        <f t="shared" ca="1" si="267"/>
        <v>0</v>
      </c>
      <c r="AI186" s="7">
        <f t="shared" ca="1" si="267"/>
        <v>0</v>
      </c>
      <c r="AJ186" s="7">
        <f t="shared" ca="1" si="267"/>
        <v>0</v>
      </c>
      <c r="AK186" s="7">
        <f t="shared" ca="1" si="267"/>
        <v>0</v>
      </c>
      <c r="AL186" s="7">
        <f t="shared" ca="1" si="267"/>
        <v>0</v>
      </c>
      <c r="AM186" s="7">
        <f t="shared" ca="1" si="267"/>
        <v>0</v>
      </c>
    </row>
    <row r="187" spans="1:39" x14ac:dyDescent="0.2">
      <c r="A187" s="3" t="s">
        <v>50</v>
      </c>
      <c r="C187" s="7">
        <f t="shared" ref="C187:AM187" ca="1" si="268">IFERROR(IF(C181=0,VLOOKUP($A180,$45:$49,C$1+2,FALSE),0),0)</f>
        <v>0</v>
      </c>
      <c r="D187" s="7">
        <f t="shared" ca="1" si="268"/>
        <v>0</v>
      </c>
      <c r="E187" s="7">
        <f t="shared" ca="1" si="268"/>
        <v>0</v>
      </c>
      <c r="F187" s="7">
        <f t="shared" ca="1" si="268"/>
        <v>0</v>
      </c>
      <c r="G187" s="7">
        <f t="shared" ca="1" si="268"/>
        <v>0</v>
      </c>
      <c r="H187" s="7">
        <f t="shared" ca="1" si="268"/>
        <v>0</v>
      </c>
      <c r="I187" s="7">
        <f t="shared" ca="1" si="268"/>
        <v>0</v>
      </c>
      <c r="J187" s="7">
        <f t="shared" ca="1" si="268"/>
        <v>0</v>
      </c>
      <c r="K187" s="7">
        <f t="shared" ca="1" si="268"/>
        <v>0</v>
      </c>
      <c r="L187" s="7">
        <f t="shared" ca="1" si="268"/>
        <v>0</v>
      </c>
      <c r="M187" s="7">
        <f t="shared" ca="1" si="268"/>
        <v>0</v>
      </c>
      <c r="N187" s="7">
        <f t="shared" ca="1" si="268"/>
        <v>0</v>
      </c>
      <c r="O187" s="7">
        <f t="shared" ca="1" si="268"/>
        <v>0</v>
      </c>
      <c r="P187" s="7">
        <f t="shared" ca="1" si="268"/>
        <v>0</v>
      </c>
      <c r="Q187" s="7">
        <f t="shared" ca="1" si="268"/>
        <v>0</v>
      </c>
      <c r="R187" s="7">
        <f t="shared" ca="1" si="268"/>
        <v>0</v>
      </c>
      <c r="S187" s="7">
        <f t="shared" ca="1" si="268"/>
        <v>0</v>
      </c>
      <c r="T187" s="7">
        <f t="shared" ca="1" si="268"/>
        <v>0</v>
      </c>
      <c r="U187" s="7">
        <f t="shared" ca="1" si="268"/>
        <v>0</v>
      </c>
      <c r="V187" s="7">
        <f t="shared" ca="1" si="268"/>
        <v>0</v>
      </c>
      <c r="W187" s="7">
        <f t="shared" ca="1" si="268"/>
        <v>0</v>
      </c>
      <c r="X187" s="7">
        <f t="shared" ca="1" si="268"/>
        <v>0</v>
      </c>
      <c r="Y187" s="7">
        <f t="shared" ca="1" si="268"/>
        <v>0</v>
      </c>
      <c r="Z187" s="7">
        <f t="shared" ca="1" si="268"/>
        <v>0</v>
      </c>
      <c r="AA187" s="7">
        <f t="shared" ca="1" si="268"/>
        <v>0</v>
      </c>
      <c r="AB187" s="7">
        <f t="shared" ca="1" si="268"/>
        <v>0</v>
      </c>
      <c r="AC187" s="7">
        <f t="shared" ca="1" si="268"/>
        <v>0</v>
      </c>
      <c r="AD187" s="7">
        <f t="shared" ca="1" si="268"/>
        <v>0</v>
      </c>
      <c r="AE187" s="7">
        <f t="shared" ca="1" si="268"/>
        <v>0</v>
      </c>
      <c r="AF187" s="7">
        <f t="shared" ca="1" si="268"/>
        <v>0</v>
      </c>
      <c r="AG187" s="7">
        <f t="shared" ca="1" si="268"/>
        <v>0</v>
      </c>
      <c r="AH187" s="7">
        <f t="shared" ca="1" si="268"/>
        <v>0</v>
      </c>
      <c r="AI187" s="7">
        <f t="shared" ca="1" si="268"/>
        <v>0</v>
      </c>
      <c r="AJ187" s="7">
        <f t="shared" ca="1" si="268"/>
        <v>0</v>
      </c>
      <c r="AK187" s="7">
        <f t="shared" ca="1" si="268"/>
        <v>0</v>
      </c>
      <c r="AL187" s="7">
        <f t="shared" ca="1" si="268"/>
        <v>0</v>
      </c>
      <c r="AM187" s="7">
        <f t="shared" ca="1" si="268"/>
        <v>0</v>
      </c>
    </row>
    <row r="188" spans="1:39" x14ac:dyDescent="0.2">
      <c r="A188" s="3" t="s">
        <v>36</v>
      </c>
      <c r="B188" s="14" t="str">
        <f>A180</f>
        <v>Antiques</v>
      </c>
      <c r="C188" s="7">
        <f t="shared" ref="C188:AM188" ca="1" si="269">IF(AND(C181&gt;0,C184=0),VLOOKUP($A180,$83:$92,C$1+2,FALSE),0)</f>
        <v>0</v>
      </c>
      <c r="D188" s="7">
        <f t="shared" ca="1" si="269"/>
        <v>0</v>
      </c>
      <c r="E188" s="7">
        <f t="shared" ca="1" si="269"/>
        <v>0</v>
      </c>
      <c r="F188" s="7">
        <f t="shared" ca="1" si="269"/>
        <v>0</v>
      </c>
      <c r="G188" s="7">
        <f t="shared" ca="1" si="269"/>
        <v>0</v>
      </c>
      <c r="H188" s="7">
        <f t="shared" ca="1" si="269"/>
        <v>0</v>
      </c>
      <c r="I188" s="7">
        <f t="shared" ca="1" si="269"/>
        <v>0</v>
      </c>
      <c r="J188" s="7">
        <f t="shared" ca="1" si="269"/>
        <v>0</v>
      </c>
      <c r="K188" s="7">
        <f t="shared" ca="1" si="269"/>
        <v>0</v>
      </c>
      <c r="L188" s="7">
        <f t="shared" ca="1" si="269"/>
        <v>0</v>
      </c>
      <c r="M188" s="7">
        <f t="shared" ca="1" si="269"/>
        <v>0</v>
      </c>
      <c r="N188" s="7">
        <f t="shared" ca="1" si="269"/>
        <v>0</v>
      </c>
      <c r="O188" s="7">
        <f t="shared" ca="1" si="269"/>
        <v>0</v>
      </c>
      <c r="P188" s="7">
        <f t="shared" ca="1" si="269"/>
        <v>0</v>
      </c>
      <c r="Q188" s="7">
        <f t="shared" ca="1" si="269"/>
        <v>0</v>
      </c>
      <c r="R188" s="7">
        <f t="shared" ca="1" si="269"/>
        <v>0</v>
      </c>
      <c r="S188" s="7">
        <f t="shared" ca="1" si="269"/>
        <v>0</v>
      </c>
      <c r="T188" s="7">
        <f t="shared" ca="1" si="269"/>
        <v>0</v>
      </c>
      <c r="U188" s="7">
        <f t="shared" ca="1" si="269"/>
        <v>0</v>
      </c>
      <c r="V188" s="7">
        <f t="shared" ca="1" si="269"/>
        <v>0</v>
      </c>
      <c r="W188" s="7">
        <f t="shared" ca="1" si="269"/>
        <v>0</v>
      </c>
      <c r="X188" s="7">
        <f t="shared" ca="1" si="269"/>
        <v>0</v>
      </c>
      <c r="Y188" s="7">
        <f t="shared" ca="1" si="269"/>
        <v>0</v>
      </c>
      <c r="Z188" s="7">
        <f t="shared" ca="1" si="269"/>
        <v>0</v>
      </c>
      <c r="AA188" s="7">
        <f t="shared" ca="1" si="269"/>
        <v>0</v>
      </c>
      <c r="AB188" s="7">
        <f t="shared" ca="1" si="269"/>
        <v>0</v>
      </c>
      <c r="AC188" s="7">
        <f t="shared" ca="1" si="269"/>
        <v>0</v>
      </c>
      <c r="AD188" s="7">
        <f t="shared" ca="1" si="269"/>
        <v>0</v>
      </c>
      <c r="AE188" s="7">
        <f t="shared" ca="1" si="269"/>
        <v>0</v>
      </c>
      <c r="AF188" s="7">
        <f t="shared" ca="1" si="269"/>
        <v>0</v>
      </c>
      <c r="AG188" s="7">
        <f t="shared" ca="1" si="269"/>
        <v>0</v>
      </c>
      <c r="AH188" s="7">
        <f t="shared" ca="1" si="269"/>
        <v>0</v>
      </c>
      <c r="AI188" s="7">
        <f t="shared" ca="1" si="269"/>
        <v>0</v>
      </c>
      <c r="AJ188" s="7">
        <f t="shared" ca="1" si="269"/>
        <v>0</v>
      </c>
      <c r="AK188" s="7">
        <f t="shared" ca="1" si="269"/>
        <v>0</v>
      </c>
      <c r="AL188" s="7">
        <f t="shared" ca="1" si="269"/>
        <v>0</v>
      </c>
      <c r="AM188" s="7">
        <f t="shared" ca="1" si="269"/>
        <v>0</v>
      </c>
    </row>
    <row r="189" spans="1:39" x14ac:dyDescent="0.2">
      <c r="A189" s="3" t="s">
        <v>37</v>
      </c>
      <c r="C189" s="7">
        <f ca="1">-C182+SUM(C185:C188)</f>
        <v>0</v>
      </c>
      <c r="D189" s="7">
        <f t="shared" ref="D189" ca="1" si="270">-D182+SUM(D185:D188)</f>
        <v>0</v>
      </c>
      <c r="E189" s="7">
        <f t="shared" ref="E189:AM189" ca="1" si="271">-E182+SUM(E185:E188)</f>
        <v>0</v>
      </c>
      <c r="F189" s="7">
        <f t="shared" ca="1" si="271"/>
        <v>0</v>
      </c>
      <c r="G189" s="7">
        <f t="shared" ca="1" si="271"/>
        <v>0</v>
      </c>
      <c r="H189" s="7">
        <f t="shared" ca="1" si="271"/>
        <v>0</v>
      </c>
      <c r="I189" s="7">
        <f t="shared" ca="1" si="271"/>
        <v>0</v>
      </c>
      <c r="J189" s="7">
        <f t="shared" ca="1" si="271"/>
        <v>0</v>
      </c>
      <c r="K189" s="7">
        <f t="shared" ca="1" si="271"/>
        <v>0</v>
      </c>
      <c r="L189" s="7">
        <f t="shared" ca="1" si="271"/>
        <v>0</v>
      </c>
      <c r="M189" s="7">
        <f t="shared" ca="1" si="271"/>
        <v>0</v>
      </c>
      <c r="N189" s="7">
        <f t="shared" ca="1" si="271"/>
        <v>0</v>
      </c>
      <c r="O189" s="7">
        <f t="shared" ca="1" si="271"/>
        <v>0</v>
      </c>
      <c r="P189" s="7">
        <f t="shared" ca="1" si="271"/>
        <v>0</v>
      </c>
      <c r="Q189" s="7">
        <f t="shared" ca="1" si="271"/>
        <v>0</v>
      </c>
      <c r="R189" s="7">
        <f t="shared" ca="1" si="271"/>
        <v>0</v>
      </c>
      <c r="S189" s="7">
        <f t="shared" ca="1" si="271"/>
        <v>0</v>
      </c>
      <c r="T189" s="7">
        <f t="shared" ca="1" si="271"/>
        <v>0</v>
      </c>
      <c r="U189" s="7">
        <f t="shared" ca="1" si="271"/>
        <v>0</v>
      </c>
      <c r="V189" s="7">
        <f t="shared" ca="1" si="271"/>
        <v>0</v>
      </c>
      <c r="W189" s="7">
        <f t="shared" ca="1" si="271"/>
        <v>0</v>
      </c>
      <c r="X189" s="7">
        <f t="shared" ca="1" si="271"/>
        <v>0</v>
      </c>
      <c r="Y189" s="7">
        <f t="shared" ca="1" si="271"/>
        <v>0</v>
      </c>
      <c r="Z189" s="7">
        <f t="shared" ca="1" si="271"/>
        <v>0</v>
      </c>
      <c r="AA189" s="7">
        <f t="shared" ca="1" si="271"/>
        <v>0</v>
      </c>
      <c r="AB189" s="7">
        <f t="shared" ca="1" si="271"/>
        <v>0</v>
      </c>
      <c r="AC189" s="7">
        <f t="shared" ca="1" si="271"/>
        <v>0</v>
      </c>
      <c r="AD189" s="7">
        <f t="shared" ca="1" si="271"/>
        <v>0</v>
      </c>
      <c r="AE189" s="7">
        <f t="shared" ca="1" si="271"/>
        <v>0</v>
      </c>
      <c r="AF189" s="7">
        <f t="shared" ca="1" si="271"/>
        <v>0</v>
      </c>
      <c r="AG189" s="7">
        <f t="shared" ca="1" si="271"/>
        <v>0</v>
      </c>
      <c r="AH189" s="7">
        <f t="shared" ca="1" si="271"/>
        <v>0</v>
      </c>
      <c r="AI189" s="7">
        <f t="shared" ca="1" si="271"/>
        <v>0</v>
      </c>
      <c r="AJ189" s="7">
        <f t="shared" ca="1" si="271"/>
        <v>0</v>
      </c>
      <c r="AK189" s="7">
        <f t="shared" ca="1" si="271"/>
        <v>0</v>
      </c>
      <c r="AL189" s="7">
        <f t="shared" ca="1" si="271"/>
        <v>0</v>
      </c>
      <c r="AM189" s="7">
        <f t="shared" ca="1" si="271"/>
        <v>0</v>
      </c>
    </row>
    <row r="190" spans="1:39" x14ac:dyDescent="0.2">
      <c r="A190" s="3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x14ac:dyDescent="0.2">
      <c r="A191" s="3" t="s">
        <v>71</v>
      </c>
      <c r="C191" s="7">
        <f ca="1">C177+SUM($C189:C189)</f>
        <v>12809.375000000015</v>
      </c>
      <c r="D191" s="7">
        <f ca="1">D177+SUM($C189:D189)</f>
        <v>24162.215625000026</v>
      </c>
      <c r="E191" s="7">
        <f ca="1">E177+SUM($C189:E189)</f>
        <v>41813.279140625047</v>
      </c>
      <c r="F191" s="7">
        <f ca="1">F177+SUM($C189:F189)</f>
        <v>41803.568657505195</v>
      </c>
      <c r="G191" s="7">
        <f ca="1">G177+SUM($C189:G189)</f>
        <v>73524.627177360788</v>
      </c>
      <c r="H191" s="7">
        <f ca="1">H177+SUM($C189:H189)</f>
        <v>111945.76563583669</v>
      </c>
      <c r="I191" s="7">
        <f ca="1">I177+SUM($C189:I189)</f>
        <v>179058.63493181192</v>
      </c>
      <c r="J191" s="7">
        <f ca="1">J177+SUM($C189:J189)</f>
        <v>250182.50067145552</v>
      </c>
      <c r="K191" s="7">
        <f ca="1">K177+SUM($C189:K189)</f>
        <v>308095.70278366783</v>
      </c>
      <c r="L191" s="7">
        <f ca="1">L177+SUM($C189:L189)</f>
        <v>453640.47280939861</v>
      </c>
      <c r="M191" s="7">
        <f ca="1">M177+SUM($C189:M189)</f>
        <v>510683.42164108111</v>
      </c>
      <c r="N191" s="7">
        <f ca="1">N177+SUM($C189:N189)</f>
        <v>621525.85327123245</v>
      </c>
      <c r="O191" s="7">
        <f ca="1">O177+SUM($C189:O189)</f>
        <v>738362.94313265686</v>
      </c>
      <c r="P191" s="7">
        <f ca="1">P177+SUM($C189:P189)</f>
        <v>861449.23653079802</v>
      </c>
      <c r="Q191" s="7">
        <f ca="1">Q177+SUM($C189:Q189)</f>
        <v>991048.98204238666</v>
      </c>
      <c r="R191" s="7">
        <f ca="1">R177+SUM($C189:R189)</f>
        <v>1127436.4792682112</v>
      </c>
      <c r="S191" s="7">
        <f ca="1">S177+SUM($C189:S189)</f>
        <v>1270896.4385593834</v>
      </c>
      <c r="T191" s="7">
        <f ca="1">T177+SUM($C189:T189)</f>
        <v>1312493.9107349962</v>
      </c>
      <c r="U191" s="7">
        <f ca="1">U177+SUM($C189:U189)</f>
        <v>1363530.8459680481</v>
      </c>
      <c r="V191" s="7">
        <f ca="1">V177+SUM($C189:V189)</f>
        <v>1416566.1280568431</v>
      </c>
      <c r="W191" s="7">
        <f ca="1">W177+SUM($C189:W189)</f>
        <v>1471676.7180232967</v>
      </c>
      <c r="X191" s="7">
        <f ca="1">X177+SUM($C189:X189)</f>
        <v>1528942.4442265448</v>
      </c>
      <c r="Y191" s="7">
        <f ca="1">Y177+SUM($C189:Y189)</f>
        <v>1567529.0131961552</v>
      </c>
      <c r="Z191" s="7">
        <f ca="1">Z177+SUM($C189:Z189)</f>
        <v>1607393.5393787338</v>
      </c>
      <c r="AA191" s="7">
        <f ca="1">AA177+SUM($C189:AA189)</f>
        <v>1648585.8680630873</v>
      </c>
      <c r="AB191" s="7">
        <f ca="1">AB177+SUM($C189:AB189)</f>
        <v>1691157.8400002168</v>
      </c>
      <c r="AC191" s="7">
        <f ca="1">AC177+SUM($C189:AC189)</f>
        <v>1735163.3690807538</v>
      </c>
      <c r="AD191" s="7">
        <f ca="1">AD177+SUM($C189:AD189)</f>
        <v>1780658.5229208304</v>
      </c>
      <c r="AE191" s="7">
        <f ca="1">AE177+SUM($C189:AE189)</f>
        <v>1837808.8624938719</v>
      </c>
      <c r="AF191" s="7">
        <f ca="1">AF177+SUM($C189:AF189)</f>
        <v>1897073.1235563438</v>
      </c>
      <c r="AG191" s="7">
        <f ca="1">AG177+SUM($C189:AG189)</f>
        <v>1958533.3002031124</v>
      </c>
      <c r="AH191" s="7">
        <f ca="1">AH177+SUM($C189:AH189)</f>
        <v>2022274.5255423354</v>
      </c>
      <c r="AI191" s="7">
        <f ca="1">AI177+SUM($C189:AI189)</f>
        <v>2088385.1882151016</v>
      </c>
      <c r="AJ191" s="7">
        <f ca="1">AJ177+SUM($C189:AJ189)</f>
        <v>2156957.0531036272</v>
      </c>
      <c r="AK191" s="7">
        <f ca="1">AK177+SUM($C189:AK189)</f>
        <v>2228085.3863743474</v>
      </c>
      <c r="AL191" s="7">
        <f ca="1">AL177+SUM($C189:AL189)</f>
        <v>2301869.0850072289</v>
      </c>
      <c r="AM191" s="7">
        <f ca="1">AM177+SUM($C189:AM189)</f>
        <v>2378410.8109677895</v>
      </c>
    </row>
    <row r="192" spans="1:39" x14ac:dyDescent="0.2">
      <c r="A192" s="3" t="s">
        <v>68</v>
      </c>
      <c r="C192" s="7">
        <f t="shared" ref="C192:AM192" ca="1" si="272">MAX(C191+buffer,0)-MAX(C177+buffer,0)</f>
        <v>0</v>
      </c>
      <c r="D192" s="7">
        <f t="shared" ca="1" si="272"/>
        <v>0</v>
      </c>
      <c r="E192" s="7">
        <f t="shared" ca="1" si="272"/>
        <v>0</v>
      </c>
      <c r="F192" s="7">
        <f t="shared" ca="1" si="272"/>
        <v>0</v>
      </c>
      <c r="G192" s="7">
        <f t="shared" ca="1" si="272"/>
        <v>0</v>
      </c>
      <c r="H192" s="7">
        <f t="shared" ca="1" si="272"/>
        <v>0</v>
      </c>
      <c r="I192" s="7">
        <f t="shared" ca="1" si="272"/>
        <v>0</v>
      </c>
      <c r="J192" s="7">
        <f t="shared" ca="1" si="272"/>
        <v>0</v>
      </c>
      <c r="K192" s="7">
        <f t="shared" ca="1" si="272"/>
        <v>0</v>
      </c>
      <c r="L192" s="7">
        <f t="shared" ca="1" si="272"/>
        <v>0</v>
      </c>
      <c r="M192" s="7">
        <f t="shared" ca="1" si="272"/>
        <v>0</v>
      </c>
      <c r="N192" s="7">
        <f t="shared" ca="1" si="272"/>
        <v>0</v>
      </c>
      <c r="O192" s="7">
        <f t="shared" ca="1" si="272"/>
        <v>0</v>
      </c>
      <c r="P192" s="7">
        <f t="shared" ca="1" si="272"/>
        <v>0</v>
      </c>
      <c r="Q192" s="7">
        <f t="shared" ca="1" si="272"/>
        <v>0</v>
      </c>
      <c r="R192" s="7">
        <f t="shared" ca="1" si="272"/>
        <v>0</v>
      </c>
      <c r="S192" s="7">
        <f t="shared" ca="1" si="272"/>
        <v>0</v>
      </c>
      <c r="T192" s="7">
        <f t="shared" ca="1" si="272"/>
        <v>0</v>
      </c>
      <c r="U192" s="7">
        <f t="shared" ca="1" si="272"/>
        <v>0</v>
      </c>
      <c r="V192" s="7">
        <f t="shared" ca="1" si="272"/>
        <v>0</v>
      </c>
      <c r="W192" s="7">
        <f t="shared" ca="1" si="272"/>
        <v>0</v>
      </c>
      <c r="X192" s="7">
        <f t="shared" ca="1" si="272"/>
        <v>0</v>
      </c>
      <c r="Y192" s="7">
        <f t="shared" ca="1" si="272"/>
        <v>0</v>
      </c>
      <c r="Z192" s="7">
        <f t="shared" ca="1" si="272"/>
        <v>0</v>
      </c>
      <c r="AA192" s="7">
        <f t="shared" ca="1" si="272"/>
        <v>0</v>
      </c>
      <c r="AB192" s="7">
        <f t="shared" ca="1" si="272"/>
        <v>0</v>
      </c>
      <c r="AC192" s="7">
        <f t="shared" ca="1" si="272"/>
        <v>0</v>
      </c>
      <c r="AD192" s="7">
        <f t="shared" ca="1" si="272"/>
        <v>0</v>
      </c>
      <c r="AE192" s="7">
        <f t="shared" ca="1" si="272"/>
        <v>0</v>
      </c>
      <c r="AF192" s="7">
        <f t="shared" ca="1" si="272"/>
        <v>0</v>
      </c>
      <c r="AG192" s="7">
        <f t="shared" ca="1" si="272"/>
        <v>0</v>
      </c>
      <c r="AH192" s="7">
        <f t="shared" ca="1" si="272"/>
        <v>0</v>
      </c>
      <c r="AI192" s="7">
        <f t="shared" ca="1" si="272"/>
        <v>0</v>
      </c>
      <c r="AJ192" s="7">
        <f t="shared" ca="1" si="272"/>
        <v>0</v>
      </c>
      <c r="AK192" s="7">
        <f t="shared" ca="1" si="272"/>
        <v>0</v>
      </c>
      <c r="AL192" s="7">
        <f t="shared" ca="1" si="272"/>
        <v>0</v>
      </c>
      <c r="AM192" s="7">
        <f t="shared" ca="1" si="272"/>
        <v>0</v>
      </c>
    </row>
    <row r="193" spans="1:39" x14ac:dyDescent="0.2">
      <c r="A193" s="3" t="s">
        <v>69</v>
      </c>
      <c r="C193" s="7">
        <f ca="1">C192*Inputs!$B$259</f>
        <v>0</v>
      </c>
      <c r="D193" s="7">
        <f ca="1">D192*Inputs!$B$259</f>
        <v>0</v>
      </c>
      <c r="E193" s="7">
        <f ca="1">E192*Inputs!$B$259</f>
        <v>0</v>
      </c>
      <c r="F193" s="7">
        <f ca="1">F192*Inputs!$B$259</f>
        <v>0</v>
      </c>
      <c r="G193" s="7">
        <f ca="1">G192*Inputs!$B$259</f>
        <v>0</v>
      </c>
      <c r="H193" s="7">
        <f ca="1">H192*Inputs!$B$259</f>
        <v>0</v>
      </c>
      <c r="I193" s="7">
        <f ca="1">I192*Inputs!$B$259</f>
        <v>0</v>
      </c>
      <c r="J193" s="7">
        <f ca="1">J192*Inputs!$B$259</f>
        <v>0</v>
      </c>
      <c r="K193" s="7">
        <f ca="1">K192*Inputs!$B$259</f>
        <v>0</v>
      </c>
      <c r="L193" s="7">
        <f ca="1">L192*Inputs!$B$259</f>
        <v>0</v>
      </c>
      <c r="M193" s="7">
        <f ca="1">M192*Inputs!$B$259</f>
        <v>0</v>
      </c>
      <c r="N193" s="7">
        <f ca="1">N192*Inputs!$B$259</f>
        <v>0</v>
      </c>
      <c r="O193" s="7">
        <f ca="1">O192*Inputs!$B$259</f>
        <v>0</v>
      </c>
      <c r="P193" s="7">
        <f ca="1">P192*Inputs!$B$259</f>
        <v>0</v>
      </c>
      <c r="Q193" s="7">
        <f ca="1">Q192*Inputs!$B$259</f>
        <v>0</v>
      </c>
      <c r="R193" s="7">
        <f ca="1">R192*Inputs!$B$259</f>
        <v>0</v>
      </c>
      <c r="S193" s="7">
        <f ca="1">S192*Inputs!$B$259</f>
        <v>0</v>
      </c>
      <c r="T193" s="7">
        <f ca="1">T192*Inputs!$B$259</f>
        <v>0</v>
      </c>
      <c r="U193" s="7">
        <f ca="1">U192*Inputs!$B$259</f>
        <v>0</v>
      </c>
      <c r="V193" s="7">
        <f ca="1">V192*Inputs!$B$259</f>
        <v>0</v>
      </c>
      <c r="W193" s="7">
        <f ca="1">W192*Inputs!$B$259</f>
        <v>0</v>
      </c>
      <c r="X193" s="7">
        <f ca="1">X192*Inputs!$B$259</f>
        <v>0</v>
      </c>
      <c r="Y193" s="7">
        <f ca="1">Y192*Inputs!$B$259</f>
        <v>0</v>
      </c>
      <c r="Z193" s="7">
        <f ca="1">Z192*Inputs!$B$259</f>
        <v>0</v>
      </c>
      <c r="AA193" s="7">
        <f ca="1">AA192*Inputs!$B$259</f>
        <v>0</v>
      </c>
      <c r="AB193" s="7">
        <f ca="1">AB192*Inputs!$B$259</f>
        <v>0</v>
      </c>
      <c r="AC193" s="7">
        <f ca="1">AC192*Inputs!$B$259</f>
        <v>0</v>
      </c>
      <c r="AD193" s="7">
        <f ca="1">AD192*Inputs!$B$259</f>
        <v>0</v>
      </c>
      <c r="AE193" s="7">
        <f ca="1">AE192*Inputs!$B$259</f>
        <v>0</v>
      </c>
      <c r="AF193" s="7">
        <f ca="1">AF192*Inputs!$B$259</f>
        <v>0</v>
      </c>
      <c r="AG193" s="7">
        <f ca="1">AG192*Inputs!$B$259</f>
        <v>0</v>
      </c>
      <c r="AH193" s="7">
        <f ca="1">AH192*Inputs!$B$259</f>
        <v>0</v>
      </c>
      <c r="AI193" s="7">
        <f ca="1">AI192*Inputs!$B$259</f>
        <v>0</v>
      </c>
      <c r="AJ193" s="7">
        <f ca="1">AJ192*Inputs!$B$259</f>
        <v>0</v>
      </c>
      <c r="AK193" s="7">
        <f ca="1">AK192*Inputs!$B$259</f>
        <v>0</v>
      </c>
      <c r="AL193" s="7">
        <f ca="1">AL192*Inputs!$B$259</f>
        <v>0</v>
      </c>
      <c r="AM193" s="7">
        <f ca="1">AM192*Inputs!$B$259</f>
        <v>0</v>
      </c>
    </row>
    <row r="194" spans="1:39" x14ac:dyDescent="0.2">
      <c r="A194" s="3" t="s">
        <v>150</v>
      </c>
      <c r="C194" s="7">
        <f ca="1">C191+SUM($C193:C193)</f>
        <v>12809.375000000015</v>
      </c>
      <c r="D194" s="7">
        <f ca="1">D191+SUM($C193:D193)</f>
        <v>24162.215625000026</v>
      </c>
      <c r="E194" s="7">
        <f ca="1">E191+SUM($C193:E193)</f>
        <v>41813.279140625047</v>
      </c>
      <c r="F194" s="7">
        <f ca="1">F191+SUM($C193:F193)</f>
        <v>41803.568657505195</v>
      </c>
      <c r="G194" s="7">
        <f ca="1">G191+SUM($C193:G193)</f>
        <v>73524.627177360788</v>
      </c>
      <c r="H194" s="7">
        <f ca="1">H191+SUM($C193:H193)</f>
        <v>111945.76563583669</v>
      </c>
      <c r="I194" s="7">
        <f ca="1">I191+SUM($C193:I193)</f>
        <v>179058.63493181192</v>
      </c>
      <c r="J194" s="7">
        <f ca="1">J191+SUM($C193:J193)</f>
        <v>250182.50067145552</v>
      </c>
      <c r="K194" s="7">
        <f ca="1">K191+SUM($C193:K193)</f>
        <v>308095.70278366783</v>
      </c>
      <c r="L194" s="7">
        <f ca="1">L191+SUM($C193:L193)</f>
        <v>453640.47280939861</v>
      </c>
      <c r="M194" s="7">
        <f ca="1">M191+SUM($C193:M193)</f>
        <v>510683.42164108111</v>
      </c>
      <c r="N194" s="7">
        <f ca="1">N191+SUM($C193:N193)</f>
        <v>621525.85327123245</v>
      </c>
      <c r="O194" s="7">
        <f ca="1">O191+SUM($C193:O193)</f>
        <v>738362.94313265686</v>
      </c>
      <c r="P194" s="7">
        <f ca="1">P191+SUM($C193:P193)</f>
        <v>861449.23653079802</v>
      </c>
      <c r="Q194" s="7">
        <f ca="1">Q191+SUM($C193:Q193)</f>
        <v>991048.98204238666</v>
      </c>
      <c r="R194" s="7">
        <f ca="1">R191+SUM($C193:R193)</f>
        <v>1127436.4792682112</v>
      </c>
      <c r="S194" s="7">
        <f ca="1">S191+SUM($C193:S193)</f>
        <v>1270896.4385593834</v>
      </c>
      <c r="T194" s="7">
        <f ca="1">T191+SUM($C193:T193)</f>
        <v>1312493.9107349962</v>
      </c>
      <c r="U194" s="7">
        <f ca="1">U191+SUM($C193:U193)</f>
        <v>1363530.8459680481</v>
      </c>
      <c r="V194" s="7">
        <f ca="1">V191+SUM($C193:V193)</f>
        <v>1416566.1280568431</v>
      </c>
      <c r="W194" s="7">
        <f ca="1">W191+SUM($C193:W193)</f>
        <v>1471676.7180232967</v>
      </c>
      <c r="X194" s="7">
        <f ca="1">X191+SUM($C193:X193)</f>
        <v>1528942.4442265448</v>
      </c>
      <c r="Y194" s="7">
        <f ca="1">Y191+SUM($C193:Y193)</f>
        <v>1567529.0131961552</v>
      </c>
      <c r="Z194" s="7">
        <f ca="1">Z191+SUM($C193:Z193)</f>
        <v>1607393.5393787338</v>
      </c>
      <c r="AA194" s="7">
        <f ca="1">AA191+SUM($C193:AA193)</f>
        <v>1648585.8680630873</v>
      </c>
      <c r="AB194" s="7">
        <f ca="1">AB191+SUM($C193:AB193)</f>
        <v>1691157.8400002168</v>
      </c>
      <c r="AC194" s="7">
        <f ca="1">AC191+SUM($C193:AC193)</f>
        <v>1735163.3690807538</v>
      </c>
      <c r="AD194" s="7">
        <f ca="1">AD191+SUM($C193:AD193)</f>
        <v>1780658.5229208304</v>
      </c>
      <c r="AE194" s="7">
        <f ca="1">AE191+SUM($C193:AE193)</f>
        <v>1837808.8624938719</v>
      </c>
      <c r="AF194" s="7">
        <f ca="1">AF191+SUM($C193:AF193)</f>
        <v>1897073.1235563438</v>
      </c>
      <c r="AG194" s="7">
        <f ca="1">AG191+SUM($C193:AG193)</f>
        <v>1958533.3002031124</v>
      </c>
      <c r="AH194" s="7">
        <f ca="1">AH191+SUM($C193:AH193)</f>
        <v>2022274.5255423354</v>
      </c>
      <c r="AI194" s="7">
        <f ca="1">AI191+SUM($C193:AI193)</f>
        <v>2088385.1882151016</v>
      </c>
      <c r="AJ194" s="7">
        <f ca="1">AJ191+SUM($C193:AJ193)</f>
        <v>2156957.0531036272</v>
      </c>
      <c r="AK194" s="7">
        <f ca="1">AK191+SUM($C193:AK193)</f>
        <v>2228085.3863743474</v>
      </c>
      <c r="AL194" s="7">
        <f ca="1">AL191+SUM($C193:AL193)</f>
        <v>2301869.0850072289</v>
      </c>
      <c r="AM194" s="7">
        <f ca="1">AM191+SUM($C193:AM193)</f>
        <v>2378410.8109677895</v>
      </c>
    </row>
    <row r="195" spans="1:39" x14ac:dyDescent="0.2">
      <c r="A195" s="3" t="s">
        <v>20</v>
      </c>
      <c r="C195" s="7">
        <f ca="1">IF(C194&lt;0,-C194,0)</f>
        <v>0</v>
      </c>
      <c r="D195" s="7">
        <f ca="1">IF(D194+SUM($C195:C195)&lt;0,-(D194+SUM($C195:C195)),0)</f>
        <v>0</v>
      </c>
      <c r="E195" s="7">
        <f ca="1">IF(E194+SUM($C195:D195)&lt;0,-(E194+SUM($C195:D195)),0)</f>
        <v>0</v>
      </c>
      <c r="F195" s="7">
        <f ca="1">IF(F194+SUM($C195:E195)&lt;0,-(F194+SUM($C195:E195)),0)</f>
        <v>0</v>
      </c>
      <c r="G195" s="7">
        <f ca="1">IF(G194+SUM($C195:F195)&lt;0,-(G194+SUM($C195:F195)),0)</f>
        <v>0</v>
      </c>
      <c r="H195" s="7">
        <f ca="1">IF(H194+SUM($C195:G195)&lt;0,-(H194+SUM($C195:G195)),0)</f>
        <v>0</v>
      </c>
      <c r="I195" s="7">
        <f ca="1">IF(I194+SUM($C195:H195)&lt;0,-(I194+SUM($C195:H195)),0)</f>
        <v>0</v>
      </c>
      <c r="J195" s="7">
        <f ca="1">IF(J194+SUM($C195:I195)&lt;0,-(J194+SUM($C195:I195)),0)</f>
        <v>0</v>
      </c>
      <c r="K195" s="7">
        <f ca="1">IF(K194+SUM($C195:J195)&lt;0,-(K194+SUM($C195:J195)),0)</f>
        <v>0</v>
      </c>
      <c r="L195" s="7">
        <f ca="1">IF(L194+SUM($C195:K195)&lt;0,-(L194+SUM($C195:K195)),0)</f>
        <v>0</v>
      </c>
      <c r="M195" s="7">
        <f ca="1">IF(M194+SUM($C195:L195)&lt;0,-(M194+SUM($C195:L195)),0)</f>
        <v>0</v>
      </c>
      <c r="N195" s="7">
        <f ca="1">IF(N194+SUM($C195:M195)&lt;0,-(N194+SUM($C195:M195)),0)</f>
        <v>0</v>
      </c>
      <c r="O195" s="7">
        <f ca="1">IF(O194+SUM($C195:N195)&lt;0,-(O194+SUM($C195:N195)),0)</f>
        <v>0</v>
      </c>
      <c r="P195" s="7">
        <f ca="1">IF(P194+SUM($C195:O195)&lt;0,-(P194+SUM($C195:O195)),0)</f>
        <v>0</v>
      </c>
      <c r="Q195" s="7">
        <f ca="1">IF(Q194+SUM($C195:P195)&lt;0,-(Q194+SUM($C195:P195)),0)</f>
        <v>0</v>
      </c>
      <c r="R195" s="7">
        <f ca="1">IF(R194+SUM($C195:Q195)&lt;0,-(R194+SUM($C195:Q195)),0)</f>
        <v>0</v>
      </c>
      <c r="S195" s="7">
        <f ca="1">IF(S194+SUM($C195:R195)&lt;0,-(S194+SUM($C195:R195)),0)</f>
        <v>0</v>
      </c>
      <c r="T195" s="7">
        <f ca="1">IF(T194+SUM($C195:S195)&lt;0,-(T194+SUM($C195:S195)),0)</f>
        <v>0</v>
      </c>
      <c r="U195" s="7">
        <f ca="1">IF(U194+SUM($C195:T195)&lt;0,-(U194+SUM($C195:T195)),0)</f>
        <v>0</v>
      </c>
      <c r="V195" s="7">
        <f ca="1">IF(V194+SUM($C195:U195)&lt;0,-(V194+SUM($C195:U195)),0)</f>
        <v>0</v>
      </c>
      <c r="W195" s="7">
        <f ca="1">IF(W194+SUM($C195:V195)&lt;0,-(W194+SUM($C195:V195)),0)</f>
        <v>0</v>
      </c>
      <c r="X195" s="7">
        <f ca="1">IF(X194+SUM($C195:W195)&lt;0,-(X194+SUM($C195:W195)),0)</f>
        <v>0</v>
      </c>
      <c r="Y195" s="7">
        <f ca="1">IF(Y194+SUM($C195:X195)&lt;0,-(Y194+SUM($C195:X195)),0)</f>
        <v>0</v>
      </c>
      <c r="Z195" s="7">
        <f ca="1">IF(Z194+SUM($C195:Y195)&lt;0,-(Z194+SUM($C195:Y195)),0)</f>
        <v>0</v>
      </c>
      <c r="AA195" s="7">
        <f ca="1">IF(AA194+SUM($C195:Z195)&lt;0,-(AA194+SUM($C195:Z195)),0)</f>
        <v>0</v>
      </c>
      <c r="AB195" s="7">
        <f ca="1">IF(AB194+SUM($C195:AA195)&lt;0,-(AB194+SUM($C195:AA195)),0)</f>
        <v>0</v>
      </c>
      <c r="AC195" s="7">
        <f ca="1">IF(AC194+SUM($C195:AB195)&lt;0,-(AC194+SUM($C195:AB195)),0)</f>
        <v>0</v>
      </c>
      <c r="AD195" s="7">
        <f ca="1">IF(AD194+SUM($C195:AC195)&lt;0,-(AD194+SUM($C195:AC195)),0)</f>
        <v>0</v>
      </c>
      <c r="AE195" s="7">
        <f ca="1">IF(AE194+SUM($C195:AD195)&lt;0,-(AE194+SUM($C195:AD195)),0)</f>
        <v>0</v>
      </c>
      <c r="AF195" s="7">
        <f ca="1">IF(AF194+SUM($C195:AE195)&lt;0,-(AF194+SUM($C195:AE195)),0)</f>
        <v>0</v>
      </c>
      <c r="AG195" s="7">
        <f ca="1">IF(AG194+SUM($C195:AF195)&lt;0,-(AG194+SUM($C195:AF195)),0)</f>
        <v>0</v>
      </c>
      <c r="AH195" s="7">
        <f ca="1">IF(AH194+SUM($C195:AG195)&lt;0,-(AH194+SUM($C195:AG195)),0)</f>
        <v>0</v>
      </c>
      <c r="AI195" s="7">
        <f ca="1">IF(AI194+SUM($C195:AH195)&lt;0,-(AI194+SUM($C195:AH195)),0)</f>
        <v>0</v>
      </c>
      <c r="AJ195" s="7">
        <f ca="1">IF(AJ194+SUM($C195:AI195)&lt;0,-(AJ194+SUM($C195:AI195)),0)</f>
        <v>0</v>
      </c>
      <c r="AK195" s="7">
        <f ca="1">IF(AK194+SUM($C195:AJ195)&lt;0,-(AK194+SUM($C195:AJ195)),0)</f>
        <v>0</v>
      </c>
      <c r="AL195" s="7">
        <f ca="1">IF(AL194+SUM($C195:AK195)&lt;0,-(AL194+SUM($C195:AK195)),0)</f>
        <v>0</v>
      </c>
      <c r="AM195" s="7">
        <f ca="1">IF(AM194+SUM($C195:AL195)&lt;0,-(AM194+SUM($C195:AL195)),0)</f>
        <v>0</v>
      </c>
    </row>
    <row r="196" spans="1:39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x14ac:dyDescent="0.2">
      <c r="A197" s="24" t="str">
        <f>IF(Inputs!$B$279=6,IFERROR(_xlfn.XLOOKUP($B197,Inputs!$B$280:$B$289,Inputs!$A$280:$A$289,,0,1),""),IFERROR(_xlfn.XLOOKUP($B197,Inputs!$C$280:$C$289,Inputs!$A$280:$A$289,,0,1),""))</f>
        <v>Marsa</v>
      </c>
      <c r="B197" s="26">
        <v>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3" t="s">
        <v>22</v>
      </c>
      <c r="C198" s="7">
        <f ca="1">IFERROR(VLOOKUP($A197,$A$65:$H$94,C$1+2,FALSE),0)</f>
        <v>122992.58610458997</v>
      </c>
      <c r="D198" s="7">
        <f ca="1">C201</f>
        <v>122992.58610458997</v>
      </c>
      <c r="E198" s="7">
        <f t="shared" ref="E198" ca="1" si="273">D201</f>
        <v>126682.36368772766</v>
      </c>
      <c r="F198" s="7">
        <f t="shared" ref="F198" ca="1" si="274">E201</f>
        <v>130482.83459835949</v>
      </c>
      <c r="G198" s="7">
        <f t="shared" ref="G198" ca="1" si="275">F201</f>
        <v>134397.31963631028</v>
      </c>
      <c r="H198" s="7">
        <f t="shared" ref="H198" ca="1" si="276">G201</f>
        <v>138429.23922539959</v>
      </c>
      <c r="I198" s="7">
        <f t="shared" ref="I198" ca="1" si="277">H201</f>
        <v>142582.11640216157</v>
      </c>
      <c r="J198" s="7">
        <f t="shared" ref="J198" ca="1" si="278">I201</f>
        <v>146859.57989422642</v>
      </c>
      <c r="K198" s="7">
        <f t="shared" ref="K198" ca="1" si="279">J201</f>
        <v>151265.3672910532</v>
      </c>
      <c r="L198" s="7">
        <f t="shared" ref="L198" ca="1" si="280">K201</f>
        <v>155803.32830978479</v>
      </c>
      <c r="M198" s="7">
        <f t="shared" ref="M198" ca="1" si="281">L201</f>
        <v>160477.42815907832</v>
      </c>
      <c r="N198" s="7">
        <f t="shared" ref="N198" ca="1" si="282">M201</f>
        <v>165291.75100385066</v>
      </c>
      <c r="O198" s="7">
        <f t="shared" ref="O198" ca="1" si="283">N201</f>
        <v>170250.50353396617</v>
      </c>
      <c r="P198" s="7">
        <f t="shared" ref="P198" ca="1" si="284">O201</f>
        <v>175358.01863998515</v>
      </c>
      <c r="Q198" s="7">
        <f t="shared" ref="Q198" ca="1" si="285">P201</f>
        <v>180618.75919918471</v>
      </c>
      <c r="R198" s="7">
        <f t="shared" ref="R198" ca="1" si="286">Q201</f>
        <v>186037.32197516024</v>
      </c>
      <c r="S198" s="7">
        <f t="shared" ref="S198" ca="1" si="287">R201</f>
        <v>191618.44163441504</v>
      </c>
      <c r="T198" s="7">
        <f t="shared" ref="T198" ca="1" si="288">S201</f>
        <v>197366.99488344748</v>
      </c>
      <c r="U198" s="7">
        <f t="shared" ref="U198" ca="1" si="289">T201</f>
        <v>203288.00472995092</v>
      </c>
      <c r="V198" s="7">
        <f t="shared" ref="V198" ca="1" si="290">U201</f>
        <v>209386.64487184945</v>
      </c>
      <c r="W198" s="7">
        <f t="shared" ref="W198" ca="1" si="291">V201</f>
        <v>215668.24421800493</v>
      </c>
      <c r="X198" s="7">
        <f t="shared" ref="X198" ca="1" si="292">W201</f>
        <v>222138.29154454506</v>
      </c>
      <c r="Y198" s="7">
        <f t="shared" ref="Y198" ca="1" si="293">X201</f>
        <v>228802.44029088141</v>
      </c>
      <c r="Z198" s="7">
        <f t="shared" ref="Z198" ca="1" si="294">Y201</f>
        <v>235666.51349960786</v>
      </c>
      <c r="AA198" s="7">
        <f t="shared" ref="AA198" ca="1" si="295">Z201</f>
        <v>242736.50890459609</v>
      </c>
      <c r="AB198" s="7">
        <f t="shared" ref="AB198" ca="1" si="296">AA201</f>
        <v>250018.60417173398</v>
      </c>
      <c r="AC198" s="7">
        <f t="shared" ref="AC198" ca="1" si="297">AB201</f>
        <v>257519.162296886</v>
      </c>
      <c r="AD198" s="7">
        <f t="shared" ref="AD198" ca="1" si="298">AC201</f>
        <v>265244.73716579255</v>
      </c>
      <c r="AE198" s="7">
        <f t="shared" ref="AE198" ca="1" si="299">AD201</f>
        <v>273202.07928076631</v>
      </c>
      <c r="AF198" s="7">
        <f t="shared" ref="AF198" ca="1" si="300">AE201</f>
        <v>281398.14165918931</v>
      </c>
      <c r="AG198" s="7">
        <f t="shared" ref="AG198" ca="1" si="301">AF201</f>
        <v>289840.08590896497</v>
      </c>
      <c r="AH198" s="7">
        <f t="shared" ref="AH198" ca="1" si="302">AG201</f>
        <v>298535.28848623391</v>
      </c>
      <c r="AI198" s="7">
        <f t="shared" ref="AI198" ca="1" si="303">AH201</f>
        <v>307491.34714082093</v>
      </c>
      <c r="AJ198" s="7">
        <f t="shared" ref="AJ198" ca="1" si="304">AI201</f>
        <v>316716.08755504555</v>
      </c>
      <c r="AK198" s="7">
        <f t="shared" ref="AK198" ca="1" si="305">AJ201</f>
        <v>326217.57018169691</v>
      </c>
      <c r="AL198" s="7">
        <f t="shared" ref="AL198" ca="1" si="306">AK201</f>
        <v>336004.09728714783</v>
      </c>
      <c r="AM198" s="7">
        <f t="shared" ref="AM198" ca="1" si="307">AL201</f>
        <v>346084.22020576225</v>
      </c>
    </row>
    <row r="199" spans="1:39" x14ac:dyDescent="0.2">
      <c r="A199" s="3" t="s">
        <v>23</v>
      </c>
      <c r="C199" s="7">
        <f ca="1">-IF(D195&gt;0,C198,0)</f>
        <v>0</v>
      </c>
      <c r="D199" s="7">
        <f ca="1">-IF(E195&gt;0,D198,0)</f>
        <v>0</v>
      </c>
      <c r="E199" s="7">
        <f ca="1">-IF(F195&gt;0,E198,0)</f>
        <v>0</v>
      </c>
      <c r="F199" s="7">
        <f ca="1">-IF(G195&gt;0,F198,0)</f>
        <v>0</v>
      </c>
      <c r="G199" s="7">
        <f t="shared" ref="G199" ca="1" si="308">-IF(H195&gt;0,G198,0)</f>
        <v>0</v>
      </c>
      <c r="H199" s="7">
        <f t="shared" ref="H199" ca="1" si="309">-IF(I195&gt;0,H198,0)</f>
        <v>0</v>
      </c>
      <c r="I199" s="7">
        <f t="shared" ref="I199" ca="1" si="310">-IF(J195&gt;0,I198,0)</f>
        <v>0</v>
      </c>
      <c r="J199" s="7">
        <f t="shared" ref="J199" ca="1" si="311">-IF(K195&gt;0,J198,0)</f>
        <v>0</v>
      </c>
      <c r="K199" s="7">
        <f t="shared" ref="K199" ca="1" si="312">-IF(L195&gt;0,K198,0)</f>
        <v>0</v>
      </c>
      <c r="L199" s="7">
        <f t="shared" ref="L199" ca="1" si="313">-IF(M195&gt;0,L198,0)</f>
        <v>0</v>
      </c>
      <c r="M199" s="7">
        <f t="shared" ref="M199" ca="1" si="314">-IF(N195&gt;0,M198,0)</f>
        <v>0</v>
      </c>
      <c r="N199" s="7">
        <f t="shared" ref="N199" ca="1" si="315">-IF(O195&gt;0,N198,0)</f>
        <v>0</v>
      </c>
      <c r="O199" s="7">
        <f t="shared" ref="O199" ca="1" si="316">-IF(P195&gt;0,O198,0)</f>
        <v>0</v>
      </c>
      <c r="P199" s="7">
        <f t="shared" ref="P199" ca="1" si="317">-IF(Q195&gt;0,P198,0)</f>
        <v>0</v>
      </c>
      <c r="Q199" s="7">
        <f t="shared" ref="Q199" ca="1" si="318">-IF(R195&gt;0,Q198,0)</f>
        <v>0</v>
      </c>
      <c r="R199" s="7">
        <f t="shared" ref="R199" ca="1" si="319">-IF(S195&gt;0,R198,0)</f>
        <v>0</v>
      </c>
      <c r="S199" s="7">
        <f t="shared" ref="S199" ca="1" si="320">-IF(T195&gt;0,S198,0)</f>
        <v>0</v>
      </c>
      <c r="T199" s="7">
        <f t="shared" ref="T199" ca="1" si="321">-IF(U195&gt;0,T198,0)</f>
        <v>0</v>
      </c>
      <c r="U199" s="7">
        <f t="shared" ref="U199" ca="1" si="322">-IF(V195&gt;0,U198,0)</f>
        <v>0</v>
      </c>
      <c r="V199" s="7">
        <f t="shared" ref="V199" ca="1" si="323">-IF(W195&gt;0,V198,0)</f>
        <v>0</v>
      </c>
      <c r="W199" s="7">
        <f t="shared" ref="W199" ca="1" si="324">-IF(X195&gt;0,W198,0)</f>
        <v>0</v>
      </c>
      <c r="X199" s="7">
        <f t="shared" ref="X199" ca="1" si="325">-IF(Y195&gt;0,X198,0)</f>
        <v>0</v>
      </c>
      <c r="Y199" s="7">
        <f t="shared" ref="Y199" ca="1" si="326">-IF(Z195&gt;0,Y198,0)</f>
        <v>0</v>
      </c>
      <c r="Z199" s="7">
        <f t="shared" ref="Z199" ca="1" si="327">-IF(AA195&gt;0,Z198,0)</f>
        <v>0</v>
      </c>
      <c r="AA199" s="7">
        <f t="shared" ref="AA199" ca="1" si="328">-IF(AB195&gt;0,AA198,0)</f>
        <v>0</v>
      </c>
      <c r="AB199" s="7">
        <f t="shared" ref="AB199" ca="1" si="329">-IF(AC195&gt;0,AB198,0)</f>
        <v>0</v>
      </c>
      <c r="AC199" s="7">
        <f t="shared" ref="AC199" ca="1" si="330">-IF(AD195&gt;0,AC198,0)</f>
        <v>0</v>
      </c>
      <c r="AD199" s="7">
        <f t="shared" ref="AD199" ca="1" si="331">-IF(AE195&gt;0,AD198,0)</f>
        <v>0</v>
      </c>
      <c r="AE199" s="7">
        <f t="shared" ref="AE199" ca="1" si="332">-IF(AF195&gt;0,AE198,0)</f>
        <v>0</v>
      </c>
      <c r="AF199" s="7">
        <f t="shared" ref="AF199" ca="1" si="333">-IF(AG195&gt;0,AF198,0)</f>
        <v>0</v>
      </c>
      <c r="AG199" s="7">
        <f t="shared" ref="AG199" ca="1" si="334">-IF(AH195&gt;0,AG198,0)</f>
        <v>0</v>
      </c>
      <c r="AH199" s="7">
        <f t="shared" ref="AH199" ca="1" si="335">-IF(AI195&gt;0,AH198,0)</f>
        <v>0</v>
      </c>
      <c r="AI199" s="7">
        <f t="shared" ref="AI199" ca="1" si="336">-IF(AJ195&gt;0,AI198,0)</f>
        <v>0</v>
      </c>
      <c r="AJ199" s="7">
        <f t="shared" ref="AJ199" ca="1" si="337">-IF(AK195&gt;0,AJ198,0)</f>
        <v>0</v>
      </c>
      <c r="AK199" s="7">
        <f t="shared" ref="AK199" ca="1" si="338">-IF(AL195&gt;0,AK198,0)</f>
        <v>0</v>
      </c>
      <c r="AL199" s="7">
        <f t="shared" ref="AL199" ca="1" si="339">-IF(AM195&gt;0,AL198,0)</f>
        <v>0</v>
      </c>
      <c r="AM199" s="7">
        <f t="shared" ref="AM199" si="340">-IF(AN195&gt;0,AM198,0)</f>
        <v>0</v>
      </c>
    </row>
    <row r="200" spans="1:39" x14ac:dyDescent="0.2">
      <c r="A200" s="3" t="s">
        <v>24</v>
      </c>
      <c r="C200" s="7">
        <v>0</v>
      </c>
      <c r="D200" s="7">
        <f t="shared" ref="D200:AM200" ca="1" si="341">SUM(D198:D199)*VLOOKUP($A197,AssVar,2,FALSE)</f>
        <v>3689.7775831376989</v>
      </c>
      <c r="E200" s="7">
        <f t="shared" ca="1" si="341"/>
        <v>3800.4709106318296</v>
      </c>
      <c r="F200" s="7">
        <f t="shared" ca="1" si="341"/>
        <v>3914.4850379507848</v>
      </c>
      <c r="G200" s="7">
        <f t="shared" ca="1" si="341"/>
        <v>4031.9195890893079</v>
      </c>
      <c r="H200" s="7">
        <f t="shared" ca="1" si="341"/>
        <v>4152.8771767619874</v>
      </c>
      <c r="I200" s="7">
        <f t="shared" ca="1" si="341"/>
        <v>4277.4634920648468</v>
      </c>
      <c r="J200" s="7">
        <f t="shared" ca="1" si="341"/>
        <v>4405.7873968267922</v>
      </c>
      <c r="K200" s="7">
        <f t="shared" ca="1" si="341"/>
        <v>4537.9610187315957</v>
      </c>
      <c r="L200" s="7">
        <f t="shared" ca="1" si="341"/>
        <v>4674.0998492935432</v>
      </c>
      <c r="M200" s="7">
        <f t="shared" ca="1" si="341"/>
        <v>4814.3228447723495</v>
      </c>
      <c r="N200" s="7">
        <f t="shared" ca="1" si="341"/>
        <v>4958.7525301155192</v>
      </c>
      <c r="O200" s="7">
        <f t="shared" ca="1" si="341"/>
        <v>5107.5151060189846</v>
      </c>
      <c r="P200" s="7">
        <f t="shared" ca="1" si="341"/>
        <v>5260.7405591995548</v>
      </c>
      <c r="Q200" s="7">
        <f t="shared" ca="1" si="341"/>
        <v>5418.5627759755416</v>
      </c>
      <c r="R200" s="7">
        <f t="shared" ca="1" si="341"/>
        <v>5581.1196592548067</v>
      </c>
      <c r="S200" s="7">
        <f t="shared" ca="1" si="341"/>
        <v>5748.5532490324513</v>
      </c>
      <c r="T200" s="7">
        <f t="shared" ca="1" si="341"/>
        <v>5921.0098465034243</v>
      </c>
      <c r="U200" s="7">
        <f t="shared" ca="1" si="341"/>
        <v>6098.640141898527</v>
      </c>
      <c r="V200" s="7">
        <f t="shared" ca="1" si="341"/>
        <v>6281.5993461554835</v>
      </c>
      <c r="W200" s="7">
        <f t="shared" ca="1" si="341"/>
        <v>6470.0473265401479</v>
      </c>
      <c r="X200" s="7">
        <f t="shared" ca="1" si="341"/>
        <v>6664.1487463363519</v>
      </c>
      <c r="Y200" s="7">
        <f t="shared" ca="1" si="341"/>
        <v>6864.0732087264423</v>
      </c>
      <c r="Z200" s="7">
        <f t="shared" ca="1" si="341"/>
        <v>7069.9954049882354</v>
      </c>
      <c r="AA200" s="7">
        <f t="shared" ca="1" si="341"/>
        <v>7282.0952671378827</v>
      </c>
      <c r="AB200" s="7">
        <f t="shared" ca="1" si="341"/>
        <v>7500.5581251520189</v>
      </c>
      <c r="AC200" s="7">
        <f t="shared" ca="1" si="341"/>
        <v>7725.5748689065795</v>
      </c>
      <c r="AD200" s="7">
        <f t="shared" ca="1" si="341"/>
        <v>7957.342114973776</v>
      </c>
      <c r="AE200" s="7">
        <f t="shared" ca="1" si="341"/>
        <v>8196.0623784229883</v>
      </c>
      <c r="AF200" s="7">
        <f t="shared" ca="1" si="341"/>
        <v>8441.9442497756791</v>
      </c>
      <c r="AG200" s="7">
        <f t="shared" ca="1" si="341"/>
        <v>8695.2025772689485</v>
      </c>
      <c r="AH200" s="7">
        <f t="shared" ca="1" si="341"/>
        <v>8956.0586545870174</v>
      </c>
      <c r="AI200" s="7">
        <f t="shared" ca="1" si="341"/>
        <v>9224.7404142246269</v>
      </c>
      <c r="AJ200" s="7">
        <f t="shared" ca="1" si="341"/>
        <v>9501.4826266513664</v>
      </c>
      <c r="AK200" s="7">
        <f t="shared" ca="1" si="341"/>
        <v>9786.5271054509067</v>
      </c>
      <c r="AL200" s="7">
        <f t="shared" ca="1" si="341"/>
        <v>10080.122918614434</v>
      </c>
      <c r="AM200" s="7">
        <f t="shared" ca="1" si="341"/>
        <v>10382.526606172867</v>
      </c>
    </row>
    <row r="201" spans="1:39" x14ac:dyDescent="0.2">
      <c r="A201" s="3" t="s">
        <v>25</v>
      </c>
      <c r="C201" s="7">
        <f ca="1">SUM(C198:C200)</f>
        <v>122992.58610458997</v>
      </c>
      <c r="D201" s="7">
        <f t="shared" ref="D201:AM201" ca="1" si="342">SUM(D198:D200)</f>
        <v>126682.36368772766</v>
      </c>
      <c r="E201" s="7">
        <f t="shared" ca="1" si="342"/>
        <v>130482.83459835949</v>
      </c>
      <c r="F201" s="7">
        <f t="shared" ca="1" si="342"/>
        <v>134397.31963631028</v>
      </c>
      <c r="G201" s="7">
        <f t="shared" ca="1" si="342"/>
        <v>138429.23922539959</v>
      </c>
      <c r="H201" s="7">
        <f t="shared" ca="1" si="342"/>
        <v>142582.11640216157</v>
      </c>
      <c r="I201" s="7">
        <f t="shared" ca="1" si="342"/>
        <v>146859.57989422642</v>
      </c>
      <c r="J201" s="7">
        <f t="shared" ca="1" si="342"/>
        <v>151265.3672910532</v>
      </c>
      <c r="K201" s="7">
        <f t="shared" ca="1" si="342"/>
        <v>155803.32830978479</v>
      </c>
      <c r="L201" s="7">
        <f t="shared" ca="1" si="342"/>
        <v>160477.42815907832</v>
      </c>
      <c r="M201" s="7">
        <f t="shared" ca="1" si="342"/>
        <v>165291.75100385066</v>
      </c>
      <c r="N201" s="7">
        <f t="shared" ca="1" si="342"/>
        <v>170250.50353396617</v>
      </c>
      <c r="O201" s="7">
        <f t="shared" ca="1" si="342"/>
        <v>175358.01863998515</v>
      </c>
      <c r="P201" s="7">
        <f t="shared" ca="1" si="342"/>
        <v>180618.75919918471</v>
      </c>
      <c r="Q201" s="7">
        <f t="shared" ca="1" si="342"/>
        <v>186037.32197516024</v>
      </c>
      <c r="R201" s="7">
        <f t="shared" ca="1" si="342"/>
        <v>191618.44163441504</v>
      </c>
      <c r="S201" s="7">
        <f t="shared" ca="1" si="342"/>
        <v>197366.99488344748</v>
      </c>
      <c r="T201" s="7">
        <f t="shared" ca="1" si="342"/>
        <v>203288.00472995092</v>
      </c>
      <c r="U201" s="7">
        <f t="shared" ca="1" si="342"/>
        <v>209386.64487184945</v>
      </c>
      <c r="V201" s="7">
        <f t="shared" ca="1" si="342"/>
        <v>215668.24421800493</v>
      </c>
      <c r="W201" s="7">
        <f t="shared" ca="1" si="342"/>
        <v>222138.29154454506</v>
      </c>
      <c r="X201" s="7">
        <f t="shared" ca="1" si="342"/>
        <v>228802.44029088141</v>
      </c>
      <c r="Y201" s="7">
        <f t="shared" ca="1" si="342"/>
        <v>235666.51349960786</v>
      </c>
      <c r="Z201" s="7">
        <f t="shared" ca="1" si="342"/>
        <v>242736.50890459609</v>
      </c>
      <c r="AA201" s="7">
        <f t="shared" ca="1" si="342"/>
        <v>250018.60417173398</v>
      </c>
      <c r="AB201" s="7">
        <f t="shared" ca="1" si="342"/>
        <v>257519.162296886</v>
      </c>
      <c r="AC201" s="7">
        <f t="shared" ca="1" si="342"/>
        <v>265244.73716579255</v>
      </c>
      <c r="AD201" s="7">
        <f t="shared" ca="1" si="342"/>
        <v>273202.07928076631</v>
      </c>
      <c r="AE201" s="7">
        <f t="shared" ca="1" si="342"/>
        <v>281398.14165918931</v>
      </c>
      <c r="AF201" s="7">
        <f t="shared" ca="1" si="342"/>
        <v>289840.08590896497</v>
      </c>
      <c r="AG201" s="7">
        <f t="shared" ca="1" si="342"/>
        <v>298535.28848623391</v>
      </c>
      <c r="AH201" s="7">
        <f t="shared" ca="1" si="342"/>
        <v>307491.34714082093</v>
      </c>
      <c r="AI201" s="7">
        <f t="shared" ca="1" si="342"/>
        <v>316716.08755504555</v>
      </c>
      <c r="AJ201" s="7">
        <f t="shared" ca="1" si="342"/>
        <v>326217.57018169691</v>
      </c>
      <c r="AK201" s="7">
        <f t="shared" ca="1" si="342"/>
        <v>336004.09728714783</v>
      </c>
      <c r="AL201" s="7">
        <f t="shared" ca="1" si="342"/>
        <v>346084.22020576225</v>
      </c>
      <c r="AM201" s="7">
        <f t="shared" ca="1" si="342"/>
        <v>356466.7468119351</v>
      </c>
    </row>
    <row r="202" spans="1:39" x14ac:dyDescent="0.2">
      <c r="A202" s="3" t="s">
        <v>26</v>
      </c>
      <c r="C202" s="7">
        <f t="shared" ref="C202:AM202" ca="1" si="343">C199*VLOOKUP($A197,AssVar,3,FALSE)</f>
        <v>0</v>
      </c>
      <c r="D202" s="7">
        <f t="shared" ca="1" si="343"/>
        <v>0</v>
      </c>
      <c r="E202" s="7">
        <f t="shared" ca="1" si="343"/>
        <v>0</v>
      </c>
      <c r="F202" s="7">
        <f t="shared" ca="1" si="343"/>
        <v>0</v>
      </c>
      <c r="G202" s="7">
        <f t="shared" ca="1" si="343"/>
        <v>0</v>
      </c>
      <c r="H202" s="7">
        <f t="shared" ca="1" si="343"/>
        <v>0</v>
      </c>
      <c r="I202" s="7">
        <f t="shared" ca="1" si="343"/>
        <v>0</v>
      </c>
      <c r="J202" s="7">
        <f t="shared" ca="1" si="343"/>
        <v>0</v>
      </c>
      <c r="K202" s="7">
        <f t="shared" ca="1" si="343"/>
        <v>0</v>
      </c>
      <c r="L202" s="7">
        <f t="shared" ca="1" si="343"/>
        <v>0</v>
      </c>
      <c r="M202" s="7">
        <f t="shared" ca="1" si="343"/>
        <v>0</v>
      </c>
      <c r="N202" s="7">
        <f t="shared" ca="1" si="343"/>
        <v>0</v>
      </c>
      <c r="O202" s="7">
        <f t="shared" ca="1" si="343"/>
        <v>0</v>
      </c>
      <c r="P202" s="7">
        <f t="shared" ca="1" si="343"/>
        <v>0</v>
      </c>
      <c r="Q202" s="7">
        <f t="shared" ca="1" si="343"/>
        <v>0</v>
      </c>
      <c r="R202" s="7">
        <f t="shared" ca="1" si="343"/>
        <v>0</v>
      </c>
      <c r="S202" s="7">
        <f t="shared" ca="1" si="343"/>
        <v>0</v>
      </c>
      <c r="T202" s="7">
        <f t="shared" ca="1" si="343"/>
        <v>0</v>
      </c>
      <c r="U202" s="7">
        <f t="shared" ca="1" si="343"/>
        <v>0</v>
      </c>
      <c r="V202" s="7">
        <f t="shared" ca="1" si="343"/>
        <v>0</v>
      </c>
      <c r="W202" s="7">
        <f t="shared" ca="1" si="343"/>
        <v>0</v>
      </c>
      <c r="X202" s="7">
        <f t="shared" ca="1" si="343"/>
        <v>0</v>
      </c>
      <c r="Y202" s="7">
        <f t="shared" ca="1" si="343"/>
        <v>0</v>
      </c>
      <c r="Z202" s="7">
        <f t="shared" ca="1" si="343"/>
        <v>0</v>
      </c>
      <c r="AA202" s="7">
        <f t="shared" ca="1" si="343"/>
        <v>0</v>
      </c>
      <c r="AB202" s="7">
        <f t="shared" ca="1" si="343"/>
        <v>0</v>
      </c>
      <c r="AC202" s="7">
        <f t="shared" ca="1" si="343"/>
        <v>0</v>
      </c>
      <c r="AD202" s="7">
        <f t="shared" ca="1" si="343"/>
        <v>0</v>
      </c>
      <c r="AE202" s="7">
        <f t="shared" ca="1" si="343"/>
        <v>0</v>
      </c>
      <c r="AF202" s="7">
        <f t="shared" ca="1" si="343"/>
        <v>0</v>
      </c>
      <c r="AG202" s="7">
        <f t="shared" ca="1" si="343"/>
        <v>0</v>
      </c>
      <c r="AH202" s="7">
        <f t="shared" ca="1" si="343"/>
        <v>0</v>
      </c>
      <c r="AI202" s="7">
        <f t="shared" ca="1" si="343"/>
        <v>0</v>
      </c>
      <c r="AJ202" s="7">
        <f t="shared" ca="1" si="343"/>
        <v>0</v>
      </c>
      <c r="AK202" s="7">
        <f t="shared" ca="1" si="343"/>
        <v>0</v>
      </c>
      <c r="AL202" s="7">
        <f t="shared" ca="1" si="343"/>
        <v>0</v>
      </c>
      <c r="AM202" s="7">
        <f t="shared" si="343"/>
        <v>0</v>
      </c>
    </row>
    <row r="203" spans="1:39" x14ac:dyDescent="0.2">
      <c r="A203" s="3" t="s">
        <v>31</v>
      </c>
      <c r="C203" s="7">
        <f t="shared" ref="C203:AM203" ca="1" si="344">IFERROR(-IF(C198=0,VLOOKUP($A197,$8:$12,C$1+2,FALSE),0),0)</f>
        <v>0</v>
      </c>
      <c r="D203" s="7">
        <f t="shared" ca="1" si="344"/>
        <v>0</v>
      </c>
      <c r="E203" s="7">
        <f t="shared" ca="1" si="344"/>
        <v>0</v>
      </c>
      <c r="F203" s="7">
        <f t="shared" ca="1" si="344"/>
        <v>0</v>
      </c>
      <c r="G203" s="7">
        <f t="shared" ca="1" si="344"/>
        <v>0</v>
      </c>
      <c r="H203" s="7">
        <f t="shared" ca="1" si="344"/>
        <v>0</v>
      </c>
      <c r="I203" s="7">
        <f t="shared" ca="1" si="344"/>
        <v>0</v>
      </c>
      <c r="J203" s="7">
        <f t="shared" ca="1" si="344"/>
        <v>0</v>
      </c>
      <c r="K203" s="7">
        <f t="shared" ca="1" si="344"/>
        <v>0</v>
      </c>
      <c r="L203" s="7">
        <f t="shared" ca="1" si="344"/>
        <v>0</v>
      </c>
      <c r="M203" s="7">
        <f t="shared" ca="1" si="344"/>
        <v>0</v>
      </c>
      <c r="N203" s="7">
        <f t="shared" ca="1" si="344"/>
        <v>0</v>
      </c>
      <c r="O203" s="7">
        <f t="shared" ca="1" si="344"/>
        <v>0</v>
      </c>
      <c r="P203" s="7">
        <f t="shared" ca="1" si="344"/>
        <v>0</v>
      </c>
      <c r="Q203" s="7">
        <f t="shared" ca="1" si="344"/>
        <v>0</v>
      </c>
      <c r="R203" s="7">
        <f t="shared" ca="1" si="344"/>
        <v>0</v>
      </c>
      <c r="S203" s="7">
        <f t="shared" ca="1" si="344"/>
        <v>0</v>
      </c>
      <c r="T203" s="7">
        <f t="shared" ca="1" si="344"/>
        <v>0</v>
      </c>
      <c r="U203" s="7">
        <f t="shared" ca="1" si="344"/>
        <v>0</v>
      </c>
      <c r="V203" s="7">
        <f t="shared" ca="1" si="344"/>
        <v>0</v>
      </c>
      <c r="W203" s="7">
        <f t="shared" ca="1" si="344"/>
        <v>0</v>
      </c>
      <c r="X203" s="7">
        <f t="shared" ca="1" si="344"/>
        <v>0</v>
      </c>
      <c r="Y203" s="7">
        <f t="shared" ca="1" si="344"/>
        <v>0</v>
      </c>
      <c r="Z203" s="7">
        <f t="shared" ca="1" si="344"/>
        <v>0</v>
      </c>
      <c r="AA203" s="7">
        <f t="shared" ca="1" si="344"/>
        <v>0</v>
      </c>
      <c r="AB203" s="7">
        <f t="shared" ca="1" si="344"/>
        <v>0</v>
      </c>
      <c r="AC203" s="7">
        <f t="shared" ca="1" si="344"/>
        <v>0</v>
      </c>
      <c r="AD203" s="7">
        <f t="shared" ca="1" si="344"/>
        <v>0</v>
      </c>
      <c r="AE203" s="7">
        <f t="shared" ca="1" si="344"/>
        <v>0</v>
      </c>
      <c r="AF203" s="7">
        <f t="shared" ca="1" si="344"/>
        <v>0</v>
      </c>
      <c r="AG203" s="7">
        <f t="shared" ca="1" si="344"/>
        <v>0</v>
      </c>
      <c r="AH203" s="7">
        <f t="shared" ca="1" si="344"/>
        <v>0</v>
      </c>
      <c r="AI203" s="7">
        <f t="shared" ca="1" si="344"/>
        <v>0</v>
      </c>
      <c r="AJ203" s="7">
        <f t="shared" ca="1" si="344"/>
        <v>0</v>
      </c>
      <c r="AK203" s="7">
        <f t="shared" ca="1" si="344"/>
        <v>0</v>
      </c>
      <c r="AL203" s="7">
        <f t="shared" ca="1" si="344"/>
        <v>0</v>
      </c>
      <c r="AM203" s="7">
        <f t="shared" ca="1" si="344"/>
        <v>0</v>
      </c>
    </row>
    <row r="204" spans="1:39" x14ac:dyDescent="0.2">
      <c r="A204" s="3" t="s">
        <v>50</v>
      </c>
      <c r="C204" s="7">
        <f t="shared" ref="C204:AM204" ca="1" si="345">IFERROR(IF(C198=0,VLOOKUP($A197,$45:$49,C$1+2,FALSE),0),0)</f>
        <v>0</v>
      </c>
      <c r="D204" s="7">
        <f t="shared" ca="1" si="345"/>
        <v>0</v>
      </c>
      <c r="E204" s="7">
        <f t="shared" ca="1" si="345"/>
        <v>0</v>
      </c>
      <c r="F204" s="7">
        <f t="shared" ca="1" si="345"/>
        <v>0</v>
      </c>
      <c r="G204" s="7">
        <f t="shared" ca="1" si="345"/>
        <v>0</v>
      </c>
      <c r="H204" s="7">
        <f t="shared" ca="1" si="345"/>
        <v>0</v>
      </c>
      <c r="I204" s="7">
        <f t="shared" ca="1" si="345"/>
        <v>0</v>
      </c>
      <c r="J204" s="7">
        <f t="shared" ca="1" si="345"/>
        <v>0</v>
      </c>
      <c r="K204" s="7">
        <f t="shared" ca="1" si="345"/>
        <v>0</v>
      </c>
      <c r="L204" s="7">
        <f t="shared" ca="1" si="345"/>
        <v>0</v>
      </c>
      <c r="M204" s="7">
        <f t="shared" ca="1" si="345"/>
        <v>0</v>
      </c>
      <c r="N204" s="7">
        <f t="shared" ca="1" si="345"/>
        <v>0</v>
      </c>
      <c r="O204" s="7">
        <f t="shared" ca="1" si="345"/>
        <v>0</v>
      </c>
      <c r="P204" s="7">
        <f t="shared" ca="1" si="345"/>
        <v>0</v>
      </c>
      <c r="Q204" s="7">
        <f t="shared" ca="1" si="345"/>
        <v>0</v>
      </c>
      <c r="R204" s="7">
        <f t="shared" ca="1" si="345"/>
        <v>0</v>
      </c>
      <c r="S204" s="7">
        <f t="shared" ca="1" si="345"/>
        <v>0</v>
      </c>
      <c r="T204" s="7">
        <f t="shared" ca="1" si="345"/>
        <v>0</v>
      </c>
      <c r="U204" s="7">
        <f t="shared" ca="1" si="345"/>
        <v>0</v>
      </c>
      <c r="V204" s="7">
        <f t="shared" ca="1" si="345"/>
        <v>0</v>
      </c>
      <c r="W204" s="7">
        <f t="shared" ca="1" si="345"/>
        <v>0</v>
      </c>
      <c r="X204" s="7">
        <f t="shared" ca="1" si="345"/>
        <v>0</v>
      </c>
      <c r="Y204" s="7">
        <f t="shared" ca="1" si="345"/>
        <v>0</v>
      </c>
      <c r="Z204" s="7">
        <f t="shared" ca="1" si="345"/>
        <v>0</v>
      </c>
      <c r="AA204" s="7">
        <f t="shared" ca="1" si="345"/>
        <v>0</v>
      </c>
      <c r="AB204" s="7">
        <f t="shared" ca="1" si="345"/>
        <v>0</v>
      </c>
      <c r="AC204" s="7">
        <f t="shared" ca="1" si="345"/>
        <v>0</v>
      </c>
      <c r="AD204" s="7">
        <f t="shared" ca="1" si="345"/>
        <v>0</v>
      </c>
      <c r="AE204" s="7">
        <f t="shared" ca="1" si="345"/>
        <v>0</v>
      </c>
      <c r="AF204" s="7">
        <f t="shared" ca="1" si="345"/>
        <v>0</v>
      </c>
      <c r="AG204" s="7">
        <f t="shared" ca="1" si="345"/>
        <v>0</v>
      </c>
      <c r="AH204" s="7">
        <f t="shared" ca="1" si="345"/>
        <v>0</v>
      </c>
      <c r="AI204" s="7">
        <f t="shared" ca="1" si="345"/>
        <v>0</v>
      </c>
      <c r="AJ204" s="7">
        <f t="shared" ca="1" si="345"/>
        <v>0</v>
      </c>
      <c r="AK204" s="7">
        <f t="shared" ca="1" si="345"/>
        <v>0</v>
      </c>
      <c r="AL204" s="7">
        <f t="shared" ca="1" si="345"/>
        <v>0</v>
      </c>
      <c r="AM204" s="7">
        <f t="shared" ca="1" si="345"/>
        <v>0</v>
      </c>
    </row>
    <row r="205" spans="1:39" x14ac:dyDescent="0.2">
      <c r="A205" s="3" t="s">
        <v>36</v>
      </c>
      <c r="B205" s="14" t="str">
        <f>A197</f>
        <v>Marsa</v>
      </c>
      <c r="C205" s="7">
        <f t="shared" ref="C205:AM205" ca="1" si="346">IF(AND(C198&gt;0,C201=0),VLOOKUP($A197,$83:$92,C$1+2,FALSE),0)</f>
        <v>0</v>
      </c>
      <c r="D205" s="7">
        <f t="shared" ca="1" si="346"/>
        <v>0</v>
      </c>
      <c r="E205" s="7">
        <f t="shared" ca="1" si="346"/>
        <v>0</v>
      </c>
      <c r="F205" s="7">
        <f t="shared" ca="1" si="346"/>
        <v>0</v>
      </c>
      <c r="G205" s="7">
        <f t="shared" ca="1" si="346"/>
        <v>0</v>
      </c>
      <c r="H205" s="7">
        <f t="shared" ca="1" si="346"/>
        <v>0</v>
      </c>
      <c r="I205" s="7">
        <f t="shared" ca="1" si="346"/>
        <v>0</v>
      </c>
      <c r="J205" s="7">
        <f t="shared" ca="1" si="346"/>
        <v>0</v>
      </c>
      <c r="K205" s="7">
        <f t="shared" ca="1" si="346"/>
        <v>0</v>
      </c>
      <c r="L205" s="7">
        <f t="shared" ca="1" si="346"/>
        <v>0</v>
      </c>
      <c r="M205" s="7">
        <f t="shared" ca="1" si="346"/>
        <v>0</v>
      </c>
      <c r="N205" s="7">
        <f t="shared" ca="1" si="346"/>
        <v>0</v>
      </c>
      <c r="O205" s="7">
        <f t="shared" ca="1" si="346"/>
        <v>0</v>
      </c>
      <c r="P205" s="7">
        <f t="shared" ca="1" si="346"/>
        <v>0</v>
      </c>
      <c r="Q205" s="7">
        <f t="shared" ca="1" si="346"/>
        <v>0</v>
      </c>
      <c r="R205" s="7">
        <f t="shared" ca="1" si="346"/>
        <v>0</v>
      </c>
      <c r="S205" s="7">
        <f t="shared" ca="1" si="346"/>
        <v>0</v>
      </c>
      <c r="T205" s="7">
        <f t="shared" ca="1" si="346"/>
        <v>0</v>
      </c>
      <c r="U205" s="7">
        <f t="shared" ca="1" si="346"/>
        <v>0</v>
      </c>
      <c r="V205" s="7">
        <f t="shared" ca="1" si="346"/>
        <v>0</v>
      </c>
      <c r="W205" s="7">
        <f t="shared" ca="1" si="346"/>
        <v>0</v>
      </c>
      <c r="X205" s="7">
        <f t="shared" ca="1" si="346"/>
        <v>0</v>
      </c>
      <c r="Y205" s="7">
        <f t="shared" ca="1" si="346"/>
        <v>0</v>
      </c>
      <c r="Z205" s="7">
        <f t="shared" ca="1" si="346"/>
        <v>0</v>
      </c>
      <c r="AA205" s="7">
        <f t="shared" ca="1" si="346"/>
        <v>0</v>
      </c>
      <c r="AB205" s="7">
        <f t="shared" ca="1" si="346"/>
        <v>0</v>
      </c>
      <c r="AC205" s="7">
        <f t="shared" ca="1" si="346"/>
        <v>0</v>
      </c>
      <c r="AD205" s="7">
        <f t="shared" ca="1" si="346"/>
        <v>0</v>
      </c>
      <c r="AE205" s="7">
        <f t="shared" ca="1" si="346"/>
        <v>0</v>
      </c>
      <c r="AF205" s="7">
        <f t="shared" ca="1" si="346"/>
        <v>0</v>
      </c>
      <c r="AG205" s="7">
        <f t="shared" ca="1" si="346"/>
        <v>0</v>
      </c>
      <c r="AH205" s="7">
        <f t="shared" ca="1" si="346"/>
        <v>0</v>
      </c>
      <c r="AI205" s="7">
        <f t="shared" ca="1" si="346"/>
        <v>0</v>
      </c>
      <c r="AJ205" s="7">
        <f t="shared" ca="1" si="346"/>
        <v>0</v>
      </c>
      <c r="AK205" s="7">
        <f t="shared" ca="1" si="346"/>
        <v>0</v>
      </c>
      <c r="AL205" s="7">
        <f t="shared" ca="1" si="346"/>
        <v>0</v>
      </c>
      <c r="AM205" s="7">
        <f t="shared" ca="1" si="346"/>
        <v>0</v>
      </c>
    </row>
    <row r="206" spans="1:39" x14ac:dyDescent="0.2">
      <c r="A206" s="3" t="s">
        <v>37</v>
      </c>
      <c r="C206" s="7">
        <f ca="1">-C199+SUM(C202:C205)</f>
        <v>0</v>
      </c>
      <c r="D206" s="7">
        <f t="shared" ref="D206" ca="1" si="347">-D199+SUM(D202:D205)</f>
        <v>0</v>
      </c>
      <c r="E206" s="7">
        <f t="shared" ref="E206:AM206" ca="1" si="348">-E199+SUM(E202:E205)</f>
        <v>0</v>
      </c>
      <c r="F206" s="7">
        <f t="shared" ca="1" si="348"/>
        <v>0</v>
      </c>
      <c r="G206" s="7">
        <f t="shared" ca="1" si="348"/>
        <v>0</v>
      </c>
      <c r="H206" s="7">
        <f t="shared" ca="1" si="348"/>
        <v>0</v>
      </c>
      <c r="I206" s="7">
        <f t="shared" ca="1" si="348"/>
        <v>0</v>
      </c>
      <c r="J206" s="7">
        <f t="shared" ca="1" si="348"/>
        <v>0</v>
      </c>
      <c r="K206" s="7">
        <f t="shared" ca="1" si="348"/>
        <v>0</v>
      </c>
      <c r="L206" s="7">
        <f t="shared" ca="1" si="348"/>
        <v>0</v>
      </c>
      <c r="M206" s="7">
        <f t="shared" ca="1" si="348"/>
        <v>0</v>
      </c>
      <c r="N206" s="7">
        <f t="shared" ca="1" si="348"/>
        <v>0</v>
      </c>
      <c r="O206" s="7">
        <f t="shared" ca="1" si="348"/>
        <v>0</v>
      </c>
      <c r="P206" s="7">
        <f t="shared" ca="1" si="348"/>
        <v>0</v>
      </c>
      <c r="Q206" s="7">
        <f t="shared" ca="1" si="348"/>
        <v>0</v>
      </c>
      <c r="R206" s="7">
        <f t="shared" ca="1" si="348"/>
        <v>0</v>
      </c>
      <c r="S206" s="7">
        <f t="shared" ca="1" si="348"/>
        <v>0</v>
      </c>
      <c r="T206" s="7">
        <f t="shared" ca="1" si="348"/>
        <v>0</v>
      </c>
      <c r="U206" s="7">
        <f t="shared" ca="1" si="348"/>
        <v>0</v>
      </c>
      <c r="V206" s="7">
        <f t="shared" ca="1" si="348"/>
        <v>0</v>
      </c>
      <c r="W206" s="7">
        <f t="shared" ca="1" si="348"/>
        <v>0</v>
      </c>
      <c r="X206" s="7">
        <f t="shared" ca="1" si="348"/>
        <v>0</v>
      </c>
      <c r="Y206" s="7">
        <f t="shared" ca="1" si="348"/>
        <v>0</v>
      </c>
      <c r="Z206" s="7">
        <f t="shared" ca="1" si="348"/>
        <v>0</v>
      </c>
      <c r="AA206" s="7">
        <f t="shared" ca="1" si="348"/>
        <v>0</v>
      </c>
      <c r="AB206" s="7">
        <f t="shared" ca="1" si="348"/>
        <v>0</v>
      </c>
      <c r="AC206" s="7">
        <f t="shared" ca="1" si="348"/>
        <v>0</v>
      </c>
      <c r="AD206" s="7">
        <f t="shared" ca="1" si="348"/>
        <v>0</v>
      </c>
      <c r="AE206" s="7">
        <f t="shared" ca="1" si="348"/>
        <v>0</v>
      </c>
      <c r="AF206" s="7">
        <f t="shared" ca="1" si="348"/>
        <v>0</v>
      </c>
      <c r="AG206" s="7">
        <f t="shared" ca="1" si="348"/>
        <v>0</v>
      </c>
      <c r="AH206" s="7">
        <f t="shared" ca="1" si="348"/>
        <v>0</v>
      </c>
      <c r="AI206" s="7">
        <f t="shared" ca="1" si="348"/>
        <v>0</v>
      </c>
      <c r="AJ206" s="7">
        <f t="shared" ca="1" si="348"/>
        <v>0</v>
      </c>
      <c r="AK206" s="7">
        <f t="shared" ca="1" si="348"/>
        <v>0</v>
      </c>
      <c r="AL206" s="7">
        <f t="shared" ca="1" si="348"/>
        <v>0</v>
      </c>
      <c r="AM206" s="7">
        <f t="shared" ca="1" si="348"/>
        <v>0</v>
      </c>
    </row>
    <row r="207" spans="1:39" x14ac:dyDescent="0.2">
      <c r="A207" s="3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">
      <c r="A208" s="3" t="s">
        <v>71</v>
      </c>
      <c r="C208" s="7">
        <f ca="1">C194+SUM($C206:C206)</f>
        <v>12809.375000000015</v>
      </c>
      <c r="D208" s="7">
        <f ca="1">D194+SUM($C206:D206)</f>
        <v>24162.215625000026</v>
      </c>
      <c r="E208" s="7">
        <f ca="1">E194+SUM($C206:E206)</f>
        <v>41813.279140625047</v>
      </c>
      <c r="F208" s="7">
        <f ca="1">F194+SUM($C206:F206)</f>
        <v>41803.568657505195</v>
      </c>
      <c r="G208" s="7">
        <f ca="1">G194+SUM($C206:G206)</f>
        <v>73524.627177360788</v>
      </c>
      <c r="H208" s="7">
        <f ca="1">H194+SUM($C206:H206)</f>
        <v>111945.76563583669</v>
      </c>
      <c r="I208" s="7">
        <f ca="1">I194+SUM($C206:I206)</f>
        <v>179058.63493181192</v>
      </c>
      <c r="J208" s="7">
        <f ca="1">J194+SUM($C206:J206)</f>
        <v>250182.50067145552</v>
      </c>
      <c r="K208" s="7">
        <f ca="1">K194+SUM($C206:K206)</f>
        <v>308095.70278366783</v>
      </c>
      <c r="L208" s="7">
        <f ca="1">L194+SUM($C206:L206)</f>
        <v>453640.47280939861</v>
      </c>
      <c r="M208" s="7">
        <f ca="1">M194+SUM($C206:M206)</f>
        <v>510683.42164108111</v>
      </c>
      <c r="N208" s="7">
        <f ca="1">N194+SUM($C206:N206)</f>
        <v>621525.85327123245</v>
      </c>
      <c r="O208" s="7">
        <f ca="1">O194+SUM($C206:O206)</f>
        <v>738362.94313265686</v>
      </c>
      <c r="P208" s="7">
        <f ca="1">P194+SUM($C206:P206)</f>
        <v>861449.23653079802</v>
      </c>
      <c r="Q208" s="7">
        <f ca="1">Q194+SUM($C206:Q206)</f>
        <v>991048.98204238666</v>
      </c>
      <c r="R208" s="7">
        <f ca="1">R194+SUM($C206:R206)</f>
        <v>1127436.4792682112</v>
      </c>
      <c r="S208" s="7">
        <f ca="1">S194+SUM($C206:S206)</f>
        <v>1270896.4385593834</v>
      </c>
      <c r="T208" s="7">
        <f ca="1">T194+SUM($C206:T206)</f>
        <v>1312493.9107349962</v>
      </c>
      <c r="U208" s="7">
        <f ca="1">U194+SUM($C206:U206)</f>
        <v>1363530.8459680481</v>
      </c>
      <c r="V208" s="7">
        <f ca="1">V194+SUM($C206:V206)</f>
        <v>1416566.1280568431</v>
      </c>
      <c r="W208" s="7">
        <f ca="1">W194+SUM($C206:W206)</f>
        <v>1471676.7180232967</v>
      </c>
      <c r="X208" s="7">
        <f ca="1">X194+SUM($C206:X206)</f>
        <v>1528942.4442265448</v>
      </c>
      <c r="Y208" s="7">
        <f ca="1">Y194+SUM($C206:Y206)</f>
        <v>1567529.0131961552</v>
      </c>
      <c r="Z208" s="7">
        <f ca="1">Z194+SUM($C206:Z206)</f>
        <v>1607393.5393787338</v>
      </c>
      <c r="AA208" s="7">
        <f ca="1">AA194+SUM($C206:AA206)</f>
        <v>1648585.8680630873</v>
      </c>
      <c r="AB208" s="7">
        <f ca="1">AB194+SUM($C206:AB206)</f>
        <v>1691157.8400002168</v>
      </c>
      <c r="AC208" s="7">
        <f ca="1">AC194+SUM($C206:AC206)</f>
        <v>1735163.3690807538</v>
      </c>
      <c r="AD208" s="7">
        <f ca="1">AD194+SUM($C206:AD206)</f>
        <v>1780658.5229208304</v>
      </c>
      <c r="AE208" s="7">
        <f ca="1">AE194+SUM($C206:AE206)</f>
        <v>1837808.8624938719</v>
      </c>
      <c r="AF208" s="7">
        <f ca="1">AF194+SUM($C206:AF206)</f>
        <v>1897073.1235563438</v>
      </c>
      <c r="AG208" s="7">
        <f ca="1">AG194+SUM($C206:AG206)</f>
        <v>1958533.3002031124</v>
      </c>
      <c r="AH208" s="7">
        <f ca="1">AH194+SUM($C206:AH206)</f>
        <v>2022274.5255423354</v>
      </c>
      <c r="AI208" s="7">
        <f ca="1">AI194+SUM($C206:AI206)</f>
        <v>2088385.1882151016</v>
      </c>
      <c r="AJ208" s="7">
        <f ca="1">AJ194+SUM($C206:AJ206)</f>
        <v>2156957.0531036272</v>
      </c>
      <c r="AK208" s="7">
        <f ca="1">AK194+SUM($C206:AK206)</f>
        <v>2228085.3863743474</v>
      </c>
      <c r="AL208" s="7">
        <f ca="1">AL194+SUM($C206:AL206)</f>
        <v>2301869.0850072289</v>
      </c>
      <c r="AM208" s="7">
        <f ca="1">AM194+SUM($C206:AM206)</f>
        <v>2378410.8109677895</v>
      </c>
    </row>
    <row r="209" spans="1:39" x14ac:dyDescent="0.2">
      <c r="A209" s="3" t="s">
        <v>68</v>
      </c>
      <c r="C209" s="7">
        <f t="shared" ref="C209:AM209" ca="1" si="349">MAX(C208+buffer,0)-MAX(C194+buffer,0)</f>
        <v>0</v>
      </c>
      <c r="D209" s="7">
        <f t="shared" ca="1" si="349"/>
        <v>0</v>
      </c>
      <c r="E209" s="7">
        <f t="shared" ca="1" si="349"/>
        <v>0</v>
      </c>
      <c r="F209" s="7">
        <f t="shared" ca="1" si="349"/>
        <v>0</v>
      </c>
      <c r="G209" s="7">
        <f t="shared" ca="1" si="349"/>
        <v>0</v>
      </c>
      <c r="H209" s="7">
        <f t="shared" ca="1" si="349"/>
        <v>0</v>
      </c>
      <c r="I209" s="7">
        <f t="shared" ca="1" si="349"/>
        <v>0</v>
      </c>
      <c r="J209" s="7">
        <f t="shared" ca="1" si="349"/>
        <v>0</v>
      </c>
      <c r="K209" s="7">
        <f t="shared" ca="1" si="349"/>
        <v>0</v>
      </c>
      <c r="L209" s="7">
        <f t="shared" ca="1" si="349"/>
        <v>0</v>
      </c>
      <c r="M209" s="7">
        <f t="shared" ca="1" si="349"/>
        <v>0</v>
      </c>
      <c r="N209" s="7">
        <f t="shared" ca="1" si="349"/>
        <v>0</v>
      </c>
      <c r="O209" s="7">
        <f t="shared" ca="1" si="349"/>
        <v>0</v>
      </c>
      <c r="P209" s="7">
        <f t="shared" ca="1" si="349"/>
        <v>0</v>
      </c>
      <c r="Q209" s="7">
        <f t="shared" ca="1" si="349"/>
        <v>0</v>
      </c>
      <c r="R209" s="7">
        <f t="shared" ca="1" si="349"/>
        <v>0</v>
      </c>
      <c r="S209" s="7">
        <f t="shared" ca="1" si="349"/>
        <v>0</v>
      </c>
      <c r="T209" s="7">
        <f t="shared" ca="1" si="349"/>
        <v>0</v>
      </c>
      <c r="U209" s="7">
        <f t="shared" ca="1" si="349"/>
        <v>0</v>
      </c>
      <c r="V209" s="7">
        <f t="shared" ca="1" si="349"/>
        <v>0</v>
      </c>
      <c r="W209" s="7">
        <f t="shared" ca="1" si="349"/>
        <v>0</v>
      </c>
      <c r="X209" s="7">
        <f t="shared" ca="1" si="349"/>
        <v>0</v>
      </c>
      <c r="Y209" s="7">
        <f t="shared" ca="1" si="349"/>
        <v>0</v>
      </c>
      <c r="Z209" s="7">
        <f t="shared" ca="1" si="349"/>
        <v>0</v>
      </c>
      <c r="AA209" s="7">
        <f t="shared" ca="1" si="349"/>
        <v>0</v>
      </c>
      <c r="AB209" s="7">
        <f t="shared" ca="1" si="349"/>
        <v>0</v>
      </c>
      <c r="AC209" s="7">
        <f t="shared" ca="1" si="349"/>
        <v>0</v>
      </c>
      <c r="AD209" s="7">
        <f t="shared" ca="1" si="349"/>
        <v>0</v>
      </c>
      <c r="AE209" s="7">
        <f t="shared" ca="1" si="349"/>
        <v>0</v>
      </c>
      <c r="AF209" s="7">
        <f t="shared" ca="1" si="349"/>
        <v>0</v>
      </c>
      <c r="AG209" s="7">
        <f t="shared" ca="1" si="349"/>
        <v>0</v>
      </c>
      <c r="AH209" s="7">
        <f t="shared" ca="1" si="349"/>
        <v>0</v>
      </c>
      <c r="AI209" s="7">
        <f t="shared" ca="1" si="349"/>
        <v>0</v>
      </c>
      <c r="AJ209" s="7">
        <f t="shared" ca="1" si="349"/>
        <v>0</v>
      </c>
      <c r="AK209" s="7">
        <f t="shared" ca="1" si="349"/>
        <v>0</v>
      </c>
      <c r="AL209" s="7">
        <f t="shared" ca="1" si="349"/>
        <v>0</v>
      </c>
      <c r="AM209" s="7">
        <f t="shared" ca="1" si="349"/>
        <v>0</v>
      </c>
    </row>
    <row r="210" spans="1:39" x14ac:dyDescent="0.2">
      <c r="A210" s="3" t="s">
        <v>69</v>
      </c>
      <c r="C210" s="7">
        <f ca="1">C209*Inputs!$B$259</f>
        <v>0</v>
      </c>
      <c r="D210" s="7">
        <f ca="1">D209*Inputs!$B$259</f>
        <v>0</v>
      </c>
      <c r="E210" s="7">
        <f ca="1">E209*Inputs!$B$259</f>
        <v>0</v>
      </c>
      <c r="F210" s="7">
        <f ca="1">F209*Inputs!$B$259</f>
        <v>0</v>
      </c>
      <c r="G210" s="7">
        <f ca="1">G209*Inputs!$B$259</f>
        <v>0</v>
      </c>
      <c r="H210" s="7">
        <f ca="1">H209*Inputs!$B$259</f>
        <v>0</v>
      </c>
      <c r="I210" s="7">
        <f ca="1">I209*Inputs!$B$259</f>
        <v>0</v>
      </c>
      <c r="J210" s="7">
        <f ca="1">J209*Inputs!$B$259</f>
        <v>0</v>
      </c>
      <c r="K210" s="7">
        <f ca="1">K209*Inputs!$B$259</f>
        <v>0</v>
      </c>
      <c r="L210" s="7">
        <f ca="1">L209*Inputs!$B$259</f>
        <v>0</v>
      </c>
      <c r="M210" s="7">
        <f ca="1">M209*Inputs!$B$259</f>
        <v>0</v>
      </c>
      <c r="N210" s="7">
        <f ca="1">N209*Inputs!$B$259</f>
        <v>0</v>
      </c>
      <c r="O210" s="7">
        <f ca="1">O209*Inputs!$B$259</f>
        <v>0</v>
      </c>
      <c r="P210" s="7">
        <f ca="1">P209*Inputs!$B$259</f>
        <v>0</v>
      </c>
      <c r="Q210" s="7">
        <f ca="1">Q209*Inputs!$B$259</f>
        <v>0</v>
      </c>
      <c r="R210" s="7">
        <f ca="1">R209*Inputs!$B$259</f>
        <v>0</v>
      </c>
      <c r="S210" s="7">
        <f ca="1">S209*Inputs!$B$259</f>
        <v>0</v>
      </c>
      <c r="T210" s="7">
        <f ca="1">T209*Inputs!$B$259</f>
        <v>0</v>
      </c>
      <c r="U210" s="7">
        <f ca="1">U209*Inputs!$B$259</f>
        <v>0</v>
      </c>
      <c r="V210" s="7">
        <f ca="1">V209*Inputs!$B$259</f>
        <v>0</v>
      </c>
      <c r="W210" s="7">
        <f ca="1">W209*Inputs!$B$259</f>
        <v>0</v>
      </c>
      <c r="X210" s="7">
        <f ca="1">X209*Inputs!$B$259</f>
        <v>0</v>
      </c>
      <c r="Y210" s="7">
        <f ca="1">Y209*Inputs!$B$259</f>
        <v>0</v>
      </c>
      <c r="Z210" s="7">
        <f ca="1">Z209*Inputs!$B$259</f>
        <v>0</v>
      </c>
      <c r="AA210" s="7">
        <f ca="1">AA209*Inputs!$B$259</f>
        <v>0</v>
      </c>
      <c r="AB210" s="7">
        <f ca="1">AB209*Inputs!$B$259</f>
        <v>0</v>
      </c>
      <c r="AC210" s="7">
        <f ca="1">AC209*Inputs!$B$259</f>
        <v>0</v>
      </c>
      <c r="AD210" s="7">
        <f ca="1">AD209*Inputs!$B$259</f>
        <v>0</v>
      </c>
      <c r="AE210" s="7">
        <f ca="1">AE209*Inputs!$B$259</f>
        <v>0</v>
      </c>
      <c r="AF210" s="7">
        <f ca="1">AF209*Inputs!$B$259</f>
        <v>0</v>
      </c>
      <c r="AG210" s="7">
        <f ca="1">AG209*Inputs!$B$259</f>
        <v>0</v>
      </c>
      <c r="AH210" s="7">
        <f ca="1">AH209*Inputs!$B$259</f>
        <v>0</v>
      </c>
      <c r="AI210" s="7">
        <f ca="1">AI209*Inputs!$B$259</f>
        <v>0</v>
      </c>
      <c r="AJ210" s="7">
        <f ca="1">AJ209*Inputs!$B$259</f>
        <v>0</v>
      </c>
      <c r="AK210" s="7">
        <f ca="1">AK209*Inputs!$B$259</f>
        <v>0</v>
      </c>
      <c r="AL210" s="7">
        <f ca="1">AL209*Inputs!$B$259</f>
        <v>0</v>
      </c>
      <c r="AM210" s="7">
        <f ca="1">AM209*Inputs!$B$259</f>
        <v>0</v>
      </c>
    </row>
    <row r="211" spans="1:39" x14ac:dyDescent="0.2">
      <c r="A211" s="3" t="s">
        <v>150</v>
      </c>
      <c r="C211" s="7">
        <f ca="1">C208+SUM($C210:C210)</f>
        <v>12809.375000000015</v>
      </c>
      <c r="D211" s="7">
        <f ca="1">D208+SUM($C210:D210)</f>
        <v>24162.215625000026</v>
      </c>
      <c r="E211" s="7">
        <f ca="1">E208+SUM($C210:E210)</f>
        <v>41813.279140625047</v>
      </c>
      <c r="F211" s="7">
        <f ca="1">F208+SUM($C210:F210)</f>
        <v>41803.568657505195</v>
      </c>
      <c r="G211" s="7">
        <f ca="1">G208+SUM($C210:G210)</f>
        <v>73524.627177360788</v>
      </c>
      <c r="H211" s="7">
        <f ca="1">H208+SUM($C210:H210)</f>
        <v>111945.76563583669</v>
      </c>
      <c r="I211" s="7">
        <f ca="1">I208+SUM($C210:I210)</f>
        <v>179058.63493181192</v>
      </c>
      <c r="J211" s="7">
        <f ca="1">J208+SUM($C210:J210)</f>
        <v>250182.50067145552</v>
      </c>
      <c r="K211" s="7">
        <f ca="1">K208+SUM($C210:K210)</f>
        <v>308095.70278366783</v>
      </c>
      <c r="L211" s="7">
        <f ca="1">L208+SUM($C210:L210)</f>
        <v>453640.47280939861</v>
      </c>
      <c r="M211" s="7">
        <f ca="1">M208+SUM($C210:M210)</f>
        <v>510683.42164108111</v>
      </c>
      <c r="N211" s="7">
        <f ca="1">N208+SUM($C210:N210)</f>
        <v>621525.85327123245</v>
      </c>
      <c r="O211" s="7">
        <f ca="1">O208+SUM($C210:O210)</f>
        <v>738362.94313265686</v>
      </c>
      <c r="P211" s="7">
        <f ca="1">P208+SUM($C210:P210)</f>
        <v>861449.23653079802</v>
      </c>
      <c r="Q211" s="7">
        <f ca="1">Q208+SUM($C210:Q210)</f>
        <v>991048.98204238666</v>
      </c>
      <c r="R211" s="7">
        <f ca="1">R208+SUM($C210:R210)</f>
        <v>1127436.4792682112</v>
      </c>
      <c r="S211" s="7">
        <f ca="1">S208+SUM($C210:S210)</f>
        <v>1270896.4385593834</v>
      </c>
      <c r="T211" s="7">
        <f ca="1">T208+SUM($C210:T210)</f>
        <v>1312493.9107349962</v>
      </c>
      <c r="U211" s="7">
        <f ca="1">U208+SUM($C210:U210)</f>
        <v>1363530.8459680481</v>
      </c>
      <c r="V211" s="7">
        <f ca="1">V208+SUM($C210:V210)</f>
        <v>1416566.1280568431</v>
      </c>
      <c r="W211" s="7">
        <f ca="1">W208+SUM($C210:W210)</f>
        <v>1471676.7180232967</v>
      </c>
      <c r="X211" s="7">
        <f ca="1">X208+SUM($C210:X210)</f>
        <v>1528942.4442265448</v>
      </c>
      <c r="Y211" s="7">
        <f ca="1">Y208+SUM($C210:Y210)</f>
        <v>1567529.0131961552</v>
      </c>
      <c r="Z211" s="7">
        <f ca="1">Z208+SUM($C210:Z210)</f>
        <v>1607393.5393787338</v>
      </c>
      <c r="AA211" s="7">
        <f ca="1">AA208+SUM($C210:AA210)</f>
        <v>1648585.8680630873</v>
      </c>
      <c r="AB211" s="7">
        <f ca="1">AB208+SUM($C210:AB210)</f>
        <v>1691157.8400002168</v>
      </c>
      <c r="AC211" s="7">
        <f ca="1">AC208+SUM($C210:AC210)</f>
        <v>1735163.3690807538</v>
      </c>
      <c r="AD211" s="7">
        <f ca="1">AD208+SUM($C210:AD210)</f>
        <v>1780658.5229208304</v>
      </c>
      <c r="AE211" s="7">
        <f ca="1">AE208+SUM($C210:AE210)</f>
        <v>1837808.8624938719</v>
      </c>
      <c r="AF211" s="7">
        <f ca="1">AF208+SUM($C210:AF210)</f>
        <v>1897073.1235563438</v>
      </c>
      <c r="AG211" s="7">
        <f ca="1">AG208+SUM($C210:AG210)</f>
        <v>1958533.3002031124</v>
      </c>
      <c r="AH211" s="7">
        <f ca="1">AH208+SUM($C210:AH210)</f>
        <v>2022274.5255423354</v>
      </c>
      <c r="AI211" s="7">
        <f ca="1">AI208+SUM($C210:AI210)</f>
        <v>2088385.1882151016</v>
      </c>
      <c r="AJ211" s="7">
        <f ca="1">AJ208+SUM($C210:AJ210)</f>
        <v>2156957.0531036272</v>
      </c>
      <c r="AK211" s="7">
        <f ca="1">AK208+SUM($C210:AK210)</f>
        <v>2228085.3863743474</v>
      </c>
      <c r="AL211" s="7">
        <f ca="1">AL208+SUM($C210:AL210)</f>
        <v>2301869.0850072289</v>
      </c>
      <c r="AM211" s="7">
        <f ca="1">AM208+SUM($C210:AM210)</f>
        <v>2378410.8109677895</v>
      </c>
    </row>
    <row r="212" spans="1:39" x14ac:dyDescent="0.2">
      <c r="A212" s="3" t="s">
        <v>20</v>
      </c>
      <c r="C212" s="7">
        <f ca="1">IF(C211&lt;0,-C211,0)</f>
        <v>0</v>
      </c>
      <c r="D212" s="7">
        <f ca="1">IF(D211+SUM($C212:C212)&lt;0,-(D211+SUM($C212:C212)),0)</f>
        <v>0</v>
      </c>
      <c r="E212" s="7">
        <f ca="1">IF(E211+SUM($C212:D212)&lt;0,-(E211+SUM($C212:D212)),0)</f>
        <v>0</v>
      </c>
      <c r="F212" s="7">
        <f ca="1">IF(F211+SUM($C212:E212)&lt;0,-(F211+SUM($C212:E212)),0)</f>
        <v>0</v>
      </c>
      <c r="G212" s="7">
        <f ca="1">IF(G211+SUM($C212:F212)&lt;0,-(G211+SUM($C212:F212)),0)</f>
        <v>0</v>
      </c>
      <c r="H212" s="7">
        <f ca="1">IF(H211+SUM($C212:G212)&lt;0,-(H211+SUM($C212:G212)),0)</f>
        <v>0</v>
      </c>
      <c r="I212" s="7">
        <f ca="1">IF(I211+SUM($C212:H212)&lt;0,-(I211+SUM($C212:H212)),0)</f>
        <v>0</v>
      </c>
      <c r="J212" s="7">
        <f ca="1">IF(J211+SUM($C212:I212)&lt;0,-(J211+SUM($C212:I212)),0)</f>
        <v>0</v>
      </c>
      <c r="K212" s="7">
        <f ca="1">IF(K211+SUM($C212:J212)&lt;0,-(K211+SUM($C212:J212)),0)</f>
        <v>0</v>
      </c>
      <c r="L212" s="7">
        <f ca="1">IF(L211+SUM($C212:K212)&lt;0,-(L211+SUM($C212:K212)),0)</f>
        <v>0</v>
      </c>
      <c r="M212" s="7">
        <f ca="1">IF(M211+SUM($C212:L212)&lt;0,-(M211+SUM($C212:L212)),0)</f>
        <v>0</v>
      </c>
      <c r="N212" s="7">
        <f ca="1">IF(N211+SUM($C212:M212)&lt;0,-(N211+SUM($C212:M212)),0)</f>
        <v>0</v>
      </c>
      <c r="O212" s="7">
        <f ca="1">IF(O211+SUM($C212:N212)&lt;0,-(O211+SUM($C212:N212)),0)</f>
        <v>0</v>
      </c>
      <c r="P212" s="7">
        <f ca="1">IF(P211+SUM($C212:O212)&lt;0,-(P211+SUM($C212:O212)),0)</f>
        <v>0</v>
      </c>
      <c r="Q212" s="7">
        <f ca="1">IF(Q211+SUM($C212:P212)&lt;0,-(Q211+SUM($C212:P212)),0)</f>
        <v>0</v>
      </c>
      <c r="R212" s="7">
        <f ca="1">IF(R211+SUM($C212:Q212)&lt;0,-(R211+SUM($C212:Q212)),0)</f>
        <v>0</v>
      </c>
      <c r="S212" s="7">
        <f ca="1">IF(S211+SUM($C212:R212)&lt;0,-(S211+SUM($C212:R212)),0)</f>
        <v>0</v>
      </c>
      <c r="T212" s="7">
        <f ca="1">IF(T211+SUM($C212:S212)&lt;0,-(T211+SUM($C212:S212)),0)</f>
        <v>0</v>
      </c>
      <c r="U212" s="7">
        <f ca="1">IF(U211+SUM($C212:T212)&lt;0,-(U211+SUM($C212:T212)),0)</f>
        <v>0</v>
      </c>
      <c r="V212" s="7">
        <f ca="1">IF(V211+SUM($C212:U212)&lt;0,-(V211+SUM($C212:U212)),0)</f>
        <v>0</v>
      </c>
      <c r="W212" s="7">
        <f ca="1">IF(W211+SUM($C212:V212)&lt;0,-(W211+SUM($C212:V212)),0)</f>
        <v>0</v>
      </c>
      <c r="X212" s="7">
        <f ca="1">IF(X211+SUM($C212:W212)&lt;0,-(X211+SUM($C212:W212)),0)</f>
        <v>0</v>
      </c>
      <c r="Y212" s="7">
        <f ca="1">IF(Y211+SUM($C212:X212)&lt;0,-(Y211+SUM($C212:X212)),0)</f>
        <v>0</v>
      </c>
      <c r="Z212" s="7">
        <f ca="1">IF(Z211+SUM($C212:Y212)&lt;0,-(Z211+SUM($C212:Y212)),0)</f>
        <v>0</v>
      </c>
      <c r="AA212" s="7">
        <f ca="1">IF(AA211+SUM($C212:Z212)&lt;0,-(AA211+SUM($C212:Z212)),0)</f>
        <v>0</v>
      </c>
      <c r="AB212" s="7">
        <f ca="1">IF(AB211+SUM($C212:AA212)&lt;0,-(AB211+SUM($C212:AA212)),0)</f>
        <v>0</v>
      </c>
      <c r="AC212" s="7">
        <f ca="1">IF(AC211+SUM($C212:AB212)&lt;0,-(AC211+SUM($C212:AB212)),0)</f>
        <v>0</v>
      </c>
      <c r="AD212" s="7">
        <f ca="1">IF(AD211+SUM($C212:AC212)&lt;0,-(AD211+SUM($C212:AC212)),0)</f>
        <v>0</v>
      </c>
      <c r="AE212" s="7">
        <f ca="1">IF(AE211+SUM($C212:AD212)&lt;0,-(AE211+SUM($C212:AD212)),0)</f>
        <v>0</v>
      </c>
      <c r="AF212" s="7">
        <f ca="1">IF(AF211+SUM($C212:AE212)&lt;0,-(AF211+SUM($C212:AE212)),0)</f>
        <v>0</v>
      </c>
      <c r="AG212" s="7">
        <f ca="1">IF(AG211+SUM($C212:AF212)&lt;0,-(AG211+SUM($C212:AF212)),0)</f>
        <v>0</v>
      </c>
      <c r="AH212" s="7">
        <f ca="1">IF(AH211+SUM($C212:AG212)&lt;0,-(AH211+SUM($C212:AG212)),0)</f>
        <v>0</v>
      </c>
      <c r="AI212" s="7">
        <f ca="1">IF(AI211+SUM($C212:AH212)&lt;0,-(AI211+SUM($C212:AH212)),0)</f>
        <v>0</v>
      </c>
      <c r="AJ212" s="7">
        <f ca="1">IF(AJ211+SUM($C212:AI212)&lt;0,-(AJ211+SUM($C212:AI212)),0)</f>
        <v>0</v>
      </c>
      <c r="AK212" s="7">
        <f ca="1">IF(AK211+SUM($C212:AJ212)&lt;0,-(AK211+SUM($C212:AJ212)),0)</f>
        <v>0</v>
      </c>
      <c r="AL212" s="7">
        <f ca="1">IF(AL211+SUM($C212:AK212)&lt;0,-(AL211+SUM($C212:AK212)),0)</f>
        <v>0</v>
      </c>
      <c r="AM212" s="7">
        <f ca="1">IF(AM211+SUM($C212:AL212)&lt;0,-(AM211+SUM($C212:AL212)),0)</f>
        <v>0</v>
      </c>
    </row>
    <row r="213" spans="1:39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x14ac:dyDescent="0.2">
      <c r="A214" s="24" t="str">
        <f>IF(Inputs!$B$279=6,IFERROR(_xlfn.XLOOKUP($B214,Inputs!$B$280:$B$289,Inputs!$A$280:$A$289,,0,1),""),IFERROR(_xlfn.XLOOKUP($B214,Inputs!$C$280:$C$289,Inputs!$A$280:$A$289,,0,1),""))</f>
        <v>Gzira</v>
      </c>
      <c r="B214" s="26">
        <v>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x14ac:dyDescent="0.2">
      <c r="A215" s="3" t="s">
        <v>22</v>
      </c>
      <c r="C215" s="7">
        <f ca="1">IFERROR(VLOOKUP($A214,$A$65:$H$94,C$1+2,FALSE),0)</f>
        <v>153740.73263073748</v>
      </c>
      <c r="D215" s="7">
        <f ca="1">C218</f>
        <v>153740.73263073748</v>
      </c>
      <c r="E215" s="7">
        <f t="shared" ref="E215" ca="1" si="350">D218</f>
        <v>158352.95460965959</v>
      </c>
      <c r="F215" s="7">
        <f t="shared" ref="F215" ca="1" si="351">E218</f>
        <v>163103.54324794936</v>
      </c>
      <c r="G215" s="7">
        <f t="shared" ref="G215" ca="1" si="352">F218</f>
        <v>167996.64954538783</v>
      </c>
      <c r="H215" s="7">
        <f t="shared" ref="H215" ca="1" si="353">G218</f>
        <v>173036.54903174946</v>
      </c>
      <c r="I215" s="7">
        <f t="shared" ref="I215" ca="1" si="354">H218</f>
        <v>178227.64550270193</v>
      </c>
      <c r="J215" s="7">
        <f t="shared" ref="J215" ca="1" si="355">I218</f>
        <v>183574.47486778299</v>
      </c>
      <c r="K215" s="7">
        <f t="shared" ref="K215" ca="1" si="356">J218</f>
        <v>189081.70911381647</v>
      </c>
      <c r="L215" s="7">
        <f t="shared" ref="L215" ca="1" si="357">K218</f>
        <v>194754.16038723095</v>
      </c>
      <c r="M215" s="7">
        <f t="shared" ref="M215" ca="1" si="358">L218</f>
        <v>200596.78519884788</v>
      </c>
      <c r="N215" s="7">
        <f t="shared" ref="N215" ca="1" si="359">M218</f>
        <v>206614.68875481331</v>
      </c>
      <c r="O215" s="7">
        <f t="shared" ref="O215" ca="1" si="360">N218</f>
        <v>212813.12941745771</v>
      </c>
      <c r="P215" s="7">
        <f t="shared" ref="P215" ca="1" si="361">O218</f>
        <v>219197.52329998143</v>
      </c>
      <c r="Q215" s="7">
        <f t="shared" ref="Q215" ca="1" si="362">P218</f>
        <v>225773.44899898086</v>
      </c>
      <c r="R215" s="7">
        <f t="shared" ref="R215" ca="1" si="363">Q218</f>
        <v>232546.65246895028</v>
      </c>
      <c r="S215" s="7">
        <f t="shared" ref="S215" ca="1" si="364">R218</f>
        <v>239523.0520430188</v>
      </c>
      <c r="T215" s="7">
        <f t="shared" ref="T215" ca="1" si="365">S218</f>
        <v>246708.74360430936</v>
      </c>
      <c r="U215" s="7">
        <f t="shared" ref="U215" ca="1" si="366">T218</f>
        <v>254110.00591243865</v>
      </c>
      <c r="V215" s="7">
        <f t="shared" ref="V215" ca="1" si="367">U218</f>
        <v>261733.30608981181</v>
      </c>
      <c r="W215" s="7">
        <f t="shared" ref="W215" ca="1" si="368">V218</f>
        <v>269585.30527250614</v>
      </c>
      <c r="X215" s="7">
        <f t="shared" ref="X215" ca="1" si="369">W218</f>
        <v>277672.86443068134</v>
      </c>
      <c r="Y215" s="7">
        <f t="shared" ref="Y215" ca="1" si="370">X218</f>
        <v>286003.05036360177</v>
      </c>
      <c r="Z215" s="7">
        <f t="shared" ref="Z215" ca="1" si="371">Y218</f>
        <v>294583.14187450981</v>
      </c>
      <c r="AA215" s="7">
        <f t="shared" ref="AA215" ca="1" si="372">Z218</f>
        <v>303420.63613074512</v>
      </c>
      <c r="AB215" s="7">
        <f t="shared" ref="AB215" ca="1" si="373">AA218</f>
        <v>312523.25521466747</v>
      </c>
      <c r="AC215" s="7">
        <f t="shared" ref="AC215" ca="1" si="374">AB218</f>
        <v>321898.9528711075</v>
      </c>
      <c r="AD215" s="7">
        <f t="shared" ref="AD215" ca="1" si="375">AC218</f>
        <v>331555.92145724071</v>
      </c>
      <c r="AE215" s="7">
        <f t="shared" ref="AE215" ca="1" si="376">AD218</f>
        <v>341502.59910095792</v>
      </c>
      <c r="AF215" s="7">
        <f t="shared" ref="AF215" ca="1" si="377">AE218</f>
        <v>351747.67707398668</v>
      </c>
      <c r="AG215" s="7">
        <f t="shared" ref="AG215" ca="1" si="378">AF218</f>
        <v>362300.10738620628</v>
      </c>
      <c r="AH215" s="7">
        <f t="shared" ref="AH215" ca="1" si="379">AG218</f>
        <v>373169.11060779245</v>
      </c>
      <c r="AI215" s="7">
        <f t="shared" ref="AI215" ca="1" si="380">AH218</f>
        <v>384364.18392602622</v>
      </c>
      <c r="AJ215" s="7">
        <f t="shared" ref="AJ215" ca="1" si="381">AI218</f>
        <v>395895.10944380698</v>
      </c>
      <c r="AK215" s="7">
        <f t="shared" ref="AK215" ca="1" si="382">AJ218</f>
        <v>407771.96272712119</v>
      </c>
      <c r="AL215" s="7">
        <f t="shared" ref="AL215" ca="1" si="383">AK218</f>
        <v>420005.12160893483</v>
      </c>
      <c r="AM215" s="7">
        <f t="shared" ref="AM215" ca="1" si="384">AL218</f>
        <v>432605.27525720285</v>
      </c>
    </row>
    <row r="216" spans="1:39" x14ac:dyDescent="0.2">
      <c r="A216" s="3" t="s">
        <v>23</v>
      </c>
      <c r="C216" s="7">
        <f ca="1">-IF(D212&gt;0,C215,0)</f>
        <v>0</v>
      </c>
      <c r="D216" s="7">
        <f ca="1">-IF(E212&gt;0,D215,0)</f>
        <v>0</v>
      </c>
      <c r="E216" s="7">
        <f ca="1">-IF(F212&gt;0,E215,0)</f>
        <v>0</v>
      </c>
      <c r="F216" s="7">
        <f ca="1">-IF(G212&gt;0,F215,0)</f>
        <v>0</v>
      </c>
      <c r="G216" s="7">
        <f t="shared" ref="G216" ca="1" si="385">-IF(H212&gt;0,G215,0)</f>
        <v>0</v>
      </c>
      <c r="H216" s="7">
        <f t="shared" ref="H216" ca="1" si="386">-IF(I212&gt;0,H215,0)</f>
        <v>0</v>
      </c>
      <c r="I216" s="7">
        <f t="shared" ref="I216" ca="1" si="387">-IF(J212&gt;0,I215,0)</f>
        <v>0</v>
      </c>
      <c r="J216" s="7">
        <f t="shared" ref="J216" ca="1" si="388">-IF(K212&gt;0,J215,0)</f>
        <v>0</v>
      </c>
      <c r="K216" s="7">
        <f t="shared" ref="K216" ca="1" si="389">-IF(L212&gt;0,K215,0)</f>
        <v>0</v>
      </c>
      <c r="L216" s="7">
        <f t="shared" ref="L216" ca="1" si="390">-IF(M212&gt;0,L215,0)</f>
        <v>0</v>
      </c>
      <c r="M216" s="7">
        <f t="shared" ref="M216" ca="1" si="391">-IF(N212&gt;0,M215,0)</f>
        <v>0</v>
      </c>
      <c r="N216" s="7">
        <f t="shared" ref="N216" ca="1" si="392">-IF(O212&gt;0,N215,0)</f>
        <v>0</v>
      </c>
      <c r="O216" s="7">
        <f t="shared" ref="O216" ca="1" si="393">-IF(P212&gt;0,O215,0)</f>
        <v>0</v>
      </c>
      <c r="P216" s="7">
        <f t="shared" ref="P216" ca="1" si="394">-IF(Q212&gt;0,P215,0)</f>
        <v>0</v>
      </c>
      <c r="Q216" s="7">
        <f t="shared" ref="Q216" ca="1" si="395">-IF(R212&gt;0,Q215,0)</f>
        <v>0</v>
      </c>
      <c r="R216" s="7">
        <f t="shared" ref="R216" ca="1" si="396">-IF(S212&gt;0,R215,0)</f>
        <v>0</v>
      </c>
      <c r="S216" s="7">
        <f t="shared" ref="S216" ca="1" si="397">-IF(T212&gt;0,S215,0)</f>
        <v>0</v>
      </c>
      <c r="T216" s="7">
        <f t="shared" ref="T216" ca="1" si="398">-IF(U212&gt;0,T215,0)</f>
        <v>0</v>
      </c>
      <c r="U216" s="7">
        <f t="shared" ref="U216" ca="1" si="399">-IF(V212&gt;0,U215,0)</f>
        <v>0</v>
      </c>
      <c r="V216" s="7">
        <f t="shared" ref="V216" ca="1" si="400">-IF(W212&gt;0,V215,0)</f>
        <v>0</v>
      </c>
      <c r="W216" s="7">
        <f t="shared" ref="W216" ca="1" si="401">-IF(X212&gt;0,W215,0)</f>
        <v>0</v>
      </c>
      <c r="X216" s="7">
        <f t="shared" ref="X216" ca="1" si="402">-IF(Y212&gt;0,X215,0)</f>
        <v>0</v>
      </c>
      <c r="Y216" s="7">
        <f t="shared" ref="Y216" ca="1" si="403">-IF(Z212&gt;0,Y215,0)</f>
        <v>0</v>
      </c>
      <c r="Z216" s="7">
        <f t="shared" ref="Z216" ca="1" si="404">-IF(AA212&gt;0,Z215,0)</f>
        <v>0</v>
      </c>
      <c r="AA216" s="7">
        <f t="shared" ref="AA216" ca="1" si="405">-IF(AB212&gt;0,AA215,0)</f>
        <v>0</v>
      </c>
      <c r="AB216" s="7">
        <f t="shared" ref="AB216" ca="1" si="406">-IF(AC212&gt;0,AB215,0)</f>
        <v>0</v>
      </c>
      <c r="AC216" s="7">
        <f t="shared" ref="AC216" ca="1" si="407">-IF(AD212&gt;0,AC215,0)</f>
        <v>0</v>
      </c>
      <c r="AD216" s="7">
        <f t="shared" ref="AD216" ca="1" si="408">-IF(AE212&gt;0,AD215,0)</f>
        <v>0</v>
      </c>
      <c r="AE216" s="7">
        <f t="shared" ref="AE216" ca="1" si="409">-IF(AF212&gt;0,AE215,0)</f>
        <v>0</v>
      </c>
      <c r="AF216" s="7">
        <f t="shared" ref="AF216" ca="1" si="410">-IF(AG212&gt;0,AF215,0)</f>
        <v>0</v>
      </c>
      <c r="AG216" s="7">
        <f t="shared" ref="AG216" ca="1" si="411">-IF(AH212&gt;0,AG215,0)</f>
        <v>0</v>
      </c>
      <c r="AH216" s="7">
        <f t="shared" ref="AH216" ca="1" si="412">-IF(AI212&gt;0,AH215,0)</f>
        <v>0</v>
      </c>
      <c r="AI216" s="7">
        <f t="shared" ref="AI216" ca="1" si="413">-IF(AJ212&gt;0,AI215,0)</f>
        <v>0</v>
      </c>
      <c r="AJ216" s="7">
        <f t="shared" ref="AJ216" ca="1" si="414">-IF(AK212&gt;0,AJ215,0)</f>
        <v>0</v>
      </c>
      <c r="AK216" s="7">
        <f t="shared" ref="AK216" ca="1" si="415">-IF(AL212&gt;0,AK215,0)</f>
        <v>0</v>
      </c>
      <c r="AL216" s="7">
        <f t="shared" ref="AL216" ca="1" si="416">-IF(AM212&gt;0,AL215,0)</f>
        <v>0</v>
      </c>
      <c r="AM216" s="7">
        <f t="shared" ref="AM216" si="417">-IF(AN212&gt;0,AM215,0)</f>
        <v>0</v>
      </c>
    </row>
    <row r="217" spans="1:39" x14ac:dyDescent="0.2">
      <c r="A217" s="3" t="s">
        <v>24</v>
      </c>
      <c r="C217" s="7">
        <v>0</v>
      </c>
      <c r="D217" s="7">
        <f t="shared" ref="D217:AM217" ca="1" si="418">SUM(D215:D216)*VLOOKUP($A214,AssVar,2,FALSE)</f>
        <v>4612.2219789221244</v>
      </c>
      <c r="E217" s="7">
        <f t="shared" ca="1" si="418"/>
        <v>4750.588638289787</v>
      </c>
      <c r="F217" s="7">
        <f t="shared" ca="1" si="418"/>
        <v>4893.1062974384804</v>
      </c>
      <c r="G217" s="7">
        <f t="shared" ca="1" si="418"/>
        <v>5039.8994863616344</v>
      </c>
      <c r="H217" s="7">
        <f t="shared" ca="1" si="418"/>
        <v>5191.0964709524833</v>
      </c>
      <c r="I217" s="7">
        <f t="shared" ca="1" si="418"/>
        <v>5346.8293650810574</v>
      </c>
      <c r="J217" s="7">
        <f t="shared" ca="1" si="418"/>
        <v>5507.2342460334894</v>
      </c>
      <c r="K217" s="7">
        <f t="shared" ca="1" si="418"/>
        <v>5672.4512734144937</v>
      </c>
      <c r="L217" s="7">
        <f t="shared" ca="1" si="418"/>
        <v>5842.6248116169281</v>
      </c>
      <c r="M217" s="7">
        <f t="shared" ca="1" si="418"/>
        <v>6017.9035559654358</v>
      </c>
      <c r="N217" s="7">
        <f t="shared" ca="1" si="418"/>
        <v>6198.4406626443988</v>
      </c>
      <c r="O217" s="7">
        <f t="shared" ca="1" si="418"/>
        <v>6384.393882523731</v>
      </c>
      <c r="P217" s="7">
        <f t="shared" ca="1" si="418"/>
        <v>6575.9256989994428</v>
      </c>
      <c r="Q217" s="7">
        <f t="shared" ca="1" si="418"/>
        <v>6773.2034699694259</v>
      </c>
      <c r="R217" s="7">
        <f t="shared" ca="1" si="418"/>
        <v>6976.3995740685086</v>
      </c>
      <c r="S217" s="7">
        <f t="shared" ca="1" si="418"/>
        <v>7185.6915612905641</v>
      </c>
      <c r="T217" s="7">
        <f t="shared" ca="1" si="418"/>
        <v>7401.2623081292804</v>
      </c>
      <c r="U217" s="7">
        <f t="shared" ca="1" si="418"/>
        <v>7623.3001773731594</v>
      </c>
      <c r="V217" s="7">
        <f t="shared" ca="1" si="418"/>
        <v>7851.9991826943542</v>
      </c>
      <c r="W217" s="7">
        <f t="shared" ca="1" si="418"/>
        <v>8087.5591581751842</v>
      </c>
      <c r="X217" s="7">
        <f t="shared" ca="1" si="418"/>
        <v>8330.1859329204399</v>
      </c>
      <c r="Y217" s="7">
        <f t="shared" ca="1" si="418"/>
        <v>8580.0915109080524</v>
      </c>
      <c r="Z217" s="7">
        <f t="shared" ca="1" si="418"/>
        <v>8837.4942562352935</v>
      </c>
      <c r="AA217" s="7">
        <f t="shared" ca="1" si="418"/>
        <v>9102.6190839223527</v>
      </c>
      <c r="AB217" s="7">
        <f t="shared" ca="1" si="418"/>
        <v>9375.6976564400229</v>
      </c>
      <c r="AC217" s="7">
        <f t="shared" ca="1" si="418"/>
        <v>9656.9685861332237</v>
      </c>
      <c r="AD217" s="7">
        <f t="shared" ca="1" si="418"/>
        <v>9946.6776437172211</v>
      </c>
      <c r="AE217" s="7">
        <f t="shared" ca="1" si="418"/>
        <v>10245.077973028738</v>
      </c>
      <c r="AF217" s="7">
        <f t="shared" ca="1" si="418"/>
        <v>10552.4303122196</v>
      </c>
      <c r="AG217" s="7">
        <f t="shared" ca="1" si="418"/>
        <v>10869.003221586188</v>
      </c>
      <c r="AH217" s="7">
        <f t="shared" ca="1" si="418"/>
        <v>11195.073318233774</v>
      </c>
      <c r="AI217" s="7">
        <f t="shared" ca="1" si="418"/>
        <v>11530.925517780786</v>
      </c>
      <c r="AJ217" s="7">
        <f t="shared" ca="1" si="418"/>
        <v>11876.853283314209</v>
      </c>
      <c r="AK217" s="7">
        <f t="shared" ca="1" si="418"/>
        <v>12233.158881813635</v>
      </c>
      <c r="AL217" s="7">
        <f t="shared" ca="1" si="418"/>
        <v>12600.153648268044</v>
      </c>
      <c r="AM217" s="7">
        <f t="shared" ca="1" si="418"/>
        <v>12978.158257716084</v>
      </c>
    </row>
    <row r="218" spans="1:39" x14ac:dyDescent="0.2">
      <c r="A218" s="3" t="s">
        <v>25</v>
      </c>
      <c r="C218" s="7">
        <f ca="1">SUM(C215:C217)</f>
        <v>153740.73263073748</v>
      </c>
      <c r="D218" s="7">
        <f t="shared" ref="D218:AM218" ca="1" si="419">SUM(D215:D217)</f>
        <v>158352.95460965959</v>
      </c>
      <c r="E218" s="7">
        <f t="shared" ca="1" si="419"/>
        <v>163103.54324794936</v>
      </c>
      <c r="F218" s="7">
        <f t="shared" ca="1" si="419"/>
        <v>167996.64954538783</v>
      </c>
      <c r="G218" s="7">
        <f t="shared" ca="1" si="419"/>
        <v>173036.54903174946</v>
      </c>
      <c r="H218" s="7">
        <f t="shared" ca="1" si="419"/>
        <v>178227.64550270193</v>
      </c>
      <c r="I218" s="7">
        <f t="shared" ca="1" si="419"/>
        <v>183574.47486778299</v>
      </c>
      <c r="J218" s="7">
        <f t="shared" ca="1" si="419"/>
        <v>189081.70911381647</v>
      </c>
      <c r="K218" s="7">
        <f t="shared" ca="1" si="419"/>
        <v>194754.16038723095</v>
      </c>
      <c r="L218" s="7">
        <f t="shared" ca="1" si="419"/>
        <v>200596.78519884788</v>
      </c>
      <c r="M218" s="7">
        <f t="shared" ca="1" si="419"/>
        <v>206614.68875481331</v>
      </c>
      <c r="N218" s="7">
        <f t="shared" ca="1" si="419"/>
        <v>212813.12941745771</v>
      </c>
      <c r="O218" s="7">
        <f t="shared" ca="1" si="419"/>
        <v>219197.52329998143</v>
      </c>
      <c r="P218" s="7">
        <f t="shared" ca="1" si="419"/>
        <v>225773.44899898086</v>
      </c>
      <c r="Q218" s="7">
        <f t="shared" ca="1" si="419"/>
        <v>232546.65246895028</v>
      </c>
      <c r="R218" s="7">
        <f t="shared" ca="1" si="419"/>
        <v>239523.0520430188</v>
      </c>
      <c r="S218" s="7">
        <f t="shared" ca="1" si="419"/>
        <v>246708.74360430936</v>
      </c>
      <c r="T218" s="7">
        <f t="shared" ca="1" si="419"/>
        <v>254110.00591243865</v>
      </c>
      <c r="U218" s="7">
        <f t="shared" ca="1" si="419"/>
        <v>261733.30608981181</v>
      </c>
      <c r="V218" s="7">
        <f t="shared" ca="1" si="419"/>
        <v>269585.30527250614</v>
      </c>
      <c r="W218" s="7">
        <f t="shared" ca="1" si="419"/>
        <v>277672.86443068134</v>
      </c>
      <c r="X218" s="7">
        <f t="shared" ca="1" si="419"/>
        <v>286003.05036360177</v>
      </c>
      <c r="Y218" s="7">
        <f t="shared" ca="1" si="419"/>
        <v>294583.14187450981</v>
      </c>
      <c r="Z218" s="7">
        <f t="shared" ca="1" si="419"/>
        <v>303420.63613074512</v>
      </c>
      <c r="AA218" s="7">
        <f t="shared" ca="1" si="419"/>
        <v>312523.25521466747</v>
      </c>
      <c r="AB218" s="7">
        <f t="shared" ca="1" si="419"/>
        <v>321898.9528711075</v>
      </c>
      <c r="AC218" s="7">
        <f t="shared" ca="1" si="419"/>
        <v>331555.92145724071</v>
      </c>
      <c r="AD218" s="7">
        <f t="shared" ca="1" si="419"/>
        <v>341502.59910095792</v>
      </c>
      <c r="AE218" s="7">
        <f t="shared" ca="1" si="419"/>
        <v>351747.67707398668</v>
      </c>
      <c r="AF218" s="7">
        <f t="shared" ca="1" si="419"/>
        <v>362300.10738620628</v>
      </c>
      <c r="AG218" s="7">
        <f t="shared" ca="1" si="419"/>
        <v>373169.11060779245</v>
      </c>
      <c r="AH218" s="7">
        <f t="shared" ca="1" si="419"/>
        <v>384364.18392602622</v>
      </c>
      <c r="AI218" s="7">
        <f t="shared" ca="1" si="419"/>
        <v>395895.10944380698</v>
      </c>
      <c r="AJ218" s="7">
        <f t="shared" ca="1" si="419"/>
        <v>407771.96272712119</v>
      </c>
      <c r="AK218" s="7">
        <f t="shared" ca="1" si="419"/>
        <v>420005.12160893483</v>
      </c>
      <c r="AL218" s="7">
        <f t="shared" ca="1" si="419"/>
        <v>432605.27525720285</v>
      </c>
      <c r="AM218" s="7">
        <f t="shared" ca="1" si="419"/>
        <v>445583.43351491896</v>
      </c>
    </row>
    <row r="219" spans="1:39" x14ac:dyDescent="0.2">
      <c r="A219" s="3" t="s">
        <v>26</v>
      </c>
      <c r="C219" s="7">
        <f t="shared" ref="C219:AM219" ca="1" si="420">C216*VLOOKUP($A214,AssVar,3,FALSE)</f>
        <v>0</v>
      </c>
      <c r="D219" s="7">
        <f t="shared" ca="1" si="420"/>
        <v>0</v>
      </c>
      <c r="E219" s="7">
        <f t="shared" ca="1" si="420"/>
        <v>0</v>
      </c>
      <c r="F219" s="7">
        <f t="shared" ca="1" si="420"/>
        <v>0</v>
      </c>
      <c r="G219" s="7">
        <f t="shared" ca="1" si="420"/>
        <v>0</v>
      </c>
      <c r="H219" s="7">
        <f t="shared" ca="1" si="420"/>
        <v>0</v>
      </c>
      <c r="I219" s="7">
        <f t="shared" ca="1" si="420"/>
        <v>0</v>
      </c>
      <c r="J219" s="7">
        <f t="shared" ca="1" si="420"/>
        <v>0</v>
      </c>
      <c r="K219" s="7">
        <f t="shared" ca="1" si="420"/>
        <v>0</v>
      </c>
      <c r="L219" s="7">
        <f t="shared" ca="1" si="420"/>
        <v>0</v>
      </c>
      <c r="M219" s="7">
        <f t="shared" ca="1" si="420"/>
        <v>0</v>
      </c>
      <c r="N219" s="7">
        <f t="shared" ca="1" si="420"/>
        <v>0</v>
      </c>
      <c r="O219" s="7">
        <f t="shared" ca="1" si="420"/>
        <v>0</v>
      </c>
      <c r="P219" s="7">
        <f t="shared" ca="1" si="420"/>
        <v>0</v>
      </c>
      <c r="Q219" s="7">
        <f t="shared" ca="1" si="420"/>
        <v>0</v>
      </c>
      <c r="R219" s="7">
        <f t="shared" ca="1" si="420"/>
        <v>0</v>
      </c>
      <c r="S219" s="7">
        <f t="shared" ca="1" si="420"/>
        <v>0</v>
      </c>
      <c r="T219" s="7">
        <f t="shared" ca="1" si="420"/>
        <v>0</v>
      </c>
      <c r="U219" s="7">
        <f t="shared" ca="1" si="420"/>
        <v>0</v>
      </c>
      <c r="V219" s="7">
        <f t="shared" ca="1" si="420"/>
        <v>0</v>
      </c>
      <c r="W219" s="7">
        <f t="shared" ca="1" si="420"/>
        <v>0</v>
      </c>
      <c r="X219" s="7">
        <f t="shared" ca="1" si="420"/>
        <v>0</v>
      </c>
      <c r="Y219" s="7">
        <f t="shared" ca="1" si="420"/>
        <v>0</v>
      </c>
      <c r="Z219" s="7">
        <f t="shared" ca="1" si="420"/>
        <v>0</v>
      </c>
      <c r="AA219" s="7">
        <f t="shared" ca="1" si="420"/>
        <v>0</v>
      </c>
      <c r="AB219" s="7">
        <f t="shared" ca="1" si="420"/>
        <v>0</v>
      </c>
      <c r="AC219" s="7">
        <f t="shared" ca="1" si="420"/>
        <v>0</v>
      </c>
      <c r="AD219" s="7">
        <f t="shared" ca="1" si="420"/>
        <v>0</v>
      </c>
      <c r="AE219" s="7">
        <f t="shared" ca="1" si="420"/>
        <v>0</v>
      </c>
      <c r="AF219" s="7">
        <f t="shared" ca="1" si="420"/>
        <v>0</v>
      </c>
      <c r="AG219" s="7">
        <f t="shared" ca="1" si="420"/>
        <v>0</v>
      </c>
      <c r="AH219" s="7">
        <f t="shared" ca="1" si="420"/>
        <v>0</v>
      </c>
      <c r="AI219" s="7">
        <f t="shared" ca="1" si="420"/>
        <v>0</v>
      </c>
      <c r="AJ219" s="7">
        <f t="shared" ca="1" si="420"/>
        <v>0</v>
      </c>
      <c r="AK219" s="7">
        <f t="shared" ca="1" si="420"/>
        <v>0</v>
      </c>
      <c r="AL219" s="7">
        <f t="shared" ca="1" si="420"/>
        <v>0</v>
      </c>
      <c r="AM219" s="7">
        <f t="shared" si="420"/>
        <v>0</v>
      </c>
    </row>
    <row r="220" spans="1:39" x14ac:dyDescent="0.2">
      <c r="A220" s="3" t="s">
        <v>31</v>
      </c>
      <c r="C220" s="7">
        <f t="shared" ref="C220:AM220" ca="1" si="421">IFERROR(-IF(C215=0,VLOOKUP($A214,$8:$12,C$1+2,FALSE),0),0)</f>
        <v>0</v>
      </c>
      <c r="D220" s="7">
        <f t="shared" ca="1" si="421"/>
        <v>0</v>
      </c>
      <c r="E220" s="7">
        <f t="shared" ca="1" si="421"/>
        <v>0</v>
      </c>
      <c r="F220" s="7">
        <f t="shared" ca="1" si="421"/>
        <v>0</v>
      </c>
      <c r="G220" s="7">
        <f t="shared" ca="1" si="421"/>
        <v>0</v>
      </c>
      <c r="H220" s="7">
        <f t="shared" ca="1" si="421"/>
        <v>0</v>
      </c>
      <c r="I220" s="7">
        <f t="shared" ca="1" si="421"/>
        <v>0</v>
      </c>
      <c r="J220" s="7">
        <f t="shared" ca="1" si="421"/>
        <v>0</v>
      </c>
      <c r="K220" s="7">
        <f t="shared" ca="1" si="421"/>
        <v>0</v>
      </c>
      <c r="L220" s="7">
        <f t="shared" ca="1" si="421"/>
        <v>0</v>
      </c>
      <c r="M220" s="7">
        <f t="shared" ca="1" si="421"/>
        <v>0</v>
      </c>
      <c r="N220" s="7">
        <f t="shared" ca="1" si="421"/>
        <v>0</v>
      </c>
      <c r="O220" s="7">
        <f t="shared" ca="1" si="421"/>
        <v>0</v>
      </c>
      <c r="P220" s="7">
        <f t="shared" ca="1" si="421"/>
        <v>0</v>
      </c>
      <c r="Q220" s="7">
        <f t="shared" ca="1" si="421"/>
        <v>0</v>
      </c>
      <c r="R220" s="7">
        <f t="shared" ca="1" si="421"/>
        <v>0</v>
      </c>
      <c r="S220" s="7">
        <f t="shared" ca="1" si="421"/>
        <v>0</v>
      </c>
      <c r="T220" s="7">
        <f t="shared" ca="1" si="421"/>
        <v>0</v>
      </c>
      <c r="U220" s="7">
        <f t="shared" ca="1" si="421"/>
        <v>0</v>
      </c>
      <c r="V220" s="7">
        <f t="shared" ca="1" si="421"/>
        <v>0</v>
      </c>
      <c r="W220" s="7">
        <f t="shared" ca="1" si="421"/>
        <v>0</v>
      </c>
      <c r="X220" s="7">
        <f t="shared" ca="1" si="421"/>
        <v>0</v>
      </c>
      <c r="Y220" s="7">
        <f t="shared" ca="1" si="421"/>
        <v>0</v>
      </c>
      <c r="Z220" s="7">
        <f t="shared" ca="1" si="421"/>
        <v>0</v>
      </c>
      <c r="AA220" s="7">
        <f t="shared" ca="1" si="421"/>
        <v>0</v>
      </c>
      <c r="AB220" s="7">
        <f t="shared" ca="1" si="421"/>
        <v>0</v>
      </c>
      <c r="AC220" s="7">
        <f t="shared" ca="1" si="421"/>
        <v>0</v>
      </c>
      <c r="AD220" s="7">
        <f t="shared" ca="1" si="421"/>
        <v>0</v>
      </c>
      <c r="AE220" s="7">
        <f t="shared" ca="1" si="421"/>
        <v>0</v>
      </c>
      <c r="AF220" s="7">
        <f t="shared" ca="1" si="421"/>
        <v>0</v>
      </c>
      <c r="AG220" s="7">
        <f t="shared" ca="1" si="421"/>
        <v>0</v>
      </c>
      <c r="AH220" s="7">
        <f t="shared" ca="1" si="421"/>
        <v>0</v>
      </c>
      <c r="AI220" s="7">
        <f t="shared" ca="1" si="421"/>
        <v>0</v>
      </c>
      <c r="AJ220" s="7">
        <f t="shared" ca="1" si="421"/>
        <v>0</v>
      </c>
      <c r="AK220" s="7">
        <f t="shared" ca="1" si="421"/>
        <v>0</v>
      </c>
      <c r="AL220" s="7">
        <f t="shared" ca="1" si="421"/>
        <v>0</v>
      </c>
      <c r="AM220" s="7">
        <f t="shared" ca="1" si="421"/>
        <v>0</v>
      </c>
    </row>
    <row r="221" spans="1:39" x14ac:dyDescent="0.2">
      <c r="A221" s="3" t="s">
        <v>50</v>
      </c>
      <c r="C221" s="7">
        <f t="shared" ref="C221:AM221" ca="1" si="422">IFERROR(IF(C215=0,VLOOKUP($A214,$45:$49,C$1+2,FALSE),0),0)</f>
        <v>0</v>
      </c>
      <c r="D221" s="7">
        <f t="shared" ca="1" si="422"/>
        <v>0</v>
      </c>
      <c r="E221" s="7">
        <f t="shared" ca="1" si="422"/>
        <v>0</v>
      </c>
      <c r="F221" s="7">
        <f t="shared" ca="1" si="422"/>
        <v>0</v>
      </c>
      <c r="G221" s="7">
        <f t="shared" ca="1" si="422"/>
        <v>0</v>
      </c>
      <c r="H221" s="7">
        <f t="shared" ca="1" si="422"/>
        <v>0</v>
      </c>
      <c r="I221" s="7">
        <f t="shared" ca="1" si="422"/>
        <v>0</v>
      </c>
      <c r="J221" s="7">
        <f t="shared" ca="1" si="422"/>
        <v>0</v>
      </c>
      <c r="K221" s="7">
        <f t="shared" ca="1" si="422"/>
        <v>0</v>
      </c>
      <c r="L221" s="7">
        <f t="shared" ca="1" si="422"/>
        <v>0</v>
      </c>
      <c r="M221" s="7">
        <f t="shared" ca="1" si="422"/>
        <v>0</v>
      </c>
      <c r="N221" s="7">
        <f t="shared" ca="1" si="422"/>
        <v>0</v>
      </c>
      <c r="O221" s="7">
        <f t="shared" ca="1" si="422"/>
        <v>0</v>
      </c>
      <c r="P221" s="7">
        <f t="shared" ca="1" si="422"/>
        <v>0</v>
      </c>
      <c r="Q221" s="7">
        <f t="shared" ca="1" si="422"/>
        <v>0</v>
      </c>
      <c r="R221" s="7">
        <f t="shared" ca="1" si="422"/>
        <v>0</v>
      </c>
      <c r="S221" s="7">
        <f t="shared" ca="1" si="422"/>
        <v>0</v>
      </c>
      <c r="T221" s="7">
        <f t="shared" ca="1" si="422"/>
        <v>0</v>
      </c>
      <c r="U221" s="7">
        <f t="shared" ca="1" si="422"/>
        <v>0</v>
      </c>
      <c r="V221" s="7">
        <f t="shared" ca="1" si="422"/>
        <v>0</v>
      </c>
      <c r="W221" s="7">
        <f t="shared" ca="1" si="422"/>
        <v>0</v>
      </c>
      <c r="X221" s="7">
        <f t="shared" ca="1" si="422"/>
        <v>0</v>
      </c>
      <c r="Y221" s="7">
        <f t="shared" ca="1" si="422"/>
        <v>0</v>
      </c>
      <c r="Z221" s="7">
        <f t="shared" ca="1" si="422"/>
        <v>0</v>
      </c>
      <c r="AA221" s="7">
        <f t="shared" ca="1" si="422"/>
        <v>0</v>
      </c>
      <c r="AB221" s="7">
        <f t="shared" ca="1" si="422"/>
        <v>0</v>
      </c>
      <c r="AC221" s="7">
        <f t="shared" ca="1" si="422"/>
        <v>0</v>
      </c>
      <c r="AD221" s="7">
        <f t="shared" ca="1" si="422"/>
        <v>0</v>
      </c>
      <c r="AE221" s="7">
        <f t="shared" ca="1" si="422"/>
        <v>0</v>
      </c>
      <c r="AF221" s="7">
        <f t="shared" ca="1" si="422"/>
        <v>0</v>
      </c>
      <c r="AG221" s="7">
        <f t="shared" ca="1" si="422"/>
        <v>0</v>
      </c>
      <c r="AH221" s="7">
        <f t="shared" ca="1" si="422"/>
        <v>0</v>
      </c>
      <c r="AI221" s="7">
        <f t="shared" ca="1" si="422"/>
        <v>0</v>
      </c>
      <c r="AJ221" s="7">
        <f t="shared" ca="1" si="422"/>
        <v>0</v>
      </c>
      <c r="AK221" s="7">
        <f t="shared" ca="1" si="422"/>
        <v>0</v>
      </c>
      <c r="AL221" s="7">
        <f t="shared" ca="1" si="422"/>
        <v>0</v>
      </c>
      <c r="AM221" s="7">
        <f t="shared" ca="1" si="422"/>
        <v>0</v>
      </c>
    </row>
    <row r="222" spans="1:39" x14ac:dyDescent="0.2">
      <c r="A222" s="3" t="s">
        <v>36</v>
      </c>
      <c r="B222" s="14" t="str">
        <f>A214</f>
        <v>Gzira</v>
      </c>
      <c r="C222" s="7">
        <f t="shared" ref="C222:AM222" ca="1" si="423">IF(AND(C215&gt;0,C218=0),VLOOKUP($A214,$83:$92,C$1+2,FALSE),0)</f>
        <v>0</v>
      </c>
      <c r="D222" s="7">
        <f t="shared" ca="1" si="423"/>
        <v>0</v>
      </c>
      <c r="E222" s="7">
        <f t="shared" ca="1" si="423"/>
        <v>0</v>
      </c>
      <c r="F222" s="7">
        <f t="shared" ca="1" si="423"/>
        <v>0</v>
      </c>
      <c r="G222" s="7">
        <f t="shared" ca="1" si="423"/>
        <v>0</v>
      </c>
      <c r="H222" s="7">
        <f t="shared" ca="1" si="423"/>
        <v>0</v>
      </c>
      <c r="I222" s="7">
        <f t="shared" ca="1" si="423"/>
        <v>0</v>
      </c>
      <c r="J222" s="7">
        <f t="shared" ca="1" si="423"/>
        <v>0</v>
      </c>
      <c r="K222" s="7">
        <f t="shared" ca="1" si="423"/>
        <v>0</v>
      </c>
      <c r="L222" s="7">
        <f t="shared" ca="1" si="423"/>
        <v>0</v>
      </c>
      <c r="M222" s="7">
        <f t="shared" ca="1" si="423"/>
        <v>0</v>
      </c>
      <c r="N222" s="7">
        <f t="shared" ca="1" si="423"/>
        <v>0</v>
      </c>
      <c r="O222" s="7">
        <f t="shared" ca="1" si="423"/>
        <v>0</v>
      </c>
      <c r="P222" s="7">
        <f t="shared" ca="1" si="423"/>
        <v>0</v>
      </c>
      <c r="Q222" s="7">
        <f t="shared" ca="1" si="423"/>
        <v>0</v>
      </c>
      <c r="R222" s="7">
        <f t="shared" ca="1" si="423"/>
        <v>0</v>
      </c>
      <c r="S222" s="7">
        <f t="shared" ca="1" si="423"/>
        <v>0</v>
      </c>
      <c r="T222" s="7">
        <f t="shared" ca="1" si="423"/>
        <v>0</v>
      </c>
      <c r="U222" s="7">
        <f t="shared" ca="1" si="423"/>
        <v>0</v>
      </c>
      <c r="V222" s="7">
        <f t="shared" ca="1" si="423"/>
        <v>0</v>
      </c>
      <c r="W222" s="7">
        <f t="shared" ca="1" si="423"/>
        <v>0</v>
      </c>
      <c r="X222" s="7">
        <f t="shared" ca="1" si="423"/>
        <v>0</v>
      </c>
      <c r="Y222" s="7">
        <f t="shared" ca="1" si="423"/>
        <v>0</v>
      </c>
      <c r="Z222" s="7">
        <f t="shared" ca="1" si="423"/>
        <v>0</v>
      </c>
      <c r="AA222" s="7">
        <f t="shared" ca="1" si="423"/>
        <v>0</v>
      </c>
      <c r="AB222" s="7">
        <f t="shared" ca="1" si="423"/>
        <v>0</v>
      </c>
      <c r="AC222" s="7">
        <f t="shared" ca="1" si="423"/>
        <v>0</v>
      </c>
      <c r="AD222" s="7">
        <f t="shared" ca="1" si="423"/>
        <v>0</v>
      </c>
      <c r="AE222" s="7">
        <f t="shared" ca="1" si="423"/>
        <v>0</v>
      </c>
      <c r="AF222" s="7">
        <f t="shared" ca="1" si="423"/>
        <v>0</v>
      </c>
      <c r="AG222" s="7">
        <f t="shared" ca="1" si="423"/>
        <v>0</v>
      </c>
      <c r="AH222" s="7">
        <f t="shared" ca="1" si="423"/>
        <v>0</v>
      </c>
      <c r="AI222" s="7">
        <f t="shared" ca="1" si="423"/>
        <v>0</v>
      </c>
      <c r="AJ222" s="7">
        <f t="shared" ca="1" si="423"/>
        <v>0</v>
      </c>
      <c r="AK222" s="7">
        <f t="shared" ca="1" si="423"/>
        <v>0</v>
      </c>
      <c r="AL222" s="7">
        <f t="shared" ca="1" si="423"/>
        <v>0</v>
      </c>
      <c r="AM222" s="7">
        <f t="shared" ca="1" si="423"/>
        <v>0</v>
      </c>
    </row>
    <row r="223" spans="1:39" x14ac:dyDescent="0.2">
      <c r="A223" s="3" t="s">
        <v>37</v>
      </c>
      <c r="C223" s="7">
        <f ca="1">-C216+SUM(C219:C222)</f>
        <v>0</v>
      </c>
      <c r="D223" s="7">
        <f t="shared" ref="D223" ca="1" si="424">-D216+SUM(D219:D222)</f>
        <v>0</v>
      </c>
      <c r="E223" s="7">
        <f t="shared" ref="E223:AM223" ca="1" si="425">-E216+SUM(E219:E222)</f>
        <v>0</v>
      </c>
      <c r="F223" s="7">
        <f t="shared" ca="1" si="425"/>
        <v>0</v>
      </c>
      <c r="G223" s="7">
        <f t="shared" ca="1" si="425"/>
        <v>0</v>
      </c>
      <c r="H223" s="7">
        <f t="shared" ca="1" si="425"/>
        <v>0</v>
      </c>
      <c r="I223" s="7">
        <f t="shared" ca="1" si="425"/>
        <v>0</v>
      </c>
      <c r="J223" s="7">
        <f t="shared" ca="1" si="425"/>
        <v>0</v>
      </c>
      <c r="K223" s="7">
        <f t="shared" ca="1" si="425"/>
        <v>0</v>
      </c>
      <c r="L223" s="7">
        <f t="shared" ca="1" si="425"/>
        <v>0</v>
      </c>
      <c r="M223" s="7">
        <f t="shared" ca="1" si="425"/>
        <v>0</v>
      </c>
      <c r="N223" s="7">
        <f t="shared" ca="1" si="425"/>
        <v>0</v>
      </c>
      <c r="O223" s="7">
        <f t="shared" ca="1" si="425"/>
        <v>0</v>
      </c>
      <c r="P223" s="7">
        <f t="shared" ca="1" si="425"/>
        <v>0</v>
      </c>
      <c r="Q223" s="7">
        <f t="shared" ca="1" si="425"/>
        <v>0</v>
      </c>
      <c r="R223" s="7">
        <f t="shared" ca="1" si="425"/>
        <v>0</v>
      </c>
      <c r="S223" s="7">
        <f t="shared" ca="1" si="425"/>
        <v>0</v>
      </c>
      <c r="T223" s="7">
        <f t="shared" ca="1" si="425"/>
        <v>0</v>
      </c>
      <c r="U223" s="7">
        <f t="shared" ca="1" si="425"/>
        <v>0</v>
      </c>
      <c r="V223" s="7">
        <f t="shared" ca="1" si="425"/>
        <v>0</v>
      </c>
      <c r="W223" s="7">
        <f t="shared" ca="1" si="425"/>
        <v>0</v>
      </c>
      <c r="X223" s="7">
        <f t="shared" ca="1" si="425"/>
        <v>0</v>
      </c>
      <c r="Y223" s="7">
        <f t="shared" ca="1" si="425"/>
        <v>0</v>
      </c>
      <c r="Z223" s="7">
        <f t="shared" ca="1" si="425"/>
        <v>0</v>
      </c>
      <c r="AA223" s="7">
        <f t="shared" ca="1" si="425"/>
        <v>0</v>
      </c>
      <c r="AB223" s="7">
        <f t="shared" ca="1" si="425"/>
        <v>0</v>
      </c>
      <c r="AC223" s="7">
        <f t="shared" ca="1" si="425"/>
        <v>0</v>
      </c>
      <c r="AD223" s="7">
        <f t="shared" ca="1" si="425"/>
        <v>0</v>
      </c>
      <c r="AE223" s="7">
        <f t="shared" ca="1" si="425"/>
        <v>0</v>
      </c>
      <c r="AF223" s="7">
        <f t="shared" ca="1" si="425"/>
        <v>0</v>
      </c>
      <c r="AG223" s="7">
        <f t="shared" ca="1" si="425"/>
        <v>0</v>
      </c>
      <c r="AH223" s="7">
        <f t="shared" ca="1" si="425"/>
        <v>0</v>
      </c>
      <c r="AI223" s="7">
        <f t="shared" ca="1" si="425"/>
        <v>0</v>
      </c>
      <c r="AJ223" s="7">
        <f t="shared" ca="1" si="425"/>
        <v>0</v>
      </c>
      <c r="AK223" s="7">
        <f t="shared" ca="1" si="425"/>
        <v>0</v>
      </c>
      <c r="AL223" s="7">
        <f t="shared" ca="1" si="425"/>
        <v>0</v>
      </c>
      <c r="AM223" s="7">
        <f t="shared" ca="1" si="425"/>
        <v>0</v>
      </c>
    </row>
    <row r="224" spans="1:39" x14ac:dyDescent="0.2">
      <c r="A224" s="3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x14ac:dyDescent="0.2">
      <c r="A225" s="3" t="s">
        <v>71</v>
      </c>
      <c r="C225" s="7">
        <f ca="1">C211+SUM($C223:C223)</f>
        <v>12809.375000000015</v>
      </c>
      <c r="D225" s="7">
        <f ca="1">D211+SUM($C223:D223)</f>
        <v>24162.215625000026</v>
      </c>
      <c r="E225" s="7">
        <f ca="1">E211+SUM($C223:E223)</f>
        <v>41813.279140625047</v>
      </c>
      <c r="F225" s="7">
        <f ca="1">F211+SUM($C223:F223)</f>
        <v>41803.568657505195</v>
      </c>
      <c r="G225" s="7">
        <f ca="1">G211+SUM($C223:G223)</f>
        <v>73524.627177360788</v>
      </c>
      <c r="H225" s="7">
        <f ca="1">H211+SUM($C223:H223)</f>
        <v>111945.76563583669</v>
      </c>
      <c r="I225" s="7">
        <f ca="1">I211+SUM($C223:I223)</f>
        <v>179058.63493181192</v>
      </c>
      <c r="J225" s="7">
        <f ca="1">J211+SUM($C223:J223)</f>
        <v>250182.50067145552</v>
      </c>
      <c r="K225" s="7">
        <f ca="1">K211+SUM($C223:K223)</f>
        <v>308095.70278366783</v>
      </c>
      <c r="L225" s="7">
        <f ca="1">L211+SUM($C223:L223)</f>
        <v>453640.47280939861</v>
      </c>
      <c r="M225" s="7">
        <f ca="1">M211+SUM($C223:M223)</f>
        <v>510683.42164108111</v>
      </c>
      <c r="N225" s="7">
        <f ca="1">N211+SUM($C223:N223)</f>
        <v>621525.85327123245</v>
      </c>
      <c r="O225" s="7">
        <f ca="1">O211+SUM($C223:O223)</f>
        <v>738362.94313265686</v>
      </c>
      <c r="P225" s="7">
        <f ca="1">P211+SUM($C223:P223)</f>
        <v>861449.23653079802</v>
      </c>
      <c r="Q225" s="7">
        <f ca="1">Q211+SUM($C223:Q223)</f>
        <v>991048.98204238666</v>
      </c>
      <c r="R225" s="7">
        <f ca="1">R211+SUM($C223:R223)</f>
        <v>1127436.4792682112</v>
      </c>
      <c r="S225" s="7">
        <f ca="1">S211+SUM($C223:S223)</f>
        <v>1270896.4385593834</v>
      </c>
      <c r="T225" s="7">
        <f ca="1">T211+SUM($C223:T223)</f>
        <v>1312493.9107349962</v>
      </c>
      <c r="U225" s="7">
        <f ca="1">U211+SUM($C223:U223)</f>
        <v>1363530.8459680481</v>
      </c>
      <c r="V225" s="7">
        <f ca="1">V211+SUM($C223:V223)</f>
        <v>1416566.1280568431</v>
      </c>
      <c r="W225" s="7">
        <f ca="1">W211+SUM($C223:W223)</f>
        <v>1471676.7180232967</v>
      </c>
      <c r="X225" s="7">
        <f ca="1">X211+SUM($C223:X223)</f>
        <v>1528942.4442265448</v>
      </c>
      <c r="Y225" s="7">
        <f ca="1">Y211+SUM($C223:Y223)</f>
        <v>1567529.0131961552</v>
      </c>
      <c r="Z225" s="7">
        <f ca="1">Z211+SUM($C223:Z223)</f>
        <v>1607393.5393787338</v>
      </c>
      <c r="AA225" s="7">
        <f ca="1">AA211+SUM($C223:AA223)</f>
        <v>1648585.8680630873</v>
      </c>
      <c r="AB225" s="7">
        <f ca="1">AB211+SUM($C223:AB223)</f>
        <v>1691157.8400002168</v>
      </c>
      <c r="AC225" s="7">
        <f ca="1">AC211+SUM($C223:AC223)</f>
        <v>1735163.3690807538</v>
      </c>
      <c r="AD225" s="7">
        <f ca="1">AD211+SUM($C223:AD223)</f>
        <v>1780658.5229208304</v>
      </c>
      <c r="AE225" s="7">
        <f ca="1">AE211+SUM($C223:AE223)</f>
        <v>1837808.8624938719</v>
      </c>
      <c r="AF225" s="7">
        <f ca="1">AF211+SUM($C223:AF223)</f>
        <v>1897073.1235563438</v>
      </c>
      <c r="AG225" s="7">
        <f ca="1">AG211+SUM($C223:AG223)</f>
        <v>1958533.3002031124</v>
      </c>
      <c r="AH225" s="7">
        <f ca="1">AH211+SUM($C223:AH223)</f>
        <v>2022274.5255423354</v>
      </c>
      <c r="AI225" s="7">
        <f ca="1">AI211+SUM($C223:AI223)</f>
        <v>2088385.1882151016</v>
      </c>
      <c r="AJ225" s="7">
        <f ca="1">AJ211+SUM($C223:AJ223)</f>
        <v>2156957.0531036272</v>
      </c>
      <c r="AK225" s="7">
        <f ca="1">AK211+SUM($C223:AK223)</f>
        <v>2228085.3863743474</v>
      </c>
      <c r="AL225" s="7">
        <f ca="1">AL211+SUM($C223:AL223)</f>
        <v>2301869.0850072289</v>
      </c>
      <c r="AM225" s="7">
        <f ca="1">AM211+SUM($C223:AM223)</f>
        <v>2378410.8109677895</v>
      </c>
    </row>
    <row r="226" spans="1:39" x14ac:dyDescent="0.2">
      <c r="A226" s="3" t="s">
        <v>68</v>
      </c>
      <c r="C226" s="7">
        <f t="shared" ref="C226:AM226" ca="1" si="426">MAX(C225+buffer,0)-MAX(C211+buffer,0)</f>
        <v>0</v>
      </c>
      <c r="D226" s="7">
        <f t="shared" ca="1" si="426"/>
        <v>0</v>
      </c>
      <c r="E226" s="7">
        <f t="shared" ca="1" si="426"/>
        <v>0</v>
      </c>
      <c r="F226" s="7">
        <f t="shared" ca="1" si="426"/>
        <v>0</v>
      </c>
      <c r="G226" s="7">
        <f t="shared" ca="1" si="426"/>
        <v>0</v>
      </c>
      <c r="H226" s="7">
        <f t="shared" ca="1" si="426"/>
        <v>0</v>
      </c>
      <c r="I226" s="7">
        <f t="shared" ca="1" si="426"/>
        <v>0</v>
      </c>
      <c r="J226" s="7">
        <f t="shared" ca="1" si="426"/>
        <v>0</v>
      </c>
      <c r="K226" s="7">
        <f t="shared" ca="1" si="426"/>
        <v>0</v>
      </c>
      <c r="L226" s="7">
        <f t="shared" ca="1" si="426"/>
        <v>0</v>
      </c>
      <c r="M226" s="7">
        <f t="shared" ca="1" si="426"/>
        <v>0</v>
      </c>
      <c r="N226" s="7">
        <f t="shared" ca="1" si="426"/>
        <v>0</v>
      </c>
      <c r="O226" s="7">
        <f t="shared" ca="1" si="426"/>
        <v>0</v>
      </c>
      <c r="P226" s="7">
        <f t="shared" ca="1" si="426"/>
        <v>0</v>
      </c>
      <c r="Q226" s="7">
        <f t="shared" ca="1" si="426"/>
        <v>0</v>
      </c>
      <c r="R226" s="7">
        <f t="shared" ca="1" si="426"/>
        <v>0</v>
      </c>
      <c r="S226" s="7">
        <f t="shared" ca="1" si="426"/>
        <v>0</v>
      </c>
      <c r="T226" s="7">
        <f t="shared" ca="1" si="426"/>
        <v>0</v>
      </c>
      <c r="U226" s="7">
        <f t="shared" ca="1" si="426"/>
        <v>0</v>
      </c>
      <c r="V226" s="7">
        <f t="shared" ca="1" si="426"/>
        <v>0</v>
      </c>
      <c r="W226" s="7">
        <f t="shared" ca="1" si="426"/>
        <v>0</v>
      </c>
      <c r="X226" s="7">
        <f t="shared" ca="1" si="426"/>
        <v>0</v>
      </c>
      <c r="Y226" s="7">
        <f t="shared" ca="1" si="426"/>
        <v>0</v>
      </c>
      <c r="Z226" s="7">
        <f t="shared" ca="1" si="426"/>
        <v>0</v>
      </c>
      <c r="AA226" s="7">
        <f t="shared" ca="1" si="426"/>
        <v>0</v>
      </c>
      <c r="AB226" s="7">
        <f t="shared" ca="1" si="426"/>
        <v>0</v>
      </c>
      <c r="AC226" s="7">
        <f t="shared" ca="1" si="426"/>
        <v>0</v>
      </c>
      <c r="AD226" s="7">
        <f t="shared" ca="1" si="426"/>
        <v>0</v>
      </c>
      <c r="AE226" s="7">
        <f t="shared" ca="1" si="426"/>
        <v>0</v>
      </c>
      <c r="AF226" s="7">
        <f t="shared" ca="1" si="426"/>
        <v>0</v>
      </c>
      <c r="AG226" s="7">
        <f t="shared" ca="1" si="426"/>
        <v>0</v>
      </c>
      <c r="AH226" s="7">
        <f t="shared" ca="1" si="426"/>
        <v>0</v>
      </c>
      <c r="AI226" s="7">
        <f t="shared" ca="1" si="426"/>
        <v>0</v>
      </c>
      <c r="AJ226" s="7">
        <f t="shared" ca="1" si="426"/>
        <v>0</v>
      </c>
      <c r="AK226" s="7">
        <f t="shared" ca="1" si="426"/>
        <v>0</v>
      </c>
      <c r="AL226" s="7">
        <f t="shared" ca="1" si="426"/>
        <v>0</v>
      </c>
      <c r="AM226" s="7">
        <f t="shared" ca="1" si="426"/>
        <v>0</v>
      </c>
    </row>
    <row r="227" spans="1:39" x14ac:dyDescent="0.2">
      <c r="A227" s="3" t="s">
        <v>69</v>
      </c>
      <c r="C227" s="7">
        <f ca="1">C226*Inputs!$B$259</f>
        <v>0</v>
      </c>
      <c r="D227" s="7">
        <f ca="1">D226*Inputs!$B$259</f>
        <v>0</v>
      </c>
      <c r="E227" s="7">
        <f ca="1">E226*Inputs!$B$259</f>
        <v>0</v>
      </c>
      <c r="F227" s="7">
        <f ca="1">F226*Inputs!$B$259</f>
        <v>0</v>
      </c>
      <c r="G227" s="7">
        <f ca="1">G226*Inputs!$B$259</f>
        <v>0</v>
      </c>
      <c r="H227" s="7">
        <f ca="1">H226*Inputs!$B$259</f>
        <v>0</v>
      </c>
      <c r="I227" s="7">
        <f ca="1">I226*Inputs!$B$259</f>
        <v>0</v>
      </c>
      <c r="J227" s="7">
        <f ca="1">J226*Inputs!$B$259</f>
        <v>0</v>
      </c>
      <c r="K227" s="7">
        <f ca="1">K226*Inputs!$B$259</f>
        <v>0</v>
      </c>
      <c r="L227" s="7">
        <f ca="1">L226*Inputs!$B$259</f>
        <v>0</v>
      </c>
      <c r="M227" s="7">
        <f ca="1">M226*Inputs!$B$259</f>
        <v>0</v>
      </c>
      <c r="N227" s="7">
        <f ca="1">N226*Inputs!$B$259</f>
        <v>0</v>
      </c>
      <c r="O227" s="7">
        <f ca="1">O226*Inputs!$B$259</f>
        <v>0</v>
      </c>
      <c r="P227" s="7">
        <f ca="1">P226*Inputs!$B$259</f>
        <v>0</v>
      </c>
      <c r="Q227" s="7">
        <f ca="1">Q226*Inputs!$B$259</f>
        <v>0</v>
      </c>
      <c r="R227" s="7">
        <f ca="1">R226*Inputs!$B$259</f>
        <v>0</v>
      </c>
      <c r="S227" s="7">
        <f ca="1">S226*Inputs!$B$259</f>
        <v>0</v>
      </c>
      <c r="T227" s="7">
        <f ca="1">T226*Inputs!$B$259</f>
        <v>0</v>
      </c>
      <c r="U227" s="7">
        <f ca="1">U226*Inputs!$B$259</f>
        <v>0</v>
      </c>
      <c r="V227" s="7">
        <f ca="1">V226*Inputs!$B$259</f>
        <v>0</v>
      </c>
      <c r="W227" s="7">
        <f ca="1">W226*Inputs!$B$259</f>
        <v>0</v>
      </c>
      <c r="X227" s="7">
        <f ca="1">X226*Inputs!$B$259</f>
        <v>0</v>
      </c>
      <c r="Y227" s="7">
        <f ca="1">Y226*Inputs!$B$259</f>
        <v>0</v>
      </c>
      <c r="Z227" s="7">
        <f ca="1">Z226*Inputs!$B$259</f>
        <v>0</v>
      </c>
      <c r="AA227" s="7">
        <f ca="1">AA226*Inputs!$B$259</f>
        <v>0</v>
      </c>
      <c r="AB227" s="7">
        <f ca="1">AB226*Inputs!$B$259</f>
        <v>0</v>
      </c>
      <c r="AC227" s="7">
        <f ca="1">AC226*Inputs!$B$259</f>
        <v>0</v>
      </c>
      <c r="AD227" s="7">
        <f ca="1">AD226*Inputs!$B$259</f>
        <v>0</v>
      </c>
      <c r="AE227" s="7">
        <f ca="1">AE226*Inputs!$B$259</f>
        <v>0</v>
      </c>
      <c r="AF227" s="7">
        <f ca="1">AF226*Inputs!$B$259</f>
        <v>0</v>
      </c>
      <c r="AG227" s="7">
        <f ca="1">AG226*Inputs!$B$259</f>
        <v>0</v>
      </c>
      <c r="AH227" s="7">
        <f ca="1">AH226*Inputs!$B$259</f>
        <v>0</v>
      </c>
      <c r="AI227" s="7">
        <f ca="1">AI226*Inputs!$B$259</f>
        <v>0</v>
      </c>
      <c r="AJ227" s="7">
        <f ca="1">AJ226*Inputs!$B$259</f>
        <v>0</v>
      </c>
      <c r="AK227" s="7">
        <f ca="1">AK226*Inputs!$B$259</f>
        <v>0</v>
      </c>
      <c r="AL227" s="7">
        <f ca="1">AL226*Inputs!$B$259</f>
        <v>0</v>
      </c>
      <c r="AM227" s="7">
        <f ca="1">AM226*Inputs!$B$259</f>
        <v>0</v>
      </c>
    </row>
    <row r="228" spans="1:39" x14ac:dyDescent="0.2">
      <c r="A228" s="3" t="s">
        <v>150</v>
      </c>
      <c r="C228" s="7">
        <f ca="1">C225+SUM($C227:C227)</f>
        <v>12809.375000000015</v>
      </c>
      <c r="D228" s="7">
        <f ca="1">D225+SUM($C227:D227)</f>
        <v>24162.215625000026</v>
      </c>
      <c r="E228" s="7">
        <f ca="1">E225+SUM($C227:E227)</f>
        <v>41813.279140625047</v>
      </c>
      <c r="F228" s="7">
        <f ca="1">F225+SUM($C227:F227)</f>
        <v>41803.568657505195</v>
      </c>
      <c r="G228" s="7">
        <f ca="1">G225+SUM($C227:G227)</f>
        <v>73524.627177360788</v>
      </c>
      <c r="H228" s="7">
        <f ca="1">H225+SUM($C227:H227)</f>
        <v>111945.76563583669</v>
      </c>
      <c r="I228" s="7">
        <f ca="1">I225+SUM($C227:I227)</f>
        <v>179058.63493181192</v>
      </c>
      <c r="J228" s="7">
        <f ca="1">J225+SUM($C227:J227)</f>
        <v>250182.50067145552</v>
      </c>
      <c r="K228" s="7">
        <f ca="1">K225+SUM($C227:K227)</f>
        <v>308095.70278366783</v>
      </c>
      <c r="L228" s="7">
        <f ca="1">L225+SUM($C227:L227)</f>
        <v>453640.47280939861</v>
      </c>
      <c r="M228" s="7">
        <f ca="1">M225+SUM($C227:M227)</f>
        <v>510683.42164108111</v>
      </c>
      <c r="N228" s="7">
        <f ca="1">N225+SUM($C227:N227)</f>
        <v>621525.85327123245</v>
      </c>
      <c r="O228" s="7">
        <f ca="1">O225+SUM($C227:O227)</f>
        <v>738362.94313265686</v>
      </c>
      <c r="P228" s="7">
        <f ca="1">P225+SUM($C227:P227)</f>
        <v>861449.23653079802</v>
      </c>
      <c r="Q228" s="7">
        <f ca="1">Q225+SUM($C227:Q227)</f>
        <v>991048.98204238666</v>
      </c>
      <c r="R228" s="7">
        <f ca="1">R225+SUM($C227:R227)</f>
        <v>1127436.4792682112</v>
      </c>
      <c r="S228" s="7">
        <f ca="1">S225+SUM($C227:S227)</f>
        <v>1270896.4385593834</v>
      </c>
      <c r="T228" s="7">
        <f ca="1">T225+SUM($C227:T227)</f>
        <v>1312493.9107349962</v>
      </c>
      <c r="U228" s="7">
        <f ca="1">U225+SUM($C227:U227)</f>
        <v>1363530.8459680481</v>
      </c>
      <c r="V228" s="7">
        <f ca="1">V225+SUM($C227:V227)</f>
        <v>1416566.1280568431</v>
      </c>
      <c r="W228" s="7">
        <f ca="1">W225+SUM($C227:W227)</f>
        <v>1471676.7180232967</v>
      </c>
      <c r="X228" s="7">
        <f ca="1">X225+SUM($C227:X227)</f>
        <v>1528942.4442265448</v>
      </c>
      <c r="Y228" s="7">
        <f ca="1">Y225+SUM($C227:Y227)</f>
        <v>1567529.0131961552</v>
      </c>
      <c r="Z228" s="7">
        <f ca="1">Z225+SUM($C227:Z227)</f>
        <v>1607393.5393787338</v>
      </c>
      <c r="AA228" s="7">
        <f ca="1">AA225+SUM($C227:AA227)</f>
        <v>1648585.8680630873</v>
      </c>
      <c r="AB228" s="7">
        <f ca="1">AB225+SUM($C227:AB227)</f>
        <v>1691157.8400002168</v>
      </c>
      <c r="AC228" s="7">
        <f ca="1">AC225+SUM($C227:AC227)</f>
        <v>1735163.3690807538</v>
      </c>
      <c r="AD228" s="7">
        <f ca="1">AD225+SUM($C227:AD227)</f>
        <v>1780658.5229208304</v>
      </c>
      <c r="AE228" s="7">
        <f ca="1">AE225+SUM($C227:AE227)</f>
        <v>1837808.8624938719</v>
      </c>
      <c r="AF228" s="7">
        <f ca="1">AF225+SUM($C227:AF227)</f>
        <v>1897073.1235563438</v>
      </c>
      <c r="AG228" s="7">
        <f ca="1">AG225+SUM($C227:AG227)</f>
        <v>1958533.3002031124</v>
      </c>
      <c r="AH228" s="7">
        <f ca="1">AH225+SUM($C227:AH227)</f>
        <v>2022274.5255423354</v>
      </c>
      <c r="AI228" s="7">
        <f ca="1">AI225+SUM($C227:AI227)</f>
        <v>2088385.1882151016</v>
      </c>
      <c r="AJ228" s="7">
        <f ca="1">AJ225+SUM($C227:AJ227)</f>
        <v>2156957.0531036272</v>
      </c>
      <c r="AK228" s="7">
        <f ca="1">AK225+SUM($C227:AK227)</f>
        <v>2228085.3863743474</v>
      </c>
      <c r="AL228" s="7">
        <f ca="1">AL225+SUM($C227:AL227)</f>
        <v>2301869.0850072289</v>
      </c>
      <c r="AM228" s="7">
        <f ca="1">AM225+SUM($C227:AM227)</f>
        <v>2378410.8109677895</v>
      </c>
    </row>
    <row r="229" spans="1:39" x14ac:dyDescent="0.2">
      <c r="A229" s="3" t="s">
        <v>20</v>
      </c>
      <c r="C229" s="7">
        <f ca="1">IF(C228&lt;0,-C228,0)</f>
        <v>0</v>
      </c>
      <c r="D229" s="7">
        <f ca="1">IF(D228+SUM($C229:C229)&lt;0,-(D228+SUM($C229:C229)),0)</f>
        <v>0</v>
      </c>
      <c r="E229" s="7">
        <f ca="1">IF(E228+SUM($C229:D229)&lt;0,-(E228+SUM($C229:D229)),0)</f>
        <v>0</v>
      </c>
      <c r="F229" s="7">
        <f ca="1">IF(F228+SUM($C229:E229)&lt;0,-(F228+SUM($C229:E229)),0)</f>
        <v>0</v>
      </c>
      <c r="G229" s="7">
        <f ca="1">IF(G228+SUM($C229:F229)&lt;0,-(G228+SUM($C229:F229)),0)</f>
        <v>0</v>
      </c>
      <c r="H229" s="7">
        <f ca="1">IF(H228+SUM($C229:G229)&lt;0,-(H228+SUM($C229:G229)),0)</f>
        <v>0</v>
      </c>
      <c r="I229" s="7">
        <f ca="1">IF(I228+SUM($C229:H229)&lt;0,-(I228+SUM($C229:H229)),0)</f>
        <v>0</v>
      </c>
      <c r="J229" s="7">
        <f ca="1">IF(J228+SUM($C229:I229)&lt;0,-(J228+SUM($C229:I229)),0)</f>
        <v>0</v>
      </c>
      <c r="K229" s="7">
        <f ca="1">IF(K228+SUM($C229:J229)&lt;0,-(K228+SUM($C229:J229)),0)</f>
        <v>0</v>
      </c>
      <c r="L229" s="7">
        <f ca="1">IF(L228+SUM($C229:K229)&lt;0,-(L228+SUM($C229:K229)),0)</f>
        <v>0</v>
      </c>
      <c r="M229" s="7">
        <f ca="1">IF(M228+SUM($C229:L229)&lt;0,-(M228+SUM($C229:L229)),0)</f>
        <v>0</v>
      </c>
      <c r="N229" s="7">
        <f ca="1">IF(N228+SUM($C229:M229)&lt;0,-(N228+SUM($C229:M229)),0)</f>
        <v>0</v>
      </c>
      <c r="O229" s="7">
        <f ca="1">IF(O228+SUM($C229:N229)&lt;0,-(O228+SUM($C229:N229)),0)</f>
        <v>0</v>
      </c>
      <c r="P229" s="7">
        <f ca="1">IF(P228+SUM($C229:O229)&lt;0,-(P228+SUM($C229:O229)),0)</f>
        <v>0</v>
      </c>
      <c r="Q229" s="7">
        <f ca="1">IF(Q228+SUM($C229:P229)&lt;0,-(Q228+SUM($C229:P229)),0)</f>
        <v>0</v>
      </c>
      <c r="R229" s="7">
        <f ca="1">IF(R228+SUM($C229:Q229)&lt;0,-(R228+SUM($C229:Q229)),0)</f>
        <v>0</v>
      </c>
      <c r="S229" s="7">
        <f ca="1">IF(S228+SUM($C229:R229)&lt;0,-(S228+SUM($C229:R229)),0)</f>
        <v>0</v>
      </c>
      <c r="T229" s="7">
        <f ca="1">IF(T228+SUM($C229:S229)&lt;0,-(T228+SUM($C229:S229)),0)</f>
        <v>0</v>
      </c>
      <c r="U229" s="7">
        <f ca="1">IF(U228+SUM($C229:T229)&lt;0,-(U228+SUM($C229:T229)),0)</f>
        <v>0</v>
      </c>
      <c r="V229" s="7">
        <f ca="1">IF(V228+SUM($C229:U229)&lt;0,-(V228+SUM($C229:U229)),0)</f>
        <v>0</v>
      </c>
      <c r="W229" s="7">
        <f ca="1">IF(W228+SUM($C229:V229)&lt;0,-(W228+SUM($C229:V229)),0)</f>
        <v>0</v>
      </c>
      <c r="X229" s="7">
        <f ca="1">IF(X228+SUM($C229:W229)&lt;0,-(X228+SUM($C229:W229)),0)</f>
        <v>0</v>
      </c>
      <c r="Y229" s="7">
        <f ca="1">IF(Y228+SUM($C229:X229)&lt;0,-(Y228+SUM($C229:X229)),0)</f>
        <v>0</v>
      </c>
      <c r="Z229" s="7">
        <f ca="1">IF(Z228+SUM($C229:Y229)&lt;0,-(Z228+SUM($C229:Y229)),0)</f>
        <v>0</v>
      </c>
      <c r="AA229" s="7">
        <f ca="1">IF(AA228+SUM($C229:Z229)&lt;0,-(AA228+SUM($C229:Z229)),0)</f>
        <v>0</v>
      </c>
      <c r="AB229" s="7">
        <f ca="1">IF(AB228+SUM($C229:AA229)&lt;0,-(AB228+SUM($C229:AA229)),0)</f>
        <v>0</v>
      </c>
      <c r="AC229" s="7">
        <f ca="1">IF(AC228+SUM($C229:AB229)&lt;0,-(AC228+SUM($C229:AB229)),0)</f>
        <v>0</v>
      </c>
      <c r="AD229" s="7">
        <f ca="1">IF(AD228+SUM($C229:AC229)&lt;0,-(AD228+SUM($C229:AC229)),0)</f>
        <v>0</v>
      </c>
      <c r="AE229" s="7">
        <f ca="1">IF(AE228+SUM($C229:AD229)&lt;0,-(AE228+SUM($C229:AD229)),0)</f>
        <v>0</v>
      </c>
      <c r="AF229" s="7">
        <f ca="1">IF(AF228+SUM($C229:AE229)&lt;0,-(AF228+SUM($C229:AE229)),0)</f>
        <v>0</v>
      </c>
      <c r="AG229" s="7">
        <f ca="1">IF(AG228+SUM($C229:AF229)&lt;0,-(AG228+SUM($C229:AF229)),0)</f>
        <v>0</v>
      </c>
      <c r="AH229" s="7">
        <f ca="1">IF(AH228+SUM($C229:AG229)&lt;0,-(AH228+SUM($C229:AG229)),0)</f>
        <v>0</v>
      </c>
      <c r="AI229" s="7">
        <f ca="1">IF(AI228+SUM($C229:AH229)&lt;0,-(AI228+SUM($C229:AH229)),0)</f>
        <v>0</v>
      </c>
      <c r="AJ229" s="7">
        <f ca="1">IF(AJ228+SUM($C229:AI229)&lt;0,-(AJ228+SUM($C229:AI229)),0)</f>
        <v>0</v>
      </c>
      <c r="AK229" s="7">
        <f ca="1">IF(AK228+SUM($C229:AJ229)&lt;0,-(AK228+SUM($C229:AJ229)),0)</f>
        <v>0</v>
      </c>
      <c r="AL229" s="7">
        <f ca="1">IF(AL228+SUM($C229:AK229)&lt;0,-(AL228+SUM($C229:AK229)),0)</f>
        <v>0</v>
      </c>
      <c r="AM229" s="7">
        <f ca="1">IF(AM228+SUM($C229:AL229)&lt;0,-(AM228+SUM($C229:AL229)),0)</f>
        <v>0</v>
      </c>
    </row>
    <row r="230" spans="1:39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">
      <c r="A231" s="24" t="str">
        <f>IF(Inputs!$B$279=6,IFERROR(_xlfn.XLOOKUP($B231,Inputs!$B$280:$B$289,Inputs!$A$280:$A$289,,0,1),""),IFERROR(_xlfn.XLOOKUP($B231,Inputs!$C$280:$C$289,Inputs!$A$280:$A$289,,0,1),""))</f>
        <v>Boat</v>
      </c>
      <c r="B231" s="26">
        <v>8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x14ac:dyDescent="0.2">
      <c r="A232" s="3" t="s">
        <v>22</v>
      </c>
      <c r="C232" s="7">
        <f ca="1">IFERROR(VLOOKUP($A231,$A$65:$H$94,C$1+2,FALSE),0)</f>
        <v>172468.12536430024</v>
      </c>
      <c r="D232" s="7">
        <f ca="1">C235</f>
        <v>172468.12536430024</v>
      </c>
      <c r="E232" s="7">
        <f t="shared" ref="E232" ca="1" si="427">D235</f>
        <v>163844.71909608523</v>
      </c>
      <c r="F232" s="7">
        <f t="shared" ref="F232" ca="1" si="428">E235</f>
        <v>155652.48314128097</v>
      </c>
      <c r="G232" s="7">
        <f t="shared" ref="G232" ca="1" si="429">F235</f>
        <v>147869.85898421693</v>
      </c>
      <c r="H232" s="7">
        <f t="shared" ref="H232" ca="1" si="430">G235</f>
        <v>140476.3660350061</v>
      </c>
      <c r="I232" s="7">
        <f t="shared" ref="I232" ca="1" si="431">H235</f>
        <v>133452.54773325578</v>
      </c>
      <c r="J232" s="7">
        <f t="shared" ref="J232" ca="1" si="432">I235</f>
        <v>126779.92034659299</v>
      </c>
      <c r="K232" s="7">
        <f t="shared" ref="K232" ca="1" si="433">J235</f>
        <v>120440.92432926333</v>
      </c>
      <c r="L232" s="7">
        <f t="shared" ref="L232" ca="1" si="434">K235</f>
        <v>114418.87811280017</v>
      </c>
      <c r="M232" s="7">
        <f t="shared" ref="M232" ca="1" si="435">L235</f>
        <v>108697.93420716016</v>
      </c>
      <c r="N232" s="7">
        <f t="shared" ref="N232" ca="1" si="436">M235</f>
        <v>103263.03749680215</v>
      </c>
      <c r="O232" s="7">
        <f t="shared" ref="O232" ca="1" si="437">N235</f>
        <v>98099.885621962036</v>
      </c>
      <c r="P232" s="7">
        <f t="shared" ref="P232" ca="1" si="438">O235</f>
        <v>93194.891340863935</v>
      </c>
      <c r="Q232" s="7">
        <f t="shared" ref="Q232" ca="1" si="439">P235</f>
        <v>88535.146773820743</v>
      </c>
      <c r="R232" s="7">
        <f t="shared" ref="R232" ca="1" si="440">Q235</f>
        <v>84108.389435129706</v>
      </c>
      <c r="S232" s="7">
        <f t="shared" ref="S232" ca="1" si="441">R235</f>
        <v>79902.969963373223</v>
      </c>
      <c r="T232" s="7">
        <f t="shared" ref="T232" ca="1" si="442">S235</f>
        <v>75907.821465204557</v>
      </c>
      <c r="U232" s="7">
        <f t="shared" ref="U232" ca="1" si="443">T235</f>
        <v>72112.430391944334</v>
      </c>
      <c r="V232" s="7">
        <f t="shared" ref="V232" ca="1" si="444">U235</f>
        <v>68506.808872347116</v>
      </c>
      <c r="W232" s="7">
        <f t="shared" ref="W232" ca="1" si="445">V235</f>
        <v>65081.468428729757</v>
      </c>
      <c r="X232" s="7">
        <f t="shared" ref="X232" ca="1" si="446">W235</f>
        <v>61827.395007293271</v>
      </c>
      <c r="Y232" s="7">
        <f t="shared" ref="Y232" ca="1" si="447">X235</f>
        <v>58736.025256928609</v>
      </c>
      <c r="Z232" s="7">
        <f t="shared" ref="Z232" ca="1" si="448">Y235</f>
        <v>55799.223994082182</v>
      </c>
      <c r="AA232" s="7">
        <f t="shared" ref="AA232" ca="1" si="449">Z235</f>
        <v>53009.262794378075</v>
      </c>
      <c r="AB232" s="7">
        <f t="shared" ref="AB232" ca="1" si="450">AA235</f>
        <v>50358.799654659175</v>
      </c>
      <c r="AC232" s="7">
        <f t="shared" ref="AC232" ca="1" si="451">AB235</f>
        <v>47840.859671926213</v>
      </c>
      <c r="AD232" s="7">
        <f t="shared" ref="AD232" ca="1" si="452">AC235</f>
        <v>45448.816688329905</v>
      </c>
      <c r="AE232" s="7">
        <f t="shared" ref="AE232" ca="1" si="453">AD235</f>
        <v>43176.375853913407</v>
      </c>
      <c r="AF232" s="7">
        <f t="shared" ref="AF232" ca="1" si="454">AE235</f>
        <v>41017.55706121774</v>
      </c>
      <c r="AG232" s="7">
        <f t="shared" ref="AG232" ca="1" si="455">AF235</f>
        <v>38966.679208156856</v>
      </c>
      <c r="AH232" s="7">
        <f t="shared" ref="AH232" ca="1" si="456">AG235</f>
        <v>37018.345247749014</v>
      </c>
      <c r="AI232" s="7">
        <f t="shared" ref="AI232" ca="1" si="457">AH235</f>
        <v>35167.427985361566</v>
      </c>
      <c r="AJ232" s="7">
        <f t="shared" ref="AJ232" ca="1" si="458">AI235</f>
        <v>33409.056586093488</v>
      </c>
      <c r="AK232" s="7">
        <f t="shared" ref="AK232" ca="1" si="459">AJ235</f>
        <v>31738.603756788812</v>
      </c>
      <c r="AL232" s="7">
        <f t="shared" ref="AL232" ca="1" si="460">AK235</f>
        <v>30151.673568949373</v>
      </c>
      <c r="AM232" s="7">
        <f t="shared" ref="AM232" ca="1" si="461">AL235</f>
        <v>28644.089890501906</v>
      </c>
    </row>
    <row r="233" spans="1:39" x14ac:dyDescent="0.2">
      <c r="A233" s="3" t="s">
        <v>23</v>
      </c>
      <c r="C233" s="7">
        <f ca="1">-IF(D229&gt;0,C232,0)</f>
        <v>0</v>
      </c>
      <c r="D233" s="7">
        <f ca="1">-IF(E229&gt;0,D232,0)</f>
        <v>0</v>
      </c>
      <c r="E233" s="7">
        <f ca="1">-IF(F229&gt;0,E232,0)</f>
        <v>0</v>
      </c>
      <c r="F233" s="7">
        <f ca="1">-IF(G229&gt;0,F232,0)</f>
        <v>0</v>
      </c>
      <c r="G233" s="7">
        <f t="shared" ref="G233" ca="1" si="462">-IF(H229&gt;0,G232,0)</f>
        <v>0</v>
      </c>
      <c r="H233" s="7">
        <f t="shared" ref="H233" ca="1" si="463">-IF(I229&gt;0,H232,0)</f>
        <v>0</v>
      </c>
      <c r="I233" s="7">
        <f t="shared" ref="I233" ca="1" si="464">-IF(J229&gt;0,I232,0)</f>
        <v>0</v>
      </c>
      <c r="J233" s="7">
        <f t="shared" ref="J233" ca="1" si="465">-IF(K229&gt;0,J232,0)</f>
        <v>0</v>
      </c>
      <c r="K233" s="7">
        <f t="shared" ref="K233" ca="1" si="466">-IF(L229&gt;0,K232,0)</f>
        <v>0</v>
      </c>
      <c r="L233" s="7">
        <f t="shared" ref="L233" ca="1" si="467">-IF(M229&gt;0,L232,0)</f>
        <v>0</v>
      </c>
      <c r="M233" s="7">
        <f t="shared" ref="M233" ca="1" si="468">-IF(N229&gt;0,M232,0)</f>
        <v>0</v>
      </c>
      <c r="N233" s="7">
        <f t="shared" ref="N233" ca="1" si="469">-IF(O229&gt;0,N232,0)</f>
        <v>0</v>
      </c>
      <c r="O233" s="7">
        <f t="shared" ref="O233" ca="1" si="470">-IF(P229&gt;0,O232,0)</f>
        <v>0</v>
      </c>
      <c r="P233" s="7">
        <f t="shared" ref="P233" ca="1" si="471">-IF(Q229&gt;0,P232,0)</f>
        <v>0</v>
      </c>
      <c r="Q233" s="7">
        <f t="shared" ref="Q233" ca="1" si="472">-IF(R229&gt;0,Q232,0)</f>
        <v>0</v>
      </c>
      <c r="R233" s="7">
        <f t="shared" ref="R233" ca="1" si="473">-IF(S229&gt;0,R232,0)</f>
        <v>0</v>
      </c>
      <c r="S233" s="7">
        <f t="shared" ref="S233" ca="1" si="474">-IF(T229&gt;0,S232,0)</f>
        <v>0</v>
      </c>
      <c r="T233" s="7">
        <f t="shared" ref="T233" ca="1" si="475">-IF(U229&gt;0,T232,0)</f>
        <v>0</v>
      </c>
      <c r="U233" s="7">
        <f t="shared" ref="U233" ca="1" si="476">-IF(V229&gt;0,U232,0)</f>
        <v>0</v>
      </c>
      <c r="V233" s="7">
        <f t="shared" ref="V233" ca="1" si="477">-IF(W229&gt;0,V232,0)</f>
        <v>0</v>
      </c>
      <c r="W233" s="7">
        <f t="shared" ref="W233" ca="1" si="478">-IF(X229&gt;0,W232,0)</f>
        <v>0</v>
      </c>
      <c r="X233" s="7">
        <f t="shared" ref="X233" ca="1" si="479">-IF(Y229&gt;0,X232,0)</f>
        <v>0</v>
      </c>
      <c r="Y233" s="7">
        <f t="shared" ref="Y233" ca="1" si="480">-IF(Z229&gt;0,Y232,0)</f>
        <v>0</v>
      </c>
      <c r="Z233" s="7">
        <f t="shared" ref="Z233" ca="1" si="481">-IF(AA229&gt;0,Z232,0)</f>
        <v>0</v>
      </c>
      <c r="AA233" s="7">
        <f t="shared" ref="AA233" ca="1" si="482">-IF(AB229&gt;0,AA232,0)</f>
        <v>0</v>
      </c>
      <c r="AB233" s="7">
        <f t="shared" ref="AB233" ca="1" si="483">-IF(AC229&gt;0,AB232,0)</f>
        <v>0</v>
      </c>
      <c r="AC233" s="7">
        <f t="shared" ref="AC233" ca="1" si="484">-IF(AD229&gt;0,AC232,0)</f>
        <v>0</v>
      </c>
      <c r="AD233" s="7">
        <f t="shared" ref="AD233" ca="1" si="485">-IF(AE229&gt;0,AD232,0)</f>
        <v>0</v>
      </c>
      <c r="AE233" s="7">
        <f t="shared" ref="AE233" ca="1" si="486">-IF(AF229&gt;0,AE232,0)</f>
        <v>0</v>
      </c>
      <c r="AF233" s="7">
        <f t="shared" ref="AF233" ca="1" si="487">-IF(AG229&gt;0,AF232,0)</f>
        <v>0</v>
      </c>
      <c r="AG233" s="7">
        <f t="shared" ref="AG233" ca="1" si="488">-IF(AH229&gt;0,AG232,0)</f>
        <v>0</v>
      </c>
      <c r="AH233" s="7">
        <f t="shared" ref="AH233" ca="1" si="489">-IF(AI229&gt;0,AH232,0)</f>
        <v>0</v>
      </c>
      <c r="AI233" s="7">
        <f t="shared" ref="AI233" ca="1" si="490">-IF(AJ229&gt;0,AI232,0)</f>
        <v>0</v>
      </c>
      <c r="AJ233" s="7">
        <f t="shared" ref="AJ233" ca="1" si="491">-IF(AK229&gt;0,AJ232,0)</f>
        <v>0</v>
      </c>
      <c r="AK233" s="7">
        <f t="shared" ref="AK233" ca="1" si="492">-IF(AL229&gt;0,AK232,0)</f>
        <v>0</v>
      </c>
      <c r="AL233" s="7">
        <f t="shared" ref="AL233" ca="1" si="493">-IF(AM229&gt;0,AL232,0)</f>
        <v>0</v>
      </c>
      <c r="AM233" s="7">
        <f t="shared" ref="AM233" si="494">-IF(AN229&gt;0,AM232,0)</f>
        <v>0</v>
      </c>
    </row>
    <row r="234" spans="1:39" x14ac:dyDescent="0.2">
      <c r="A234" s="3" t="s">
        <v>24</v>
      </c>
      <c r="C234" s="7">
        <v>0</v>
      </c>
      <c r="D234" s="7">
        <f t="shared" ref="D234:AM234" ca="1" si="495">SUM(D232:D233)*VLOOKUP($A231,AssVar,2,FALSE)</f>
        <v>-8623.4062682150125</v>
      </c>
      <c r="E234" s="7">
        <f t="shared" ca="1" si="495"/>
        <v>-8192.2359548042623</v>
      </c>
      <c r="F234" s="7">
        <f t="shared" ca="1" si="495"/>
        <v>-7782.6241570640486</v>
      </c>
      <c r="G234" s="7">
        <f t="shared" ca="1" si="495"/>
        <v>-7393.4929492108467</v>
      </c>
      <c r="H234" s="7">
        <f t="shared" ca="1" si="495"/>
        <v>-7023.8183017503052</v>
      </c>
      <c r="I234" s="7">
        <f t="shared" ca="1" si="495"/>
        <v>-6672.6273866627889</v>
      </c>
      <c r="J234" s="7">
        <f t="shared" ca="1" si="495"/>
        <v>-6338.9960173296495</v>
      </c>
      <c r="K234" s="7">
        <f t="shared" ca="1" si="495"/>
        <v>-6022.0462164631672</v>
      </c>
      <c r="L234" s="7">
        <f t="shared" ca="1" si="495"/>
        <v>-5720.9439056400088</v>
      </c>
      <c r="M234" s="7">
        <f t="shared" ca="1" si="495"/>
        <v>-5434.896710358008</v>
      </c>
      <c r="N234" s="7">
        <f t="shared" ca="1" si="495"/>
        <v>-5163.1518748401077</v>
      </c>
      <c r="O234" s="7">
        <f t="shared" ca="1" si="495"/>
        <v>-4904.994281098102</v>
      </c>
      <c r="P234" s="7">
        <f t="shared" ca="1" si="495"/>
        <v>-4659.7445670431971</v>
      </c>
      <c r="Q234" s="7">
        <f t="shared" ca="1" si="495"/>
        <v>-4426.7573386910371</v>
      </c>
      <c r="R234" s="7">
        <f t="shared" ca="1" si="495"/>
        <v>-4205.4194717564851</v>
      </c>
      <c r="S234" s="7">
        <f t="shared" ca="1" si="495"/>
        <v>-3995.1484981686613</v>
      </c>
      <c r="T234" s="7">
        <f t="shared" ca="1" si="495"/>
        <v>-3795.391073260228</v>
      </c>
      <c r="U234" s="7">
        <f t="shared" ca="1" si="495"/>
        <v>-3605.6215195972168</v>
      </c>
      <c r="V234" s="7">
        <f t="shared" ca="1" si="495"/>
        <v>-3425.340443617356</v>
      </c>
      <c r="W234" s="7">
        <f t="shared" ca="1" si="495"/>
        <v>-3254.0734214364879</v>
      </c>
      <c r="X234" s="7">
        <f t="shared" ca="1" si="495"/>
        <v>-3091.3697503646636</v>
      </c>
      <c r="Y234" s="7">
        <f t="shared" ca="1" si="495"/>
        <v>-2936.8012628464307</v>
      </c>
      <c r="Z234" s="7">
        <f t="shared" ca="1" si="495"/>
        <v>-2789.9611997041093</v>
      </c>
      <c r="AA234" s="7">
        <f t="shared" ca="1" si="495"/>
        <v>-2650.4631397189041</v>
      </c>
      <c r="AB234" s="7">
        <f t="shared" ca="1" si="495"/>
        <v>-2517.9399827329589</v>
      </c>
      <c r="AC234" s="7">
        <f t="shared" ca="1" si="495"/>
        <v>-2392.0429835963109</v>
      </c>
      <c r="AD234" s="7">
        <f t="shared" ca="1" si="495"/>
        <v>-2272.4408344164954</v>
      </c>
      <c r="AE234" s="7">
        <f t="shared" ca="1" si="495"/>
        <v>-2158.8187926956703</v>
      </c>
      <c r="AF234" s="7">
        <f t="shared" ca="1" si="495"/>
        <v>-2050.877853060887</v>
      </c>
      <c r="AG234" s="7">
        <f t="shared" ca="1" si="495"/>
        <v>-1948.3339604078428</v>
      </c>
      <c r="AH234" s="7">
        <f t="shared" ca="1" si="495"/>
        <v>-1850.9172623874508</v>
      </c>
      <c r="AI234" s="7">
        <f t="shared" ca="1" si="495"/>
        <v>-1758.3713992680784</v>
      </c>
      <c r="AJ234" s="7">
        <f t="shared" ca="1" si="495"/>
        <v>-1670.4528293046744</v>
      </c>
      <c r="AK234" s="7">
        <f t="shared" ca="1" si="495"/>
        <v>-1586.9301878394408</v>
      </c>
      <c r="AL234" s="7">
        <f t="shared" ca="1" si="495"/>
        <v>-1507.5836784474686</v>
      </c>
      <c r="AM234" s="7">
        <f t="shared" ca="1" si="495"/>
        <v>-1432.2044945250955</v>
      </c>
    </row>
    <row r="235" spans="1:39" x14ac:dyDescent="0.2">
      <c r="A235" s="3" t="s">
        <v>25</v>
      </c>
      <c r="C235" s="7">
        <f ca="1">SUM(C232:C234)</f>
        <v>172468.12536430024</v>
      </c>
      <c r="D235" s="7">
        <f t="shared" ref="D235:AM235" ca="1" si="496">SUM(D232:D234)</f>
        <v>163844.71909608523</v>
      </c>
      <c r="E235" s="7">
        <f t="shared" ca="1" si="496"/>
        <v>155652.48314128097</v>
      </c>
      <c r="F235" s="7">
        <f t="shared" ca="1" si="496"/>
        <v>147869.85898421693</v>
      </c>
      <c r="G235" s="7">
        <f t="shared" ca="1" si="496"/>
        <v>140476.3660350061</v>
      </c>
      <c r="H235" s="7">
        <f t="shared" ca="1" si="496"/>
        <v>133452.54773325578</v>
      </c>
      <c r="I235" s="7">
        <f t="shared" ca="1" si="496"/>
        <v>126779.92034659299</v>
      </c>
      <c r="J235" s="7">
        <f t="shared" ca="1" si="496"/>
        <v>120440.92432926333</v>
      </c>
      <c r="K235" s="7">
        <f t="shared" ca="1" si="496"/>
        <v>114418.87811280017</v>
      </c>
      <c r="L235" s="7">
        <f t="shared" ca="1" si="496"/>
        <v>108697.93420716016</v>
      </c>
      <c r="M235" s="7">
        <f t="shared" ca="1" si="496"/>
        <v>103263.03749680215</v>
      </c>
      <c r="N235" s="7">
        <f t="shared" ca="1" si="496"/>
        <v>98099.885621962036</v>
      </c>
      <c r="O235" s="7">
        <f t="shared" ca="1" si="496"/>
        <v>93194.891340863935</v>
      </c>
      <c r="P235" s="7">
        <f t="shared" ca="1" si="496"/>
        <v>88535.146773820743</v>
      </c>
      <c r="Q235" s="7">
        <f t="shared" ca="1" si="496"/>
        <v>84108.389435129706</v>
      </c>
      <c r="R235" s="7">
        <f t="shared" ca="1" si="496"/>
        <v>79902.969963373223</v>
      </c>
      <c r="S235" s="7">
        <f t="shared" ca="1" si="496"/>
        <v>75907.821465204557</v>
      </c>
      <c r="T235" s="7">
        <f t="shared" ca="1" si="496"/>
        <v>72112.430391944334</v>
      </c>
      <c r="U235" s="7">
        <f t="shared" ca="1" si="496"/>
        <v>68506.808872347116</v>
      </c>
      <c r="V235" s="7">
        <f t="shared" ca="1" si="496"/>
        <v>65081.468428729757</v>
      </c>
      <c r="W235" s="7">
        <f t="shared" ca="1" si="496"/>
        <v>61827.395007293271</v>
      </c>
      <c r="X235" s="7">
        <f t="shared" ca="1" si="496"/>
        <v>58736.025256928609</v>
      </c>
      <c r="Y235" s="7">
        <f t="shared" ca="1" si="496"/>
        <v>55799.223994082182</v>
      </c>
      <c r="Z235" s="7">
        <f t="shared" ca="1" si="496"/>
        <v>53009.262794378075</v>
      </c>
      <c r="AA235" s="7">
        <f t="shared" ca="1" si="496"/>
        <v>50358.799654659175</v>
      </c>
      <c r="AB235" s="7">
        <f t="shared" ca="1" si="496"/>
        <v>47840.859671926213</v>
      </c>
      <c r="AC235" s="7">
        <f t="shared" ca="1" si="496"/>
        <v>45448.816688329905</v>
      </c>
      <c r="AD235" s="7">
        <f t="shared" ca="1" si="496"/>
        <v>43176.375853913407</v>
      </c>
      <c r="AE235" s="7">
        <f t="shared" ca="1" si="496"/>
        <v>41017.55706121774</v>
      </c>
      <c r="AF235" s="7">
        <f t="shared" ca="1" si="496"/>
        <v>38966.679208156856</v>
      </c>
      <c r="AG235" s="7">
        <f t="shared" ca="1" si="496"/>
        <v>37018.345247749014</v>
      </c>
      <c r="AH235" s="7">
        <f t="shared" ca="1" si="496"/>
        <v>35167.427985361566</v>
      </c>
      <c r="AI235" s="7">
        <f t="shared" ca="1" si="496"/>
        <v>33409.056586093488</v>
      </c>
      <c r="AJ235" s="7">
        <f t="shared" ca="1" si="496"/>
        <v>31738.603756788812</v>
      </c>
      <c r="AK235" s="7">
        <f t="shared" ca="1" si="496"/>
        <v>30151.673568949373</v>
      </c>
      <c r="AL235" s="7">
        <f t="shared" ca="1" si="496"/>
        <v>28644.089890501906</v>
      </c>
      <c r="AM235" s="7">
        <f t="shared" ca="1" si="496"/>
        <v>27211.885395976809</v>
      </c>
    </row>
    <row r="236" spans="1:39" x14ac:dyDescent="0.2">
      <c r="A236" s="3" t="s">
        <v>26</v>
      </c>
      <c r="C236" s="7">
        <f t="shared" ref="C236:AM236" ca="1" si="497">C233*VLOOKUP($A231,AssVar,3,FALSE)</f>
        <v>0</v>
      </c>
      <c r="D236" s="7">
        <f t="shared" ca="1" si="497"/>
        <v>0</v>
      </c>
      <c r="E236" s="7">
        <f t="shared" ca="1" si="497"/>
        <v>0</v>
      </c>
      <c r="F236" s="7">
        <f t="shared" ca="1" si="497"/>
        <v>0</v>
      </c>
      <c r="G236" s="7">
        <f t="shared" ca="1" si="497"/>
        <v>0</v>
      </c>
      <c r="H236" s="7">
        <f t="shared" ca="1" si="497"/>
        <v>0</v>
      </c>
      <c r="I236" s="7">
        <f t="shared" ca="1" si="497"/>
        <v>0</v>
      </c>
      <c r="J236" s="7">
        <f t="shared" ca="1" si="497"/>
        <v>0</v>
      </c>
      <c r="K236" s="7">
        <f t="shared" ca="1" si="497"/>
        <v>0</v>
      </c>
      <c r="L236" s="7">
        <f t="shared" ca="1" si="497"/>
        <v>0</v>
      </c>
      <c r="M236" s="7">
        <f t="shared" ca="1" si="497"/>
        <v>0</v>
      </c>
      <c r="N236" s="7">
        <f t="shared" ca="1" si="497"/>
        <v>0</v>
      </c>
      <c r="O236" s="7">
        <f t="shared" ca="1" si="497"/>
        <v>0</v>
      </c>
      <c r="P236" s="7">
        <f t="shared" ca="1" si="497"/>
        <v>0</v>
      </c>
      <c r="Q236" s="7">
        <f t="shared" ca="1" si="497"/>
        <v>0</v>
      </c>
      <c r="R236" s="7">
        <f t="shared" ca="1" si="497"/>
        <v>0</v>
      </c>
      <c r="S236" s="7">
        <f t="shared" ca="1" si="497"/>
        <v>0</v>
      </c>
      <c r="T236" s="7">
        <f t="shared" ca="1" si="497"/>
        <v>0</v>
      </c>
      <c r="U236" s="7">
        <f t="shared" ca="1" si="497"/>
        <v>0</v>
      </c>
      <c r="V236" s="7">
        <f t="shared" ca="1" si="497"/>
        <v>0</v>
      </c>
      <c r="W236" s="7">
        <f t="shared" ca="1" si="497"/>
        <v>0</v>
      </c>
      <c r="X236" s="7">
        <f t="shared" ca="1" si="497"/>
        <v>0</v>
      </c>
      <c r="Y236" s="7">
        <f t="shared" ca="1" si="497"/>
        <v>0</v>
      </c>
      <c r="Z236" s="7">
        <f t="shared" ca="1" si="497"/>
        <v>0</v>
      </c>
      <c r="AA236" s="7">
        <f t="shared" ca="1" si="497"/>
        <v>0</v>
      </c>
      <c r="AB236" s="7">
        <f t="shared" ca="1" si="497"/>
        <v>0</v>
      </c>
      <c r="AC236" s="7">
        <f t="shared" ca="1" si="497"/>
        <v>0</v>
      </c>
      <c r="AD236" s="7">
        <f t="shared" ca="1" si="497"/>
        <v>0</v>
      </c>
      <c r="AE236" s="7">
        <f t="shared" ca="1" si="497"/>
        <v>0</v>
      </c>
      <c r="AF236" s="7">
        <f t="shared" ca="1" si="497"/>
        <v>0</v>
      </c>
      <c r="AG236" s="7">
        <f t="shared" ca="1" si="497"/>
        <v>0</v>
      </c>
      <c r="AH236" s="7">
        <f t="shared" ca="1" si="497"/>
        <v>0</v>
      </c>
      <c r="AI236" s="7">
        <f t="shared" ca="1" si="497"/>
        <v>0</v>
      </c>
      <c r="AJ236" s="7">
        <f t="shared" ca="1" si="497"/>
        <v>0</v>
      </c>
      <c r="AK236" s="7">
        <f t="shared" ca="1" si="497"/>
        <v>0</v>
      </c>
      <c r="AL236" s="7">
        <f t="shared" ca="1" si="497"/>
        <v>0</v>
      </c>
      <c r="AM236" s="7">
        <f t="shared" si="497"/>
        <v>0</v>
      </c>
    </row>
    <row r="237" spans="1:39" x14ac:dyDescent="0.2">
      <c r="A237" s="3" t="s">
        <v>31</v>
      </c>
      <c r="C237" s="7">
        <f t="shared" ref="C237:AM237" ca="1" si="498">IFERROR(-IF(C232=0,VLOOKUP($A231,$8:$12,C$1+2,FALSE),0),0)</f>
        <v>0</v>
      </c>
      <c r="D237" s="7">
        <f t="shared" ca="1" si="498"/>
        <v>0</v>
      </c>
      <c r="E237" s="7">
        <f t="shared" ca="1" si="498"/>
        <v>0</v>
      </c>
      <c r="F237" s="7">
        <f t="shared" ca="1" si="498"/>
        <v>0</v>
      </c>
      <c r="G237" s="7">
        <f t="shared" ca="1" si="498"/>
        <v>0</v>
      </c>
      <c r="H237" s="7">
        <f t="shared" ca="1" si="498"/>
        <v>0</v>
      </c>
      <c r="I237" s="7">
        <f t="shared" ca="1" si="498"/>
        <v>0</v>
      </c>
      <c r="J237" s="7">
        <f t="shared" ca="1" si="498"/>
        <v>0</v>
      </c>
      <c r="K237" s="7">
        <f t="shared" ca="1" si="498"/>
        <v>0</v>
      </c>
      <c r="L237" s="7">
        <f t="shared" ca="1" si="498"/>
        <v>0</v>
      </c>
      <c r="M237" s="7">
        <f t="shared" ca="1" si="498"/>
        <v>0</v>
      </c>
      <c r="N237" s="7">
        <f t="shared" ca="1" si="498"/>
        <v>0</v>
      </c>
      <c r="O237" s="7">
        <f t="shared" ca="1" si="498"/>
        <v>0</v>
      </c>
      <c r="P237" s="7">
        <f t="shared" ca="1" si="498"/>
        <v>0</v>
      </c>
      <c r="Q237" s="7">
        <f t="shared" ca="1" si="498"/>
        <v>0</v>
      </c>
      <c r="R237" s="7">
        <f t="shared" ca="1" si="498"/>
        <v>0</v>
      </c>
      <c r="S237" s="7">
        <f t="shared" ca="1" si="498"/>
        <v>0</v>
      </c>
      <c r="T237" s="7">
        <f t="shared" ca="1" si="498"/>
        <v>0</v>
      </c>
      <c r="U237" s="7">
        <f t="shared" ca="1" si="498"/>
        <v>0</v>
      </c>
      <c r="V237" s="7">
        <f t="shared" ca="1" si="498"/>
        <v>0</v>
      </c>
      <c r="W237" s="7">
        <f t="shared" ca="1" si="498"/>
        <v>0</v>
      </c>
      <c r="X237" s="7">
        <f t="shared" ca="1" si="498"/>
        <v>0</v>
      </c>
      <c r="Y237" s="7">
        <f t="shared" ca="1" si="498"/>
        <v>0</v>
      </c>
      <c r="Z237" s="7">
        <f t="shared" ca="1" si="498"/>
        <v>0</v>
      </c>
      <c r="AA237" s="7">
        <f t="shared" ca="1" si="498"/>
        <v>0</v>
      </c>
      <c r="AB237" s="7">
        <f t="shared" ca="1" si="498"/>
        <v>0</v>
      </c>
      <c r="AC237" s="7">
        <f t="shared" ca="1" si="498"/>
        <v>0</v>
      </c>
      <c r="AD237" s="7">
        <f t="shared" ca="1" si="498"/>
        <v>0</v>
      </c>
      <c r="AE237" s="7">
        <f t="shared" ca="1" si="498"/>
        <v>0</v>
      </c>
      <c r="AF237" s="7">
        <f t="shared" ca="1" si="498"/>
        <v>0</v>
      </c>
      <c r="AG237" s="7">
        <f t="shared" ca="1" si="498"/>
        <v>0</v>
      </c>
      <c r="AH237" s="7">
        <f t="shared" ca="1" si="498"/>
        <v>0</v>
      </c>
      <c r="AI237" s="7">
        <f t="shared" ca="1" si="498"/>
        <v>0</v>
      </c>
      <c r="AJ237" s="7">
        <f t="shared" ca="1" si="498"/>
        <v>0</v>
      </c>
      <c r="AK237" s="7">
        <f t="shared" ca="1" si="498"/>
        <v>0</v>
      </c>
      <c r="AL237" s="7">
        <f t="shared" ca="1" si="498"/>
        <v>0</v>
      </c>
      <c r="AM237" s="7">
        <f t="shared" ca="1" si="498"/>
        <v>0</v>
      </c>
    </row>
    <row r="238" spans="1:39" x14ac:dyDescent="0.2">
      <c r="A238" s="3" t="s">
        <v>50</v>
      </c>
      <c r="C238" s="7">
        <f t="shared" ref="C238:AM238" ca="1" si="499">IFERROR(IF(C232=0,VLOOKUP($A231,$45:$49,C$1+2,FALSE),0),0)</f>
        <v>0</v>
      </c>
      <c r="D238" s="7">
        <f t="shared" ca="1" si="499"/>
        <v>0</v>
      </c>
      <c r="E238" s="7">
        <f t="shared" ca="1" si="499"/>
        <v>0</v>
      </c>
      <c r="F238" s="7">
        <f t="shared" ca="1" si="499"/>
        <v>0</v>
      </c>
      <c r="G238" s="7">
        <f t="shared" ca="1" si="499"/>
        <v>0</v>
      </c>
      <c r="H238" s="7">
        <f t="shared" ca="1" si="499"/>
        <v>0</v>
      </c>
      <c r="I238" s="7">
        <f t="shared" ca="1" si="499"/>
        <v>0</v>
      </c>
      <c r="J238" s="7">
        <f t="shared" ca="1" si="499"/>
        <v>0</v>
      </c>
      <c r="K238" s="7">
        <f t="shared" ca="1" si="499"/>
        <v>0</v>
      </c>
      <c r="L238" s="7">
        <f t="shared" ca="1" si="499"/>
        <v>0</v>
      </c>
      <c r="M238" s="7">
        <f t="shared" ca="1" si="499"/>
        <v>0</v>
      </c>
      <c r="N238" s="7">
        <f t="shared" ca="1" si="499"/>
        <v>0</v>
      </c>
      <c r="O238" s="7">
        <f t="shared" ca="1" si="499"/>
        <v>0</v>
      </c>
      <c r="P238" s="7">
        <f t="shared" ca="1" si="499"/>
        <v>0</v>
      </c>
      <c r="Q238" s="7">
        <f t="shared" ca="1" si="499"/>
        <v>0</v>
      </c>
      <c r="R238" s="7">
        <f t="shared" ca="1" si="499"/>
        <v>0</v>
      </c>
      <c r="S238" s="7">
        <f t="shared" ca="1" si="499"/>
        <v>0</v>
      </c>
      <c r="T238" s="7">
        <f t="shared" ca="1" si="499"/>
        <v>0</v>
      </c>
      <c r="U238" s="7">
        <f t="shared" ca="1" si="499"/>
        <v>0</v>
      </c>
      <c r="V238" s="7">
        <f t="shared" ca="1" si="499"/>
        <v>0</v>
      </c>
      <c r="W238" s="7">
        <f t="shared" ca="1" si="499"/>
        <v>0</v>
      </c>
      <c r="X238" s="7">
        <f t="shared" ca="1" si="499"/>
        <v>0</v>
      </c>
      <c r="Y238" s="7">
        <f t="shared" ca="1" si="499"/>
        <v>0</v>
      </c>
      <c r="Z238" s="7">
        <f t="shared" ca="1" si="499"/>
        <v>0</v>
      </c>
      <c r="AA238" s="7">
        <f t="shared" ca="1" si="499"/>
        <v>0</v>
      </c>
      <c r="AB238" s="7">
        <f t="shared" ca="1" si="499"/>
        <v>0</v>
      </c>
      <c r="AC238" s="7">
        <f t="shared" ca="1" si="499"/>
        <v>0</v>
      </c>
      <c r="AD238" s="7">
        <f t="shared" ca="1" si="499"/>
        <v>0</v>
      </c>
      <c r="AE238" s="7">
        <f t="shared" ca="1" si="499"/>
        <v>0</v>
      </c>
      <c r="AF238" s="7">
        <f t="shared" ca="1" si="499"/>
        <v>0</v>
      </c>
      <c r="AG238" s="7">
        <f t="shared" ca="1" si="499"/>
        <v>0</v>
      </c>
      <c r="AH238" s="7">
        <f t="shared" ca="1" si="499"/>
        <v>0</v>
      </c>
      <c r="AI238" s="7">
        <f t="shared" ca="1" si="499"/>
        <v>0</v>
      </c>
      <c r="AJ238" s="7">
        <f t="shared" ca="1" si="499"/>
        <v>0</v>
      </c>
      <c r="AK238" s="7">
        <f t="shared" ca="1" si="499"/>
        <v>0</v>
      </c>
      <c r="AL238" s="7">
        <f t="shared" ca="1" si="499"/>
        <v>0</v>
      </c>
      <c r="AM238" s="7">
        <f t="shared" ca="1" si="499"/>
        <v>0</v>
      </c>
    </row>
    <row r="239" spans="1:39" x14ac:dyDescent="0.2">
      <c r="A239" s="3" t="s">
        <v>36</v>
      </c>
      <c r="B239" s="14" t="str">
        <f>A231</f>
        <v>Boat</v>
      </c>
      <c r="C239" s="7">
        <f t="shared" ref="C239:AM239" ca="1" si="500">IF(AND(C232&gt;0,C235=0),VLOOKUP($A231,$83:$92,C$1+2,FALSE),0)</f>
        <v>0</v>
      </c>
      <c r="D239" s="7">
        <f t="shared" ca="1" si="500"/>
        <v>0</v>
      </c>
      <c r="E239" s="7">
        <f t="shared" ca="1" si="500"/>
        <v>0</v>
      </c>
      <c r="F239" s="7">
        <f t="shared" ca="1" si="500"/>
        <v>0</v>
      </c>
      <c r="G239" s="7">
        <f t="shared" ca="1" si="500"/>
        <v>0</v>
      </c>
      <c r="H239" s="7">
        <f t="shared" ca="1" si="500"/>
        <v>0</v>
      </c>
      <c r="I239" s="7">
        <f t="shared" ca="1" si="500"/>
        <v>0</v>
      </c>
      <c r="J239" s="7">
        <f t="shared" ca="1" si="500"/>
        <v>0</v>
      </c>
      <c r="K239" s="7">
        <f t="shared" ca="1" si="500"/>
        <v>0</v>
      </c>
      <c r="L239" s="7">
        <f t="shared" ca="1" si="500"/>
        <v>0</v>
      </c>
      <c r="M239" s="7">
        <f t="shared" ca="1" si="500"/>
        <v>0</v>
      </c>
      <c r="N239" s="7">
        <f t="shared" ca="1" si="500"/>
        <v>0</v>
      </c>
      <c r="O239" s="7">
        <f t="shared" ca="1" si="500"/>
        <v>0</v>
      </c>
      <c r="P239" s="7">
        <f t="shared" ca="1" si="500"/>
        <v>0</v>
      </c>
      <c r="Q239" s="7">
        <f t="shared" ca="1" si="500"/>
        <v>0</v>
      </c>
      <c r="R239" s="7">
        <f t="shared" ca="1" si="500"/>
        <v>0</v>
      </c>
      <c r="S239" s="7">
        <f t="shared" ca="1" si="500"/>
        <v>0</v>
      </c>
      <c r="T239" s="7">
        <f t="shared" ca="1" si="500"/>
        <v>0</v>
      </c>
      <c r="U239" s="7">
        <f t="shared" ca="1" si="500"/>
        <v>0</v>
      </c>
      <c r="V239" s="7">
        <f t="shared" ca="1" si="500"/>
        <v>0</v>
      </c>
      <c r="W239" s="7">
        <f t="shared" ca="1" si="500"/>
        <v>0</v>
      </c>
      <c r="X239" s="7">
        <f t="shared" ca="1" si="500"/>
        <v>0</v>
      </c>
      <c r="Y239" s="7">
        <f t="shared" ca="1" si="500"/>
        <v>0</v>
      </c>
      <c r="Z239" s="7">
        <f t="shared" ca="1" si="500"/>
        <v>0</v>
      </c>
      <c r="AA239" s="7">
        <f t="shared" ca="1" si="500"/>
        <v>0</v>
      </c>
      <c r="AB239" s="7">
        <f t="shared" ca="1" si="500"/>
        <v>0</v>
      </c>
      <c r="AC239" s="7">
        <f t="shared" ca="1" si="500"/>
        <v>0</v>
      </c>
      <c r="AD239" s="7">
        <f t="shared" ca="1" si="500"/>
        <v>0</v>
      </c>
      <c r="AE239" s="7">
        <f t="shared" ca="1" si="500"/>
        <v>0</v>
      </c>
      <c r="AF239" s="7">
        <f t="shared" ca="1" si="500"/>
        <v>0</v>
      </c>
      <c r="AG239" s="7">
        <f t="shared" ca="1" si="500"/>
        <v>0</v>
      </c>
      <c r="AH239" s="7">
        <f t="shared" ca="1" si="500"/>
        <v>0</v>
      </c>
      <c r="AI239" s="7">
        <f t="shared" ca="1" si="500"/>
        <v>0</v>
      </c>
      <c r="AJ239" s="7">
        <f t="shared" ca="1" si="500"/>
        <v>0</v>
      </c>
      <c r="AK239" s="7">
        <f t="shared" ca="1" si="500"/>
        <v>0</v>
      </c>
      <c r="AL239" s="7">
        <f t="shared" ca="1" si="500"/>
        <v>0</v>
      </c>
      <c r="AM239" s="7">
        <f t="shared" ca="1" si="500"/>
        <v>0</v>
      </c>
    </row>
    <row r="240" spans="1:39" x14ac:dyDescent="0.2">
      <c r="A240" s="3" t="s">
        <v>37</v>
      </c>
      <c r="C240" s="7">
        <f ca="1">-C233+SUM(C236:C239)</f>
        <v>0</v>
      </c>
      <c r="D240" s="7">
        <f t="shared" ref="D240" ca="1" si="501">-D233+SUM(D236:D239)</f>
        <v>0</v>
      </c>
      <c r="E240" s="7">
        <f t="shared" ref="E240:AM240" ca="1" si="502">-E233+SUM(E236:E239)</f>
        <v>0</v>
      </c>
      <c r="F240" s="7">
        <f t="shared" ca="1" si="502"/>
        <v>0</v>
      </c>
      <c r="G240" s="7">
        <f t="shared" ca="1" si="502"/>
        <v>0</v>
      </c>
      <c r="H240" s="7">
        <f t="shared" ca="1" si="502"/>
        <v>0</v>
      </c>
      <c r="I240" s="7">
        <f t="shared" ca="1" si="502"/>
        <v>0</v>
      </c>
      <c r="J240" s="7">
        <f t="shared" ca="1" si="502"/>
        <v>0</v>
      </c>
      <c r="K240" s="7">
        <f t="shared" ca="1" si="502"/>
        <v>0</v>
      </c>
      <c r="L240" s="7">
        <f t="shared" ca="1" si="502"/>
        <v>0</v>
      </c>
      <c r="M240" s="7">
        <f t="shared" ca="1" si="502"/>
        <v>0</v>
      </c>
      <c r="N240" s="7">
        <f t="shared" ca="1" si="502"/>
        <v>0</v>
      </c>
      <c r="O240" s="7">
        <f t="shared" ca="1" si="502"/>
        <v>0</v>
      </c>
      <c r="P240" s="7">
        <f t="shared" ca="1" si="502"/>
        <v>0</v>
      </c>
      <c r="Q240" s="7">
        <f t="shared" ca="1" si="502"/>
        <v>0</v>
      </c>
      <c r="R240" s="7">
        <f t="shared" ca="1" si="502"/>
        <v>0</v>
      </c>
      <c r="S240" s="7">
        <f t="shared" ca="1" si="502"/>
        <v>0</v>
      </c>
      <c r="T240" s="7">
        <f t="shared" ca="1" si="502"/>
        <v>0</v>
      </c>
      <c r="U240" s="7">
        <f t="shared" ca="1" si="502"/>
        <v>0</v>
      </c>
      <c r="V240" s="7">
        <f t="shared" ca="1" si="502"/>
        <v>0</v>
      </c>
      <c r="W240" s="7">
        <f t="shared" ca="1" si="502"/>
        <v>0</v>
      </c>
      <c r="X240" s="7">
        <f t="shared" ca="1" si="502"/>
        <v>0</v>
      </c>
      <c r="Y240" s="7">
        <f t="shared" ca="1" si="502"/>
        <v>0</v>
      </c>
      <c r="Z240" s="7">
        <f t="shared" ca="1" si="502"/>
        <v>0</v>
      </c>
      <c r="AA240" s="7">
        <f t="shared" ca="1" si="502"/>
        <v>0</v>
      </c>
      <c r="AB240" s="7">
        <f t="shared" ca="1" si="502"/>
        <v>0</v>
      </c>
      <c r="AC240" s="7">
        <f t="shared" ca="1" si="502"/>
        <v>0</v>
      </c>
      <c r="AD240" s="7">
        <f t="shared" ca="1" si="502"/>
        <v>0</v>
      </c>
      <c r="AE240" s="7">
        <f t="shared" ca="1" si="502"/>
        <v>0</v>
      </c>
      <c r="AF240" s="7">
        <f t="shared" ca="1" si="502"/>
        <v>0</v>
      </c>
      <c r="AG240" s="7">
        <f t="shared" ca="1" si="502"/>
        <v>0</v>
      </c>
      <c r="AH240" s="7">
        <f t="shared" ca="1" si="502"/>
        <v>0</v>
      </c>
      <c r="AI240" s="7">
        <f t="shared" ca="1" si="502"/>
        <v>0</v>
      </c>
      <c r="AJ240" s="7">
        <f t="shared" ca="1" si="502"/>
        <v>0</v>
      </c>
      <c r="AK240" s="7">
        <f t="shared" ca="1" si="502"/>
        <v>0</v>
      </c>
      <c r="AL240" s="7">
        <f t="shared" ca="1" si="502"/>
        <v>0</v>
      </c>
      <c r="AM240" s="7">
        <f t="shared" ca="1" si="502"/>
        <v>0</v>
      </c>
    </row>
    <row r="241" spans="1:39" x14ac:dyDescent="0.2">
      <c r="A241" s="3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3" t="s">
        <v>71</v>
      </c>
      <c r="C242" s="7">
        <f ca="1">C228+SUM($C240:C240)</f>
        <v>12809.375000000015</v>
      </c>
      <c r="D242" s="7">
        <f ca="1">D228+SUM($C240:D240)</f>
        <v>24162.215625000026</v>
      </c>
      <c r="E242" s="7">
        <f ca="1">E228+SUM($C240:E240)</f>
        <v>41813.279140625047</v>
      </c>
      <c r="F242" s="7">
        <f ca="1">F228+SUM($C240:F240)</f>
        <v>41803.568657505195</v>
      </c>
      <c r="G242" s="7">
        <f ca="1">G228+SUM($C240:G240)</f>
        <v>73524.627177360788</v>
      </c>
      <c r="H242" s="7">
        <f ca="1">H228+SUM($C240:H240)</f>
        <v>111945.76563583669</v>
      </c>
      <c r="I242" s="7">
        <f ca="1">I228+SUM($C240:I240)</f>
        <v>179058.63493181192</v>
      </c>
      <c r="J242" s="7">
        <f ca="1">J228+SUM($C240:J240)</f>
        <v>250182.50067145552</v>
      </c>
      <c r="K242" s="7">
        <f ca="1">K228+SUM($C240:K240)</f>
        <v>308095.70278366783</v>
      </c>
      <c r="L242" s="7">
        <f ca="1">L228+SUM($C240:L240)</f>
        <v>453640.47280939861</v>
      </c>
      <c r="M242" s="7">
        <f ca="1">M228+SUM($C240:M240)</f>
        <v>510683.42164108111</v>
      </c>
      <c r="N242" s="7">
        <f ca="1">N228+SUM($C240:N240)</f>
        <v>621525.85327123245</v>
      </c>
      <c r="O242" s="7">
        <f ca="1">O228+SUM($C240:O240)</f>
        <v>738362.94313265686</v>
      </c>
      <c r="P242" s="7">
        <f ca="1">P228+SUM($C240:P240)</f>
        <v>861449.23653079802</v>
      </c>
      <c r="Q242" s="7">
        <f ca="1">Q228+SUM($C240:Q240)</f>
        <v>991048.98204238666</v>
      </c>
      <c r="R242" s="7">
        <f ca="1">R228+SUM($C240:R240)</f>
        <v>1127436.4792682112</v>
      </c>
      <c r="S242" s="7">
        <f ca="1">S228+SUM($C240:S240)</f>
        <v>1270896.4385593834</v>
      </c>
      <c r="T242" s="7">
        <f ca="1">T228+SUM($C240:T240)</f>
        <v>1312493.9107349962</v>
      </c>
      <c r="U242" s="7">
        <f ca="1">U228+SUM($C240:U240)</f>
        <v>1363530.8459680481</v>
      </c>
      <c r="V242" s="7">
        <f ca="1">V228+SUM($C240:V240)</f>
        <v>1416566.1280568431</v>
      </c>
      <c r="W242" s="7">
        <f ca="1">W228+SUM($C240:W240)</f>
        <v>1471676.7180232967</v>
      </c>
      <c r="X242" s="7">
        <f ca="1">X228+SUM($C240:X240)</f>
        <v>1528942.4442265448</v>
      </c>
      <c r="Y242" s="7">
        <f ca="1">Y228+SUM($C240:Y240)</f>
        <v>1567529.0131961552</v>
      </c>
      <c r="Z242" s="7">
        <f ca="1">Z228+SUM($C240:Z240)</f>
        <v>1607393.5393787338</v>
      </c>
      <c r="AA242" s="7">
        <f ca="1">AA228+SUM($C240:AA240)</f>
        <v>1648585.8680630873</v>
      </c>
      <c r="AB242" s="7">
        <f ca="1">AB228+SUM($C240:AB240)</f>
        <v>1691157.8400002168</v>
      </c>
      <c r="AC242" s="7">
        <f ca="1">AC228+SUM($C240:AC240)</f>
        <v>1735163.3690807538</v>
      </c>
      <c r="AD242" s="7">
        <f ca="1">AD228+SUM($C240:AD240)</f>
        <v>1780658.5229208304</v>
      </c>
      <c r="AE242" s="7">
        <f ca="1">AE228+SUM($C240:AE240)</f>
        <v>1837808.8624938719</v>
      </c>
      <c r="AF242" s="7">
        <f ca="1">AF228+SUM($C240:AF240)</f>
        <v>1897073.1235563438</v>
      </c>
      <c r="AG242" s="7">
        <f ca="1">AG228+SUM($C240:AG240)</f>
        <v>1958533.3002031124</v>
      </c>
      <c r="AH242" s="7">
        <f ca="1">AH228+SUM($C240:AH240)</f>
        <v>2022274.5255423354</v>
      </c>
      <c r="AI242" s="7">
        <f ca="1">AI228+SUM($C240:AI240)</f>
        <v>2088385.1882151016</v>
      </c>
      <c r="AJ242" s="7">
        <f ca="1">AJ228+SUM($C240:AJ240)</f>
        <v>2156957.0531036272</v>
      </c>
      <c r="AK242" s="7">
        <f ca="1">AK228+SUM($C240:AK240)</f>
        <v>2228085.3863743474</v>
      </c>
      <c r="AL242" s="7">
        <f ca="1">AL228+SUM($C240:AL240)</f>
        <v>2301869.0850072289</v>
      </c>
      <c r="AM242" s="7">
        <f ca="1">AM228+SUM($C240:AM240)</f>
        <v>2378410.8109677895</v>
      </c>
    </row>
    <row r="243" spans="1:39" x14ac:dyDescent="0.2">
      <c r="A243" s="3" t="s">
        <v>68</v>
      </c>
      <c r="C243" s="7">
        <f t="shared" ref="C243:AM243" ca="1" si="503">MAX(C242+buffer,0)-MAX(C228+buffer,0)</f>
        <v>0</v>
      </c>
      <c r="D243" s="7">
        <f t="shared" ca="1" si="503"/>
        <v>0</v>
      </c>
      <c r="E243" s="7">
        <f t="shared" ca="1" si="503"/>
        <v>0</v>
      </c>
      <c r="F243" s="7">
        <f t="shared" ca="1" si="503"/>
        <v>0</v>
      </c>
      <c r="G243" s="7">
        <f t="shared" ca="1" si="503"/>
        <v>0</v>
      </c>
      <c r="H243" s="7">
        <f t="shared" ca="1" si="503"/>
        <v>0</v>
      </c>
      <c r="I243" s="7">
        <f t="shared" ca="1" si="503"/>
        <v>0</v>
      </c>
      <c r="J243" s="7">
        <f t="shared" ca="1" si="503"/>
        <v>0</v>
      </c>
      <c r="K243" s="7">
        <f t="shared" ca="1" si="503"/>
        <v>0</v>
      </c>
      <c r="L243" s="7">
        <f t="shared" ca="1" si="503"/>
        <v>0</v>
      </c>
      <c r="M243" s="7">
        <f t="shared" ca="1" si="503"/>
        <v>0</v>
      </c>
      <c r="N243" s="7">
        <f t="shared" ca="1" si="503"/>
        <v>0</v>
      </c>
      <c r="O243" s="7">
        <f t="shared" ca="1" si="503"/>
        <v>0</v>
      </c>
      <c r="P243" s="7">
        <f t="shared" ca="1" si="503"/>
        <v>0</v>
      </c>
      <c r="Q243" s="7">
        <f t="shared" ca="1" si="503"/>
        <v>0</v>
      </c>
      <c r="R243" s="7">
        <f t="shared" ca="1" si="503"/>
        <v>0</v>
      </c>
      <c r="S243" s="7">
        <f t="shared" ca="1" si="503"/>
        <v>0</v>
      </c>
      <c r="T243" s="7">
        <f t="shared" ca="1" si="503"/>
        <v>0</v>
      </c>
      <c r="U243" s="7">
        <f t="shared" ca="1" si="503"/>
        <v>0</v>
      </c>
      <c r="V243" s="7">
        <f t="shared" ca="1" si="503"/>
        <v>0</v>
      </c>
      <c r="W243" s="7">
        <f t="shared" ca="1" si="503"/>
        <v>0</v>
      </c>
      <c r="X243" s="7">
        <f t="shared" ca="1" si="503"/>
        <v>0</v>
      </c>
      <c r="Y243" s="7">
        <f t="shared" ca="1" si="503"/>
        <v>0</v>
      </c>
      <c r="Z243" s="7">
        <f t="shared" ca="1" si="503"/>
        <v>0</v>
      </c>
      <c r="AA243" s="7">
        <f t="shared" ca="1" si="503"/>
        <v>0</v>
      </c>
      <c r="AB243" s="7">
        <f t="shared" ca="1" si="503"/>
        <v>0</v>
      </c>
      <c r="AC243" s="7">
        <f t="shared" ca="1" si="503"/>
        <v>0</v>
      </c>
      <c r="AD243" s="7">
        <f t="shared" ca="1" si="503"/>
        <v>0</v>
      </c>
      <c r="AE243" s="7">
        <f t="shared" ca="1" si="503"/>
        <v>0</v>
      </c>
      <c r="AF243" s="7">
        <f t="shared" ca="1" si="503"/>
        <v>0</v>
      </c>
      <c r="AG243" s="7">
        <f t="shared" ca="1" si="503"/>
        <v>0</v>
      </c>
      <c r="AH243" s="7">
        <f t="shared" ca="1" si="503"/>
        <v>0</v>
      </c>
      <c r="AI243" s="7">
        <f t="shared" ca="1" si="503"/>
        <v>0</v>
      </c>
      <c r="AJ243" s="7">
        <f t="shared" ca="1" si="503"/>
        <v>0</v>
      </c>
      <c r="AK243" s="7">
        <f t="shared" ca="1" si="503"/>
        <v>0</v>
      </c>
      <c r="AL243" s="7">
        <f t="shared" ca="1" si="503"/>
        <v>0</v>
      </c>
      <c r="AM243" s="7">
        <f t="shared" ca="1" si="503"/>
        <v>0</v>
      </c>
    </row>
    <row r="244" spans="1:39" x14ac:dyDescent="0.2">
      <c r="A244" s="3" t="s">
        <v>69</v>
      </c>
      <c r="C244" s="7">
        <f ca="1">C243*Inputs!$B$259</f>
        <v>0</v>
      </c>
      <c r="D244" s="7">
        <f ca="1">D243*Inputs!$B$259</f>
        <v>0</v>
      </c>
      <c r="E244" s="7">
        <f ca="1">E243*Inputs!$B$259</f>
        <v>0</v>
      </c>
      <c r="F244" s="7">
        <f ca="1">F243*Inputs!$B$259</f>
        <v>0</v>
      </c>
      <c r="G244" s="7">
        <f ca="1">G243*Inputs!$B$259</f>
        <v>0</v>
      </c>
      <c r="H244" s="7">
        <f ca="1">H243*Inputs!$B$259</f>
        <v>0</v>
      </c>
      <c r="I244" s="7">
        <f ca="1">I243*Inputs!$B$259</f>
        <v>0</v>
      </c>
      <c r="J244" s="7">
        <f ca="1">J243*Inputs!$B$259</f>
        <v>0</v>
      </c>
      <c r="K244" s="7">
        <f ca="1">K243*Inputs!$B$259</f>
        <v>0</v>
      </c>
      <c r="L244" s="7">
        <f ca="1">L243*Inputs!$B$259</f>
        <v>0</v>
      </c>
      <c r="M244" s="7">
        <f ca="1">M243*Inputs!$B$259</f>
        <v>0</v>
      </c>
      <c r="N244" s="7">
        <f ca="1">N243*Inputs!$B$259</f>
        <v>0</v>
      </c>
      <c r="O244" s="7">
        <f ca="1">O243*Inputs!$B$259</f>
        <v>0</v>
      </c>
      <c r="P244" s="7">
        <f ca="1">P243*Inputs!$B$259</f>
        <v>0</v>
      </c>
      <c r="Q244" s="7">
        <f ca="1">Q243*Inputs!$B$259</f>
        <v>0</v>
      </c>
      <c r="R244" s="7">
        <f ca="1">R243*Inputs!$B$259</f>
        <v>0</v>
      </c>
      <c r="S244" s="7">
        <f ca="1">S243*Inputs!$B$259</f>
        <v>0</v>
      </c>
      <c r="T244" s="7">
        <f ca="1">T243*Inputs!$B$259</f>
        <v>0</v>
      </c>
      <c r="U244" s="7">
        <f ca="1">U243*Inputs!$B$259</f>
        <v>0</v>
      </c>
      <c r="V244" s="7">
        <f ca="1">V243*Inputs!$B$259</f>
        <v>0</v>
      </c>
      <c r="W244" s="7">
        <f ca="1">W243*Inputs!$B$259</f>
        <v>0</v>
      </c>
      <c r="X244" s="7">
        <f ca="1">X243*Inputs!$B$259</f>
        <v>0</v>
      </c>
      <c r="Y244" s="7">
        <f ca="1">Y243*Inputs!$B$259</f>
        <v>0</v>
      </c>
      <c r="Z244" s="7">
        <f ca="1">Z243*Inputs!$B$259</f>
        <v>0</v>
      </c>
      <c r="AA244" s="7">
        <f ca="1">AA243*Inputs!$B$259</f>
        <v>0</v>
      </c>
      <c r="AB244" s="7">
        <f ca="1">AB243*Inputs!$B$259</f>
        <v>0</v>
      </c>
      <c r="AC244" s="7">
        <f ca="1">AC243*Inputs!$B$259</f>
        <v>0</v>
      </c>
      <c r="AD244" s="7">
        <f ca="1">AD243*Inputs!$B$259</f>
        <v>0</v>
      </c>
      <c r="AE244" s="7">
        <f ca="1">AE243*Inputs!$B$259</f>
        <v>0</v>
      </c>
      <c r="AF244" s="7">
        <f ca="1">AF243*Inputs!$B$259</f>
        <v>0</v>
      </c>
      <c r="AG244" s="7">
        <f ca="1">AG243*Inputs!$B$259</f>
        <v>0</v>
      </c>
      <c r="AH244" s="7">
        <f ca="1">AH243*Inputs!$B$259</f>
        <v>0</v>
      </c>
      <c r="AI244" s="7">
        <f ca="1">AI243*Inputs!$B$259</f>
        <v>0</v>
      </c>
      <c r="AJ244" s="7">
        <f ca="1">AJ243*Inputs!$B$259</f>
        <v>0</v>
      </c>
      <c r="AK244" s="7">
        <f ca="1">AK243*Inputs!$B$259</f>
        <v>0</v>
      </c>
      <c r="AL244" s="7">
        <f ca="1">AL243*Inputs!$B$259</f>
        <v>0</v>
      </c>
      <c r="AM244" s="7">
        <f ca="1">AM243*Inputs!$B$259</f>
        <v>0</v>
      </c>
    </row>
    <row r="245" spans="1:39" x14ac:dyDescent="0.2">
      <c r="A245" s="3" t="s">
        <v>150</v>
      </c>
      <c r="C245" s="7">
        <f ca="1">C242+SUM($C244:C244)</f>
        <v>12809.375000000015</v>
      </c>
      <c r="D245" s="7">
        <f ca="1">D242+SUM($C244:D244)</f>
        <v>24162.215625000026</v>
      </c>
      <c r="E245" s="7">
        <f ca="1">E242+SUM($C244:E244)</f>
        <v>41813.279140625047</v>
      </c>
      <c r="F245" s="7">
        <f ca="1">F242+SUM($C244:F244)</f>
        <v>41803.568657505195</v>
      </c>
      <c r="G245" s="7">
        <f ca="1">G242+SUM($C244:G244)</f>
        <v>73524.627177360788</v>
      </c>
      <c r="H245" s="7">
        <f ca="1">H242+SUM($C244:H244)</f>
        <v>111945.76563583669</v>
      </c>
      <c r="I245" s="7">
        <f ca="1">I242+SUM($C244:I244)</f>
        <v>179058.63493181192</v>
      </c>
      <c r="J245" s="7">
        <f ca="1">J242+SUM($C244:J244)</f>
        <v>250182.50067145552</v>
      </c>
      <c r="K245" s="7">
        <f ca="1">K242+SUM($C244:K244)</f>
        <v>308095.70278366783</v>
      </c>
      <c r="L245" s="7">
        <f ca="1">L242+SUM($C244:L244)</f>
        <v>453640.47280939861</v>
      </c>
      <c r="M245" s="7">
        <f ca="1">M242+SUM($C244:M244)</f>
        <v>510683.42164108111</v>
      </c>
      <c r="N245" s="7">
        <f ca="1">N242+SUM($C244:N244)</f>
        <v>621525.85327123245</v>
      </c>
      <c r="O245" s="7">
        <f ca="1">O242+SUM($C244:O244)</f>
        <v>738362.94313265686</v>
      </c>
      <c r="P245" s="7">
        <f ca="1">P242+SUM($C244:P244)</f>
        <v>861449.23653079802</v>
      </c>
      <c r="Q245" s="7">
        <f ca="1">Q242+SUM($C244:Q244)</f>
        <v>991048.98204238666</v>
      </c>
      <c r="R245" s="7">
        <f ca="1">R242+SUM($C244:R244)</f>
        <v>1127436.4792682112</v>
      </c>
      <c r="S245" s="7">
        <f ca="1">S242+SUM($C244:S244)</f>
        <v>1270896.4385593834</v>
      </c>
      <c r="T245" s="7">
        <f ca="1">T242+SUM($C244:T244)</f>
        <v>1312493.9107349962</v>
      </c>
      <c r="U245" s="7">
        <f ca="1">U242+SUM($C244:U244)</f>
        <v>1363530.8459680481</v>
      </c>
      <c r="V245" s="7">
        <f ca="1">V242+SUM($C244:V244)</f>
        <v>1416566.1280568431</v>
      </c>
      <c r="W245" s="7">
        <f ca="1">W242+SUM($C244:W244)</f>
        <v>1471676.7180232967</v>
      </c>
      <c r="X245" s="7">
        <f ca="1">X242+SUM($C244:X244)</f>
        <v>1528942.4442265448</v>
      </c>
      <c r="Y245" s="7">
        <f ca="1">Y242+SUM($C244:Y244)</f>
        <v>1567529.0131961552</v>
      </c>
      <c r="Z245" s="7">
        <f ca="1">Z242+SUM($C244:Z244)</f>
        <v>1607393.5393787338</v>
      </c>
      <c r="AA245" s="7">
        <f ca="1">AA242+SUM($C244:AA244)</f>
        <v>1648585.8680630873</v>
      </c>
      <c r="AB245" s="7">
        <f ca="1">AB242+SUM($C244:AB244)</f>
        <v>1691157.8400002168</v>
      </c>
      <c r="AC245" s="7">
        <f ca="1">AC242+SUM($C244:AC244)</f>
        <v>1735163.3690807538</v>
      </c>
      <c r="AD245" s="7">
        <f ca="1">AD242+SUM($C244:AD244)</f>
        <v>1780658.5229208304</v>
      </c>
      <c r="AE245" s="7">
        <f ca="1">AE242+SUM($C244:AE244)</f>
        <v>1837808.8624938719</v>
      </c>
      <c r="AF245" s="7">
        <f ca="1">AF242+SUM($C244:AF244)</f>
        <v>1897073.1235563438</v>
      </c>
      <c r="AG245" s="7">
        <f ca="1">AG242+SUM($C244:AG244)</f>
        <v>1958533.3002031124</v>
      </c>
      <c r="AH245" s="7">
        <f ca="1">AH242+SUM($C244:AH244)</f>
        <v>2022274.5255423354</v>
      </c>
      <c r="AI245" s="7">
        <f ca="1">AI242+SUM($C244:AI244)</f>
        <v>2088385.1882151016</v>
      </c>
      <c r="AJ245" s="7">
        <f ca="1">AJ242+SUM($C244:AJ244)</f>
        <v>2156957.0531036272</v>
      </c>
      <c r="AK245" s="7">
        <f ca="1">AK242+SUM($C244:AK244)</f>
        <v>2228085.3863743474</v>
      </c>
      <c r="AL245" s="7">
        <f ca="1">AL242+SUM($C244:AL244)</f>
        <v>2301869.0850072289</v>
      </c>
      <c r="AM245" s="7">
        <f ca="1">AM242+SUM($C244:AM244)</f>
        <v>2378410.8109677895</v>
      </c>
    </row>
    <row r="246" spans="1:39" x14ac:dyDescent="0.2">
      <c r="A246" s="3" t="s">
        <v>20</v>
      </c>
      <c r="C246" s="7">
        <f ca="1">IF(C245&lt;0,-C245,0)</f>
        <v>0</v>
      </c>
      <c r="D246" s="7">
        <f ca="1">IF(D245+SUM($C246:C246)&lt;0,-(D245+SUM($C246:C246)),0)</f>
        <v>0</v>
      </c>
      <c r="E246" s="7">
        <f ca="1">IF(E245+SUM($C246:D246)&lt;0,-(E245+SUM($C246:D246)),0)</f>
        <v>0</v>
      </c>
      <c r="F246" s="7">
        <f ca="1">IF(F245+SUM($C246:E246)&lt;0,-(F245+SUM($C246:E246)),0)</f>
        <v>0</v>
      </c>
      <c r="G246" s="7">
        <f ca="1">IF(G245+SUM($C246:F246)&lt;0,-(G245+SUM($C246:F246)),0)</f>
        <v>0</v>
      </c>
      <c r="H246" s="7">
        <f ca="1">IF(H245+SUM($C246:G246)&lt;0,-(H245+SUM($C246:G246)),0)</f>
        <v>0</v>
      </c>
      <c r="I246" s="7">
        <f ca="1">IF(I245+SUM($C246:H246)&lt;0,-(I245+SUM($C246:H246)),0)</f>
        <v>0</v>
      </c>
      <c r="J246" s="7">
        <f ca="1">IF(J245+SUM($C246:I246)&lt;0,-(J245+SUM($C246:I246)),0)</f>
        <v>0</v>
      </c>
      <c r="K246" s="7">
        <f ca="1">IF(K245+SUM($C246:J246)&lt;0,-(K245+SUM($C246:J246)),0)</f>
        <v>0</v>
      </c>
      <c r="L246" s="7">
        <f ca="1">IF(L245+SUM($C246:K246)&lt;0,-(L245+SUM($C246:K246)),0)</f>
        <v>0</v>
      </c>
      <c r="M246" s="7">
        <f ca="1">IF(M245+SUM($C246:L246)&lt;0,-(M245+SUM($C246:L246)),0)</f>
        <v>0</v>
      </c>
      <c r="N246" s="7">
        <f ca="1">IF(N245+SUM($C246:M246)&lt;0,-(N245+SUM($C246:M246)),0)</f>
        <v>0</v>
      </c>
      <c r="O246" s="7">
        <f ca="1">IF(O245+SUM($C246:N246)&lt;0,-(O245+SUM($C246:N246)),0)</f>
        <v>0</v>
      </c>
      <c r="P246" s="7">
        <f ca="1">IF(P245+SUM($C246:O246)&lt;0,-(P245+SUM($C246:O246)),0)</f>
        <v>0</v>
      </c>
      <c r="Q246" s="7">
        <f ca="1">IF(Q245+SUM($C246:P246)&lt;0,-(Q245+SUM($C246:P246)),0)</f>
        <v>0</v>
      </c>
      <c r="R246" s="7">
        <f ca="1">IF(R245+SUM($C246:Q246)&lt;0,-(R245+SUM($C246:Q246)),0)</f>
        <v>0</v>
      </c>
      <c r="S246" s="7">
        <f ca="1">IF(S245+SUM($C246:R246)&lt;0,-(S245+SUM($C246:R246)),0)</f>
        <v>0</v>
      </c>
      <c r="T246" s="7">
        <f ca="1">IF(T245+SUM($C246:S246)&lt;0,-(T245+SUM($C246:S246)),0)</f>
        <v>0</v>
      </c>
      <c r="U246" s="7">
        <f ca="1">IF(U245+SUM($C246:T246)&lt;0,-(U245+SUM($C246:T246)),0)</f>
        <v>0</v>
      </c>
      <c r="V246" s="7">
        <f ca="1">IF(V245+SUM($C246:U246)&lt;0,-(V245+SUM($C246:U246)),0)</f>
        <v>0</v>
      </c>
      <c r="W246" s="7">
        <f ca="1">IF(W245+SUM($C246:V246)&lt;0,-(W245+SUM($C246:V246)),0)</f>
        <v>0</v>
      </c>
      <c r="X246" s="7">
        <f ca="1">IF(X245+SUM($C246:W246)&lt;0,-(X245+SUM($C246:W246)),0)</f>
        <v>0</v>
      </c>
      <c r="Y246" s="7">
        <f ca="1">IF(Y245+SUM($C246:X246)&lt;0,-(Y245+SUM($C246:X246)),0)</f>
        <v>0</v>
      </c>
      <c r="Z246" s="7">
        <f ca="1">IF(Z245+SUM($C246:Y246)&lt;0,-(Z245+SUM($C246:Y246)),0)</f>
        <v>0</v>
      </c>
      <c r="AA246" s="7">
        <f ca="1">IF(AA245+SUM($C246:Z246)&lt;0,-(AA245+SUM($C246:Z246)),0)</f>
        <v>0</v>
      </c>
      <c r="AB246" s="7">
        <f ca="1">IF(AB245+SUM($C246:AA246)&lt;0,-(AB245+SUM($C246:AA246)),0)</f>
        <v>0</v>
      </c>
      <c r="AC246" s="7">
        <f ca="1">IF(AC245+SUM($C246:AB246)&lt;0,-(AC245+SUM($C246:AB246)),0)</f>
        <v>0</v>
      </c>
      <c r="AD246" s="7">
        <f ca="1">IF(AD245+SUM($C246:AC246)&lt;0,-(AD245+SUM($C246:AC246)),0)</f>
        <v>0</v>
      </c>
      <c r="AE246" s="7">
        <f ca="1">IF(AE245+SUM($C246:AD246)&lt;0,-(AE245+SUM($C246:AD246)),0)</f>
        <v>0</v>
      </c>
      <c r="AF246" s="7">
        <f ca="1">IF(AF245+SUM($C246:AE246)&lt;0,-(AF245+SUM($C246:AE246)),0)</f>
        <v>0</v>
      </c>
      <c r="AG246" s="7">
        <f ca="1">IF(AG245+SUM($C246:AF246)&lt;0,-(AG245+SUM($C246:AF246)),0)</f>
        <v>0</v>
      </c>
      <c r="AH246" s="7">
        <f ca="1">IF(AH245+SUM($C246:AG246)&lt;0,-(AH245+SUM($C246:AG246)),0)</f>
        <v>0</v>
      </c>
      <c r="AI246" s="7">
        <f ca="1">IF(AI245+SUM($C246:AH246)&lt;0,-(AI245+SUM($C246:AH246)),0)</f>
        <v>0</v>
      </c>
      <c r="AJ246" s="7">
        <f ca="1">IF(AJ245+SUM($C246:AI246)&lt;0,-(AJ245+SUM($C246:AI246)),0)</f>
        <v>0</v>
      </c>
      <c r="AK246" s="7">
        <f ca="1">IF(AK245+SUM($C246:AJ246)&lt;0,-(AK245+SUM($C246:AJ246)),0)</f>
        <v>0</v>
      </c>
      <c r="AL246" s="7">
        <f ca="1">IF(AL245+SUM($C246:AK246)&lt;0,-(AL245+SUM($C246:AK246)),0)</f>
        <v>0</v>
      </c>
      <c r="AM246" s="7">
        <f ca="1">IF(AM245+SUM($C246:AL246)&lt;0,-(AM245+SUM($C246:AL246)),0)</f>
        <v>0</v>
      </c>
    </row>
    <row r="247" spans="1:39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x14ac:dyDescent="0.2">
      <c r="A248" s="24" t="str">
        <f>IF(Inputs!$B$279=6,IFERROR(_xlfn.XLOOKUP($B248,Inputs!$B$280:$B$289,Inputs!$A$280:$A$289,,0,1),""),IFERROR(_xlfn.XLOOKUP($B248,Inputs!$C$280:$C$289,Inputs!$A$280:$A$289,,0,1),""))</f>
        <v>Qormi</v>
      </c>
      <c r="B248" s="26">
        <v>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">
      <c r="A249" s="3" t="s">
        <v>22</v>
      </c>
      <c r="C249" s="7">
        <f ca="1">IFERROR(VLOOKUP($A248,$A$65:$H$94,C$1+2,FALSE),0)</f>
        <v>225486.40785841495</v>
      </c>
      <c r="D249" s="7">
        <f ca="1">C252</f>
        <v>225486.40785841495</v>
      </c>
      <c r="E249" s="7">
        <f t="shared" ref="E249" ca="1" si="504">D252</f>
        <v>232251.00009416739</v>
      </c>
      <c r="F249" s="7">
        <f t="shared" ref="F249" ca="1" si="505">E252</f>
        <v>239218.53009699241</v>
      </c>
      <c r="G249" s="7">
        <f t="shared" ref="G249" ca="1" si="506">F252</f>
        <v>246395.08599990219</v>
      </c>
      <c r="H249" s="7">
        <f t="shared" ref="H249" ca="1" si="507">G252</f>
        <v>253786.93857989926</v>
      </c>
      <c r="I249" s="7">
        <f t="shared" ref="I249" ca="1" si="508">H252</f>
        <v>261400.54673729624</v>
      </c>
      <c r="J249" s="7">
        <f t="shared" ref="J249" ca="1" si="509">I252</f>
        <v>269242.56313941511</v>
      </c>
      <c r="K249" s="7">
        <f t="shared" ref="K249" ca="1" si="510">J252</f>
        <v>277319.84003359755</v>
      </c>
      <c r="L249" s="7">
        <f t="shared" ref="L249" ca="1" si="511">K252</f>
        <v>285639.43523460545</v>
      </c>
      <c r="M249" s="7">
        <f t="shared" ref="M249" ca="1" si="512">L252</f>
        <v>294208.61829164362</v>
      </c>
      <c r="N249" s="7">
        <f t="shared" ref="N249" ca="1" si="513">M252</f>
        <v>303034.87684039294</v>
      </c>
      <c r="O249" s="7">
        <f t="shared" ref="O249" ca="1" si="514">N252</f>
        <v>312125.92314560473</v>
      </c>
      <c r="P249" s="7">
        <f t="shared" ref="P249" ca="1" si="515">O252</f>
        <v>321489.70083997288</v>
      </c>
      <c r="Q249" s="7">
        <f t="shared" ref="Q249" ca="1" si="516">P252</f>
        <v>331134.39186517207</v>
      </c>
      <c r="R249" s="7">
        <f t="shared" ref="R249" ca="1" si="517">Q252</f>
        <v>341068.42362112727</v>
      </c>
      <c r="S249" s="7">
        <f t="shared" ref="S249" ca="1" si="518">R252</f>
        <v>351300.47632976109</v>
      </c>
      <c r="T249" s="7">
        <f t="shared" ref="T249" ca="1" si="519">S252</f>
        <v>361839.49061965395</v>
      </c>
      <c r="U249" s="7">
        <f t="shared" ref="U249" ca="1" si="520">T252</f>
        <v>372694.6753382436</v>
      </c>
      <c r="V249" s="7">
        <f t="shared" ref="V249" ca="1" si="521">U252</f>
        <v>383875.51559839089</v>
      </c>
      <c r="W249" s="7">
        <f t="shared" ref="W249" ca="1" si="522">V252</f>
        <v>395391.78106634261</v>
      </c>
      <c r="X249" s="7">
        <f t="shared" ref="X249" ca="1" si="523">W252</f>
        <v>407253.53449833288</v>
      </c>
      <c r="Y249" s="7">
        <f t="shared" ref="Y249" ca="1" si="524">X252</f>
        <v>419471.14053328289</v>
      </c>
      <c r="Z249" s="7">
        <f t="shared" ref="Z249" ca="1" si="525">Y252</f>
        <v>432055.27474928135</v>
      </c>
      <c r="AA249" s="7">
        <f t="shared" ref="AA249" ca="1" si="526">Z252</f>
        <v>445016.93299175979</v>
      </c>
      <c r="AB249" s="7">
        <f t="shared" ref="AB249" ca="1" si="527">AA252</f>
        <v>458367.4409815126</v>
      </c>
      <c r="AC249" s="7">
        <f t="shared" ref="AC249" ca="1" si="528">AB252</f>
        <v>472118.46421095799</v>
      </c>
      <c r="AD249" s="7">
        <f t="shared" ref="AD249" ca="1" si="529">AC252</f>
        <v>486282.01813728671</v>
      </c>
      <c r="AE249" s="7">
        <f t="shared" ref="AE249" ca="1" si="530">AD252</f>
        <v>500870.47868140531</v>
      </c>
      <c r="AF249" s="7">
        <f t="shared" ref="AF249" ca="1" si="531">AE252</f>
        <v>515896.59304184746</v>
      </c>
      <c r="AG249" s="7">
        <f t="shared" ref="AG249" ca="1" si="532">AF252</f>
        <v>531373.49083310284</v>
      </c>
      <c r="AH249" s="7">
        <f t="shared" ref="AH249" ca="1" si="533">AG252</f>
        <v>547314.69555809593</v>
      </c>
      <c r="AI249" s="7">
        <f t="shared" ref="AI249" ca="1" si="534">AH252</f>
        <v>563734.1364248388</v>
      </c>
      <c r="AJ249" s="7">
        <f t="shared" ref="AJ249" ca="1" si="535">AI252</f>
        <v>580646.16051758395</v>
      </c>
      <c r="AK249" s="7">
        <f t="shared" ref="AK249" ca="1" si="536">AJ252</f>
        <v>598065.54533311143</v>
      </c>
      <c r="AL249" s="7">
        <f t="shared" ref="AL249" ca="1" si="537">AK252</f>
        <v>616007.51169310475</v>
      </c>
      <c r="AM249" s="7">
        <f t="shared" ref="AM249" ca="1" si="538">AL252</f>
        <v>634487.73704389785</v>
      </c>
    </row>
    <row r="250" spans="1:39" x14ac:dyDescent="0.2">
      <c r="A250" s="3" t="s">
        <v>23</v>
      </c>
      <c r="C250" s="7">
        <f ca="1">-IF(D246&gt;0,C249,0)</f>
        <v>0</v>
      </c>
      <c r="D250" s="7">
        <f ca="1">-IF(E246&gt;0,D249,0)</f>
        <v>0</v>
      </c>
      <c r="E250" s="7">
        <f ca="1">-IF(F246&gt;0,E249,0)</f>
        <v>0</v>
      </c>
      <c r="F250" s="7">
        <f ca="1">-IF(G246&gt;0,F249,0)</f>
        <v>0</v>
      </c>
      <c r="G250" s="7">
        <f t="shared" ref="G250" ca="1" si="539">-IF(H246&gt;0,G249,0)</f>
        <v>0</v>
      </c>
      <c r="H250" s="7">
        <f t="shared" ref="H250" ca="1" si="540">-IF(I246&gt;0,H249,0)</f>
        <v>0</v>
      </c>
      <c r="I250" s="7">
        <f t="shared" ref="I250" ca="1" si="541">-IF(J246&gt;0,I249,0)</f>
        <v>0</v>
      </c>
      <c r="J250" s="7">
        <f t="shared" ref="J250" ca="1" si="542">-IF(K246&gt;0,J249,0)</f>
        <v>0</v>
      </c>
      <c r="K250" s="7">
        <f t="shared" ref="K250" ca="1" si="543">-IF(L246&gt;0,K249,0)</f>
        <v>0</v>
      </c>
      <c r="L250" s="7">
        <f t="shared" ref="L250" ca="1" si="544">-IF(M246&gt;0,L249,0)</f>
        <v>0</v>
      </c>
      <c r="M250" s="7">
        <f t="shared" ref="M250" ca="1" si="545">-IF(N246&gt;0,M249,0)</f>
        <v>0</v>
      </c>
      <c r="N250" s="7">
        <f t="shared" ref="N250" ca="1" si="546">-IF(O246&gt;0,N249,0)</f>
        <v>0</v>
      </c>
      <c r="O250" s="7">
        <f t="shared" ref="O250" ca="1" si="547">-IF(P246&gt;0,O249,0)</f>
        <v>0</v>
      </c>
      <c r="P250" s="7">
        <f t="shared" ref="P250" ca="1" si="548">-IF(Q246&gt;0,P249,0)</f>
        <v>0</v>
      </c>
      <c r="Q250" s="7">
        <f t="shared" ref="Q250" ca="1" si="549">-IF(R246&gt;0,Q249,0)</f>
        <v>0</v>
      </c>
      <c r="R250" s="7">
        <f t="shared" ref="R250" ca="1" si="550">-IF(S246&gt;0,R249,0)</f>
        <v>0</v>
      </c>
      <c r="S250" s="7">
        <f t="shared" ref="S250" ca="1" si="551">-IF(T246&gt;0,S249,0)</f>
        <v>0</v>
      </c>
      <c r="T250" s="7">
        <f t="shared" ref="T250" ca="1" si="552">-IF(U246&gt;0,T249,0)</f>
        <v>0</v>
      </c>
      <c r="U250" s="7">
        <f t="shared" ref="U250" ca="1" si="553">-IF(V246&gt;0,U249,0)</f>
        <v>0</v>
      </c>
      <c r="V250" s="7">
        <f t="shared" ref="V250" ca="1" si="554">-IF(W246&gt;0,V249,0)</f>
        <v>0</v>
      </c>
      <c r="W250" s="7">
        <f t="shared" ref="W250" ca="1" si="555">-IF(X246&gt;0,W249,0)</f>
        <v>0</v>
      </c>
      <c r="X250" s="7">
        <f t="shared" ref="X250" ca="1" si="556">-IF(Y246&gt;0,X249,0)</f>
        <v>0</v>
      </c>
      <c r="Y250" s="7">
        <f t="shared" ref="Y250" ca="1" si="557">-IF(Z246&gt;0,Y249,0)</f>
        <v>0</v>
      </c>
      <c r="Z250" s="7">
        <f t="shared" ref="Z250" ca="1" si="558">-IF(AA246&gt;0,Z249,0)</f>
        <v>0</v>
      </c>
      <c r="AA250" s="7">
        <f t="shared" ref="AA250" ca="1" si="559">-IF(AB246&gt;0,AA249,0)</f>
        <v>0</v>
      </c>
      <c r="AB250" s="7">
        <f t="shared" ref="AB250" ca="1" si="560">-IF(AC246&gt;0,AB249,0)</f>
        <v>0</v>
      </c>
      <c r="AC250" s="7">
        <f t="shared" ref="AC250" ca="1" si="561">-IF(AD246&gt;0,AC249,0)</f>
        <v>0</v>
      </c>
      <c r="AD250" s="7">
        <f t="shared" ref="AD250" ca="1" si="562">-IF(AE246&gt;0,AD249,0)</f>
        <v>0</v>
      </c>
      <c r="AE250" s="7">
        <f t="shared" ref="AE250" ca="1" si="563">-IF(AF246&gt;0,AE249,0)</f>
        <v>0</v>
      </c>
      <c r="AF250" s="7">
        <f t="shared" ref="AF250" ca="1" si="564">-IF(AG246&gt;0,AF249,0)</f>
        <v>0</v>
      </c>
      <c r="AG250" s="7">
        <f t="shared" ref="AG250" ca="1" si="565">-IF(AH246&gt;0,AG249,0)</f>
        <v>0</v>
      </c>
      <c r="AH250" s="7">
        <f t="shared" ref="AH250" ca="1" si="566">-IF(AI246&gt;0,AH249,0)</f>
        <v>0</v>
      </c>
      <c r="AI250" s="7">
        <f t="shared" ref="AI250" ca="1" si="567">-IF(AJ246&gt;0,AI249,0)</f>
        <v>0</v>
      </c>
      <c r="AJ250" s="7">
        <f t="shared" ref="AJ250" ca="1" si="568">-IF(AK246&gt;0,AJ249,0)</f>
        <v>0</v>
      </c>
      <c r="AK250" s="7">
        <f t="shared" ref="AK250" ca="1" si="569">-IF(AL246&gt;0,AK249,0)</f>
        <v>0</v>
      </c>
      <c r="AL250" s="7">
        <f t="shared" ref="AL250" ca="1" si="570">-IF(AM246&gt;0,AL249,0)</f>
        <v>0</v>
      </c>
      <c r="AM250" s="7">
        <f t="shared" ref="AM250" si="571">-IF(AN246&gt;0,AM249,0)</f>
        <v>0</v>
      </c>
    </row>
    <row r="251" spans="1:39" x14ac:dyDescent="0.2">
      <c r="A251" s="3" t="s">
        <v>24</v>
      </c>
      <c r="C251" s="7">
        <v>0</v>
      </c>
      <c r="D251" s="7">
        <f t="shared" ref="D251:AM251" ca="1" si="572">SUM(D249:D250)*VLOOKUP($A248,AssVar,2,FALSE)</f>
        <v>6764.5922357524487</v>
      </c>
      <c r="E251" s="7">
        <f t="shared" ca="1" si="572"/>
        <v>6967.5300028250213</v>
      </c>
      <c r="F251" s="7">
        <f t="shared" ca="1" si="572"/>
        <v>7176.5559029097722</v>
      </c>
      <c r="G251" s="7">
        <f t="shared" ca="1" si="572"/>
        <v>7391.8525799970657</v>
      </c>
      <c r="H251" s="7">
        <f t="shared" ca="1" si="572"/>
        <v>7613.6081573969777</v>
      </c>
      <c r="I251" s="7">
        <f t="shared" ca="1" si="572"/>
        <v>7842.0164021188866</v>
      </c>
      <c r="J251" s="7">
        <f t="shared" ca="1" si="572"/>
        <v>8077.2768941824534</v>
      </c>
      <c r="K251" s="7">
        <f t="shared" ca="1" si="572"/>
        <v>8319.5952010079254</v>
      </c>
      <c r="L251" s="7">
        <f t="shared" ca="1" si="572"/>
        <v>8569.1830570381626</v>
      </c>
      <c r="M251" s="7">
        <f t="shared" ca="1" si="572"/>
        <v>8826.2585487493088</v>
      </c>
      <c r="N251" s="7">
        <f t="shared" ca="1" si="572"/>
        <v>9091.0463052117884</v>
      </c>
      <c r="O251" s="7">
        <f t="shared" ca="1" si="572"/>
        <v>9363.777694368142</v>
      </c>
      <c r="P251" s="7">
        <f t="shared" ca="1" si="572"/>
        <v>9644.6910251991867</v>
      </c>
      <c r="Q251" s="7">
        <f t="shared" ca="1" si="572"/>
        <v>9934.0317559551622</v>
      </c>
      <c r="R251" s="7">
        <f t="shared" ca="1" si="572"/>
        <v>10232.052708633817</v>
      </c>
      <c r="S251" s="7">
        <f t="shared" ca="1" si="572"/>
        <v>10539.014289892832</v>
      </c>
      <c r="T251" s="7">
        <f t="shared" ca="1" si="572"/>
        <v>10855.184718589619</v>
      </c>
      <c r="U251" s="7">
        <f t="shared" ca="1" si="572"/>
        <v>11180.840260147308</v>
      </c>
      <c r="V251" s="7">
        <f t="shared" ca="1" si="572"/>
        <v>11516.265467951725</v>
      </c>
      <c r="W251" s="7">
        <f t="shared" ca="1" si="572"/>
        <v>11861.753431990277</v>
      </c>
      <c r="X251" s="7">
        <f t="shared" ca="1" si="572"/>
        <v>12217.606034949986</v>
      </c>
      <c r="Y251" s="7">
        <f t="shared" ca="1" si="572"/>
        <v>12584.134215998487</v>
      </c>
      <c r="Z251" s="7">
        <f t="shared" ca="1" si="572"/>
        <v>12961.658242478439</v>
      </c>
      <c r="AA251" s="7">
        <f t="shared" ca="1" si="572"/>
        <v>13350.507989752794</v>
      </c>
      <c r="AB251" s="7">
        <f t="shared" ca="1" si="572"/>
        <v>13751.023229445378</v>
      </c>
      <c r="AC251" s="7">
        <f t="shared" ca="1" si="572"/>
        <v>14163.553926328739</v>
      </c>
      <c r="AD251" s="7">
        <f t="shared" ca="1" si="572"/>
        <v>14588.460544118601</v>
      </c>
      <c r="AE251" s="7">
        <f t="shared" ca="1" si="572"/>
        <v>15026.11436044216</v>
      </c>
      <c r="AF251" s="7">
        <f t="shared" ca="1" si="572"/>
        <v>15476.897791255424</v>
      </c>
      <c r="AG251" s="7">
        <f t="shared" ca="1" si="572"/>
        <v>15941.204724993084</v>
      </c>
      <c r="AH251" s="7">
        <f t="shared" ca="1" si="572"/>
        <v>16419.440866742876</v>
      </c>
      <c r="AI251" s="7">
        <f t="shared" ca="1" si="572"/>
        <v>16912.024092745163</v>
      </c>
      <c r="AJ251" s="7">
        <f t="shared" ca="1" si="572"/>
        <v>17419.384815527519</v>
      </c>
      <c r="AK251" s="7">
        <f t="shared" ca="1" si="572"/>
        <v>17941.966359993341</v>
      </c>
      <c r="AL251" s="7">
        <f t="shared" ca="1" si="572"/>
        <v>18480.225350793142</v>
      </c>
      <c r="AM251" s="7">
        <f t="shared" ca="1" si="572"/>
        <v>19034.632111316936</v>
      </c>
    </row>
    <row r="252" spans="1:39" x14ac:dyDescent="0.2">
      <c r="A252" s="3" t="s">
        <v>25</v>
      </c>
      <c r="C252" s="7">
        <f ca="1">SUM(C249:C251)</f>
        <v>225486.40785841495</v>
      </c>
      <c r="D252" s="7">
        <f t="shared" ref="D252:AM252" ca="1" si="573">SUM(D249:D251)</f>
        <v>232251.00009416739</v>
      </c>
      <c r="E252" s="7">
        <f t="shared" ca="1" si="573"/>
        <v>239218.53009699241</v>
      </c>
      <c r="F252" s="7">
        <f t="shared" ca="1" si="573"/>
        <v>246395.08599990219</v>
      </c>
      <c r="G252" s="7">
        <f t="shared" ca="1" si="573"/>
        <v>253786.93857989926</v>
      </c>
      <c r="H252" s="7">
        <f t="shared" ca="1" si="573"/>
        <v>261400.54673729624</v>
      </c>
      <c r="I252" s="7">
        <f t="shared" ca="1" si="573"/>
        <v>269242.56313941511</v>
      </c>
      <c r="J252" s="7">
        <f t="shared" ca="1" si="573"/>
        <v>277319.84003359755</v>
      </c>
      <c r="K252" s="7">
        <f t="shared" ca="1" si="573"/>
        <v>285639.43523460545</v>
      </c>
      <c r="L252" s="7">
        <f t="shared" ca="1" si="573"/>
        <v>294208.61829164362</v>
      </c>
      <c r="M252" s="7">
        <f t="shared" ca="1" si="573"/>
        <v>303034.87684039294</v>
      </c>
      <c r="N252" s="7">
        <f t="shared" ca="1" si="573"/>
        <v>312125.92314560473</v>
      </c>
      <c r="O252" s="7">
        <f t="shared" ca="1" si="573"/>
        <v>321489.70083997288</v>
      </c>
      <c r="P252" s="7">
        <f t="shared" ca="1" si="573"/>
        <v>331134.39186517207</v>
      </c>
      <c r="Q252" s="7">
        <f t="shared" ca="1" si="573"/>
        <v>341068.42362112727</v>
      </c>
      <c r="R252" s="7">
        <f t="shared" ca="1" si="573"/>
        <v>351300.47632976109</v>
      </c>
      <c r="S252" s="7">
        <f t="shared" ca="1" si="573"/>
        <v>361839.49061965395</v>
      </c>
      <c r="T252" s="7">
        <f t="shared" ca="1" si="573"/>
        <v>372694.6753382436</v>
      </c>
      <c r="U252" s="7">
        <f t="shared" ca="1" si="573"/>
        <v>383875.51559839089</v>
      </c>
      <c r="V252" s="7">
        <f t="shared" ca="1" si="573"/>
        <v>395391.78106634261</v>
      </c>
      <c r="W252" s="7">
        <f t="shared" ca="1" si="573"/>
        <v>407253.53449833288</v>
      </c>
      <c r="X252" s="7">
        <f t="shared" ca="1" si="573"/>
        <v>419471.14053328289</v>
      </c>
      <c r="Y252" s="7">
        <f t="shared" ca="1" si="573"/>
        <v>432055.27474928135</v>
      </c>
      <c r="Z252" s="7">
        <f t="shared" ca="1" si="573"/>
        <v>445016.93299175979</v>
      </c>
      <c r="AA252" s="7">
        <f t="shared" ca="1" si="573"/>
        <v>458367.4409815126</v>
      </c>
      <c r="AB252" s="7">
        <f t="shared" ca="1" si="573"/>
        <v>472118.46421095799</v>
      </c>
      <c r="AC252" s="7">
        <f t="shared" ca="1" si="573"/>
        <v>486282.01813728671</v>
      </c>
      <c r="AD252" s="7">
        <f t="shared" ca="1" si="573"/>
        <v>500870.47868140531</v>
      </c>
      <c r="AE252" s="7">
        <f t="shared" ca="1" si="573"/>
        <v>515896.59304184746</v>
      </c>
      <c r="AF252" s="7">
        <f t="shared" ca="1" si="573"/>
        <v>531373.49083310284</v>
      </c>
      <c r="AG252" s="7">
        <f t="shared" ca="1" si="573"/>
        <v>547314.69555809593</v>
      </c>
      <c r="AH252" s="7">
        <f t="shared" ca="1" si="573"/>
        <v>563734.1364248388</v>
      </c>
      <c r="AI252" s="7">
        <f t="shared" ca="1" si="573"/>
        <v>580646.16051758395</v>
      </c>
      <c r="AJ252" s="7">
        <f t="shared" ca="1" si="573"/>
        <v>598065.54533311143</v>
      </c>
      <c r="AK252" s="7">
        <f t="shared" ca="1" si="573"/>
        <v>616007.51169310475</v>
      </c>
      <c r="AL252" s="7">
        <f t="shared" ca="1" si="573"/>
        <v>634487.73704389785</v>
      </c>
      <c r="AM252" s="7">
        <f t="shared" ca="1" si="573"/>
        <v>653522.36915521475</v>
      </c>
    </row>
    <row r="253" spans="1:39" x14ac:dyDescent="0.2">
      <c r="A253" s="3" t="s">
        <v>26</v>
      </c>
      <c r="C253" s="7">
        <f t="shared" ref="C253:AM253" ca="1" si="574">C250*VLOOKUP($A248,AssVar,3,FALSE)</f>
        <v>0</v>
      </c>
      <c r="D253" s="7">
        <f t="shared" ca="1" si="574"/>
        <v>0</v>
      </c>
      <c r="E253" s="7">
        <f t="shared" ca="1" si="574"/>
        <v>0</v>
      </c>
      <c r="F253" s="7">
        <f t="shared" ca="1" si="574"/>
        <v>0</v>
      </c>
      <c r="G253" s="7">
        <f t="shared" ca="1" si="574"/>
        <v>0</v>
      </c>
      <c r="H253" s="7">
        <f t="shared" ca="1" si="574"/>
        <v>0</v>
      </c>
      <c r="I253" s="7">
        <f t="shared" ca="1" si="574"/>
        <v>0</v>
      </c>
      <c r="J253" s="7">
        <f t="shared" ca="1" si="574"/>
        <v>0</v>
      </c>
      <c r="K253" s="7">
        <f t="shared" ca="1" si="574"/>
        <v>0</v>
      </c>
      <c r="L253" s="7">
        <f t="shared" ca="1" si="574"/>
        <v>0</v>
      </c>
      <c r="M253" s="7">
        <f t="shared" ca="1" si="574"/>
        <v>0</v>
      </c>
      <c r="N253" s="7">
        <f t="shared" ca="1" si="574"/>
        <v>0</v>
      </c>
      <c r="O253" s="7">
        <f t="shared" ca="1" si="574"/>
        <v>0</v>
      </c>
      <c r="P253" s="7">
        <f t="shared" ca="1" si="574"/>
        <v>0</v>
      </c>
      <c r="Q253" s="7">
        <f t="shared" ca="1" si="574"/>
        <v>0</v>
      </c>
      <c r="R253" s="7">
        <f t="shared" ca="1" si="574"/>
        <v>0</v>
      </c>
      <c r="S253" s="7">
        <f t="shared" ca="1" si="574"/>
        <v>0</v>
      </c>
      <c r="T253" s="7">
        <f t="shared" ca="1" si="574"/>
        <v>0</v>
      </c>
      <c r="U253" s="7">
        <f t="shared" ca="1" si="574"/>
        <v>0</v>
      </c>
      <c r="V253" s="7">
        <f t="shared" ca="1" si="574"/>
        <v>0</v>
      </c>
      <c r="W253" s="7">
        <f t="shared" ca="1" si="574"/>
        <v>0</v>
      </c>
      <c r="X253" s="7">
        <f t="shared" ca="1" si="574"/>
        <v>0</v>
      </c>
      <c r="Y253" s="7">
        <f t="shared" ca="1" si="574"/>
        <v>0</v>
      </c>
      <c r="Z253" s="7">
        <f t="shared" ca="1" si="574"/>
        <v>0</v>
      </c>
      <c r="AA253" s="7">
        <f t="shared" ca="1" si="574"/>
        <v>0</v>
      </c>
      <c r="AB253" s="7">
        <f t="shared" ca="1" si="574"/>
        <v>0</v>
      </c>
      <c r="AC253" s="7">
        <f t="shared" ca="1" si="574"/>
        <v>0</v>
      </c>
      <c r="AD253" s="7">
        <f t="shared" ca="1" si="574"/>
        <v>0</v>
      </c>
      <c r="AE253" s="7">
        <f t="shared" ca="1" si="574"/>
        <v>0</v>
      </c>
      <c r="AF253" s="7">
        <f t="shared" ca="1" si="574"/>
        <v>0</v>
      </c>
      <c r="AG253" s="7">
        <f t="shared" ca="1" si="574"/>
        <v>0</v>
      </c>
      <c r="AH253" s="7">
        <f t="shared" ca="1" si="574"/>
        <v>0</v>
      </c>
      <c r="AI253" s="7">
        <f t="shared" ca="1" si="574"/>
        <v>0</v>
      </c>
      <c r="AJ253" s="7">
        <f t="shared" ca="1" si="574"/>
        <v>0</v>
      </c>
      <c r="AK253" s="7">
        <f t="shared" ca="1" si="574"/>
        <v>0</v>
      </c>
      <c r="AL253" s="7">
        <f t="shared" ca="1" si="574"/>
        <v>0</v>
      </c>
      <c r="AM253" s="7">
        <f t="shared" si="574"/>
        <v>0</v>
      </c>
    </row>
    <row r="254" spans="1:39" x14ac:dyDescent="0.2">
      <c r="A254" s="3" t="s">
        <v>31</v>
      </c>
      <c r="C254" s="7">
        <f t="shared" ref="C254:AM254" ca="1" si="575">IFERROR(-IF(C249=0,VLOOKUP($A248,$8:$12,C$1+2,FALSE),0),0)</f>
        <v>0</v>
      </c>
      <c r="D254" s="7">
        <f t="shared" ca="1" si="575"/>
        <v>0</v>
      </c>
      <c r="E254" s="7">
        <f t="shared" ca="1" si="575"/>
        <v>0</v>
      </c>
      <c r="F254" s="7">
        <f t="shared" ca="1" si="575"/>
        <v>0</v>
      </c>
      <c r="G254" s="7">
        <f t="shared" ca="1" si="575"/>
        <v>0</v>
      </c>
      <c r="H254" s="7">
        <f t="shared" ca="1" si="575"/>
        <v>0</v>
      </c>
      <c r="I254" s="7">
        <f t="shared" ca="1" si="575"/>
        <v>0</v>
      </c>
      <c r="J254" s="7">
        <f t="shared" ca="1" si="575"/>
        <v>0</v>
      </c>
      <c r="K254" s="7">
        <f t="shared" ca="1" si="575"/>
        <v>0</v>
      </c>
      <c r="L254" s="7">
        <f t="shared" ca="1" si="575"/>
        <v>0</v>
      </c>
      <c r="M254" s="7">
        <f t="shared" ca="1" si="575"/>
        <v>0</v>
      </c>
      <c r="N254" s="7">
        <f t="shared" ca="1" si="575"/>
        <v>0</v>
      </c>
      <c r="O254" s="7">
        <f t="shared" ca="1" si="575"/>
        <v>0</v>
      </c>
      <c r="P254" s="7">
        <f t="shared" ca="1" si="575"/>
        <v>0</v>
      </c>
      <c r="Q254" s="7">
        <f t="shared" ca="1" si="575"/>
        <v>0</v>
      </c>
      <c r="R254" s="7">
        <f t="shared" ca="1" si="575"/>
        <v>0</v>
      </c>
      <c r="S254" s="7">
        <f t="shared" ca="1" si="575"/>
        <v>0</v>
      </c>
      <c r="T254" s="7">
        <f t="shared" ca="1" si="575"/>
        <v>0</v>
      </c>
      <c r="U254" s="7">
        <f t="shared" ca="1" si="575"/>
        <v>0</v>
      </c>
      <c r="V254" s="7">
        <f t="shared" ca="1" si="575"/>
        <v>0</v>
      </c>
      <c r="W254" s="7">
        <f t="shared" ca="1" si="575"/>
        <v>0</v>
      </c>
      <c r="X254" s="7">
        <f t="shared" ca="1" si="575"/>
        <v>0</v>
      </c>
      <c r="Y254" s="7">
        <f t="shared" ca="1" si="575"/>
        <v>0</v>
      </c>
      <c r="Z254" s="7">
        <f t="shared" ca="1" si="575"/>
        <v>0</v>
      </c>
      <c r="AA254" s="7">
        <f t="shared" ca="1" si="575"/>
        <v>0</v>
      </c>
      <c r="AB254" s="7">
        <f t="shared" ca="1" si="575"/>
        <v>0</v>
      </c>
      <c r="AC254" s="7">
        <f t="shared" ca="1" si="575"/>
        <v>0</v>
      </c>
      <c r="AD254" s="7">
        <f t="shared" ca="1" si="575"/>
        <v>0</v>
      </c>
      <c r="AE254" s="7">
        <f t="shared" ca="1" si="575"/>
        <v>0</v>
      </c>
      <c r="AF254" s="7">
        <f t="shared" ca="1" si="575"/>
        <v>0</v>
      </c>
      <c r="AG254" s="7">
        <f t="shared" ca="1" si="575"/>
        <v>0</v>
      </c>
      <c r="AH254" s="7">
        <f t="shared" ca="1" si="575"/>
        <v>0</v>
      </c>
      <c r="AI254" s="7">
        <f t="shared" ca="1" si="575"/>
        <v>0</v>
      </c>
      <c r="AJ254" s="7">
        <f t="shared" ca="1" si="575"/>
        <v>0</v>
      </c>
      <c r="AK254" s="7">
        <f t="shared" ca="1" si="575"/>
        <v>0</v>
      </c>
      <c r="AL254" s="7">
        <f t="shared" ca="1" si="575"/>
        <v>0</v>
      </c>
      <c r="AM254" s="7">
        <f t="shared" ca="1" si="575"/>
        <v>0</v>
      </c>
    </row>
    <row r="255" spans="1:39" x14ac:dyDescent="0.2">
      <c r="A255" s="3" t="s">
        <v>50</v>
      </c>
      <c r="C255" s="7">
        <f t="shared" ref="C255:AM255" ca="1" si="576">IFERROR(IF(C249=0,VLOOKUP($A248,$45:$49,C$1+2,FALSE),0),0)</f>
        <v>0</v>
      </c>
      <c r="D255" s="7">
        <f t="shared" ca="1" si="576"/>
        <v>0</v>
      </c>
      <c r="E255" s="7">
        <f t="shared" ca="1" si="576"/>
        <v>0</v>
      </c>
      <c r="F255" s="7">
        <f t="shared" ca="1" si="576"/>
        <v>0</v>
      </c>
      <c r="G255" s="7">
        <f t="shared" ca="1" si="576"/>
        <v>0</v>
      </c>
      <c r="H255" s="7">
        <f t="shared" ca="1" si="576"/>
        <v>0</v>
      </c>
      <c r="I255" s="7">
        <f t="shared" ca="1" si="576"/>
        <v>0</v>
      </c>
      <c r="J255" s="7">
        <f t="shared" ca="1" si="576"/>
        <v>0</v>
      </c>
      <c r="K255" s="7">
        <f t="shared" ca="1" si="576"/>
        <v>0</v>
      </c>
      <c r="L255" s="7">
        <f t="shared" ca="1" si="576"/>
        <v>0</v>
      </c>
      <c r="M255" s="7">
        <f t="shared" ca="1" si="576"/>
        <v>0</v>
      </c>
      <c r="N255" s="7">
        <f t="shared" ca="1" si="576"/>
        <v>0</v>
      </c>
      <c r="O255" s="7">
        <f t="shared" ca="1" si="576"/>
        <v>0</v>
      </c>
      <c r="P255" s="7">
        <f t="shared" ca="1" si="576"/>
        <v>0</v>
      </c>
      <c r="Q255" s="7">
        <f t="shared" ca="1" si="576"/>
        <v>0</v>
      </c>
      <c r="R255" s="7">
        <f t="shared" ca="1" si="576"/>
        <v>0</v>
      </c>
      <c r="S255" s="7">
        <f t="shared" ca="1" si="576"/>
        <v>0</v>
      </c>
      <c r="T255" s="7">
        <f t="shared" ca="1" si="576"/>
        <v>0</v>
      </c>
      <c r="U255" s="7">
        <f t="shared" ca="1" si="576"/>
        <v>0</v>
      </c>
      <c r="V255" s="7">
        <f t="shared" ca="1" si="576"/>
        <v>0</v>
      </c>
      <c r="W255" s="7">
        <f t="shared" ca="1" si="576"/>
        <v>0</v>
      </c>
      <c r="X255" s="7">
        <f t="shared" ca="1" si="576"/>
        <v>0</v>
      </c>
      <c r="Y255" s="7">
        <f t="shared" ca="1" si="576"/>
        <v>0</v>
      </c>
      <c r="Z255" s="7">
        <f t="shared" ca="1" si="576"/>
        <v>0</v>
      </c>
      <c r="AA255" s="7">
        <f t="shared" ca="1" si="576"/>
        <v>0</v>
      </c>
      <c r="AB255" s="7">
        <f t="shared" ca="1" si="576"/>
        <v>0</v>
      </c>
      <c r="AC255" s="7">
        <f t="shared" ca="1" si="576"/>
        <v>0</v>
      </c>
      <c r="AD255" s="7">
        <f t="shared" ca="1" si="576"/>
        <v>0</v>
      </c>
      <c r="AE255" s="7">
        <f t="shared" ca="1" si="576"/>
        <v>0</v>
      </c>
      <c r="AF255" s="7">
        <f t="shared" ca="1" si="576"/>
        <v>0</v>
      </c>
      <c r="AG255" s="7">
        <f t="shared" ca="1" si="576"/>
        <v>0</v>
      </c>
      <c r="AH255" s="7">
        <f t="shared" ca="1" si="576"/>
        <v>0</v>
      </c>
      <c r="AI255" s="7">
        <f t="shared" ca="1" si="576"/>
        <v>0</v>
      </c>
      <c r="AJ255" s="7">
        <f t="shared" ca="1" si="576"/>
        <v>0</v>
      </c>
      <c r="AK255" s="7">
        <f t="shared" ca="1" si="576"/>
        <v>0</v>
      </c>
      <c r="AL255" s="7">
        <f t="shared" ca="1" si="576"/>
        <v>0</v>
      </c>
      <c r="AM255" s="7">
        <f t="shared" ca="1" si="576"/>
        <v>0</v>
      </c>
    </row>
    <row r="256" spans="1:39" x14ac:dyDescent="0.2">
      <c r="A256" s="3" t="s">
        <v>36</v>
      </c>
      <c r="B256" s="14" t="str">
        <f>A248</f>
        <v>Qormi</v>
      </c>
      <c r="C256" s="7">
        <f t="shared" ref="C256:AM256" ca="1" si="577">IF(AND(C249&gt;0,C252=0),VLOOKUP($A248,$83:$92,C$1+2,FALSE),0)</f>
        <v>0</v>
      </c>
      <c r="D256" s="7">
        <f t="shared" ca="1" si="577"/>
        <v>0</v>
      </c>
      <c r="E256" s="7">
        <f t="shared" ca="1" si="577"/>
        <v>0</v>
      </c>
      <c r="F256" s="7">
        <f t="shared" ca="1" si="577"/>
        <v>0</v>
      </c>
      <c r="G256" s="7">
        <f t="shared" ca="1" si="577"/>
        <v>0</v>
      </c>
      <c r="H256" s="7">
        <f t="shared" ca="1" si="577"/>
        <v>0</v>
      </c>
      <c r="I256" s="7">
        <f t="shared" ca="1" si="577"/>
        <v>0</v>
      </c>
      <c r="J256" s="7">
        <f t="shared" ca="1" si="577"/>
        <v>0</v>
      </c>
      <c r="K256" s="7">
        <f t="shared" ca="1" si="577"/>
        <v>0</v>
      </c>
      <c r="L256" s="7">
        <f t="shared" ca="1" si="577"/>
        <v>0</v>
      </c>
      <c r="M256" s="7">
        <f t="shared" ca="1" si="577"/>
        <v>0</v>
      </c>
      <c r="N256" s="7">
        <f t="shared" ca="1" si="577"/>
        <v>0</v>
      </c>
      <c r="O256" s="7">
        <f t="shared" ca="1" si="577"/>
        <v>0</v>
      </c>
      <c r="P256" s="7">
        <f t="shared" ca="1" si="577"/>
        <v>0</v>
      </c>
      <c r="Q256" s="7">
        <f t="shared" ca="1" si="577"/>
        <v>0</v>
      </c>
      <c r="R256" s="7">
        <f t="shared" ca="1" si="577"/>
        <v>0</v>
      </c>
      <c r="S256" s="7">
        <f t="shared" ca="1" si="577"/>
        <v>0</v>
      </c>
      <c r="T256" s="7">
        <f t="shared" ca="1" si="577"/>
        <v>0</v>
      </c>
      <c r="U256" s="7">
        <f t="shared" ca="1" si="577"/>
        <v>0</v>
      </c>
      <c r="V256" s="7">
        <f t="shared" ca="1" si="577"/>
        <v>0</v>
      </c>
      <c r="W256" s="7">
        <f t="shared" ca="1" si="577"/>
        <v>0</v>
      </c>
      <c r="X256" s="7">
        <f t="shared" ca="1" si="577"/>
        <v>0</v>
      </c>
      <c r="Y256" s="7">
        <f t="shared" ca="1" si="577"/>
        <v>0</v>
      </c>
      <c r="Z256" s="7">
        <f t="shared" ca="1" si="577"/>
        <v>0</v>
      </c>
      <c r="AA256" s="7">
        <f t="shared" ca="1" si="577"/>
        <v>0</v>
      </c>
      <c r="AB256" s="7">
        <f t="shared" ca="1" si="577"/>
        <v>0</v>
      </c>
      <c r="AC256" s="7">
        <f t="shared" ca="1" si="577"/>
        <v>0</v>
      </c>
      <c r="AD256" s="7">
        <f t="shared" ca="1" si="577"/>
        <v>0</v>
      </c>
      <c r="AE256" s="7">
        <f t="shared" ca="1" si="577"/>
        <v>0</v>
      </c>
      <c r="AF256" s="7">
        <f t="shared" ca="1" si="577"/>
        <v>0</v>
      </c>
      <c r="AG256" s="7">
        <f t="shared" ca="1" si="577"/>
        <v>0</v>
      </c>
      <c r="AH256" s="7">
        <f t="shared" ca="1" si="577"/>
        <v>0</v>
      </c>
      <c r="AI256" s="7">
        <f t="shared" ca="1" si="577"/>
        <v>0</v>
      </c>
      <c r="AJ256" s="7">
        <f t="shared" ca="1" si="577"/>
        <v>0</v>
      </c>
      <c r="AK256" s="7">
        <f t="shared" ca="1" si="577"/>
        <v>0</v>
      </c>
      <c r="AL256" s="7">
        <f t="shared" ca="1" si="577"/>
        <v>0</v>
      </c>
      <c r="AM256" s="7">
        <f t="shared" ca="1" si="577"/>
        <v>0</v>
      </c>
    </row>
    <row r="257" spans="1:39" x14ac:dyDescent="0.2">
      <c r="A257" s="3" t="s">
        <v>37</v>
      </c>
      <c r="C257" s="7">
        <f ca="1">-C250+SUM(C253:C256)</f>
        <v>0</v>
      </c>
      <c r="D257" s="7">
        <f t="shared" ref="D257" ca="1" si="578">-D250+SUM(D253:D256)</f>
        <v>0</v>
      </c>
      <c r="E257" s="7">
        <f t="shared" ref="E257:AM257" ca="1" si="579">-E250+SUM(E253:E256)</f>
        <v>0</v>
      </c>
      <c r="F257" s="7">
        <f t="shared" ca="1" si="579"/>
        <v>0</v>
      </c>
      <c r="G257" s="7">
        <f t="shared" ca="1" si="579"/>
        <v>0</v>
      </c>
      <c r="H257" s="7">
        <f t="shared" ca="1" si="579"/>
        <v>0</v>
      </c>
      <c r="I257" s="7">
        <f t="shared" ca="1" si="579"/>
        <v>0</v>
      </c>
      <c r="J257" s="7">
        <f t="shared" ca="1" si="579"/>
        <v>0</v>
      </c>
      <c r="K257" s="7">
        <f t="shared" ca="1" si="579"/>
        <v>0</v>
      </c>
      <c r="L257" s="7">
        <f t="shared" ca="1" si="579"/>
        <v>0</v>
      </c>
      <c r="M257" s="7">
        <f t="shared" ca="1" si="579"/>
        <v>0</v>
      </c>
      <c r="N257" s="7">
        <f t="shared" ca="1" si="579"/>
        <v>0</v>
      </c>
      <c r="O257" s="7">
        <f t="shared" ca="1" si="579"/>
        <v>0</v>
      </c>
      <c r="P257" s="7">
        <f t="shared" ca="1" si="579"/>
        <v>0</v>
      </c>
      <c r="Q257" s="7">
        <f t="shared" ca="1" si="579"/>
        <v>0</v>
      </c>
      <c r="R257" s="7">
        <f t="shared" ca="1" si="579"/>
        <v>0</v>
      </c>
      <c r="S257" s="7">
        <f t="shared" ca="1" si="579"/>
        <v>0</v>
      </c>
      <c r="T257" s="7">
        <f t="shared" ca="1" si="579"/>
        <v>0</v>
      </c>
      <c r="U257" s="7">
        <f t="shared" ca="1" si="579"/>
        <v>0</v>
      </c>
      <c r="V257" s="7">
        <f t="shared" ca="1" si="579"/>
        <v>0</v>
      </c>
      <c r="W257" s="7">
        <f t="shared" ca="1" si="579"/>
        <v>0</v>
      </c>
      <c r="X257" s="7">
        <f t="shared" ca="1" si="579"/>
        <v>0</v>
      </c>
      <c r="Y257" s="7">
        <f t="shared" ca="1" si="579"/>
        <v>0</v>
      </c>
      <c r="Z257" s="7">
        <f t="shared" ca="1" si="579"/>
        <v>0</v>
      </c>
      <c r="AA257" s="7">
        <f t="shared" ca="1" si="579"/>
        <v>0</v>
      </c>
      <c r="AB257" s="7">
        <f t="shared" ca="1" si="579"/>
        <v>0</v>
      </c>
      <c r="AC257" s="7">
        <f t="shared" ca="1" si="579"/>
        <v>0</v>
      </c>
      <c r="AD257" s="7">
        <f t="shared" ca="1" si="579"/>
        <v>0</v>
      </c>
      <c r="AE257" s="7">
        <f t="shared" ca="1" si="579"/>
        <v>0</v>
      </c>
      <c r="AF257" s="7">
        <f t="shared" ca="1" si="579"/>
        <v>0</v>
      </c>
      <c r="AG257" s="7">
        <f t="shared" ca="1" si="579"/>
        <v>0</v>
      </c>
      <c r="AH257" s="7">
        <f t="shared" ca="1" si="579"/>
        <v>0</v>
      </c>
      <c r="AI257" s="7">
        <f t="shared" ca="1" si="579"/>
        <v>0</v>
      </c>
      <c r="AJ257" s="7">
        <f t="shared" ca="1" si="579"/>
        <v>0</v>
      </c>
      <c r="AK257" s="7">
        <f t="shared" ca="1" si="579"/>
        <v>0</v>
      </c>
      <c r="AL257" s="7">
        <f t="shared" ca="1" si="579"/>
        <v>0</v>
      </c>
      <c r="AM257" s="7">
        <f t="shared" ca="1" si="579"/>
        <v>0</v>
      </c>
    </row>
    <row r="258" spans="1:39" x14ac:dyDescent="0.2">
      <c r="A258" s="3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x14ac:dyDescent="0.2">
      <c r="A259" s="3" t="s">
        <v>71</v>
      </c>
      <c r="C259" s="7">
        <f ca="1">C245+SUM($C257:C257)</f>
        <v>12809.375000000015</v>
      </c>
      <c r="D259" s="7">
        <f ca="1">D245+SUM($C257:D257)</f>
        <v>24162.215625000026</v>
      </c>
      <c r="E259" s="7">
        <f ca="1">E245+SUM($C257:E257)</f>
        <v>41813.279140625047</v>
      </c>
      <c r="F259" s="7">
        <f ca="1">F245+SUM($C257:F257)</f>
        <v>41803.568657505195</v>
      </c>
      <c r="G259" s="7">
        <f ca="1">G245+SUM($C257:G257)</f>
        <v>73524.627177360788</v>
      </c>
      <c r="H259" s="7">
        <f ca="1">H245+SUM($C257:H257)</f>
        <v>111945.76563583669</v>
      </c>
      <c r="I259" s="7">
        <f ca="1">I245+SUM($C257:I257)</f>
        <v>179058.63493181192</v>
      </c>
      <c r="J259" s="7">
        <f ca="1">J245+SUM($C257:J257)</f>
        <v>250182.50067145552</v>
      </c>
      <c r="K259" s="7">
        <f ca="1">K245+SUM($C257:K257)</f>
        <v>308095.70278366783</v>
      </c>
      <c r="L259" s="7">
        <f ca="1">L245+SUM($C257:L257)</f>
        <v>453640.47280939861</v>
      </c>
      <c r="M259" s="7">
        <f ca="1">M245+SUM($C257:M257)</f>
        <v>510683.42164108111</v>
      </c>
      <c r="N259" s="7">
        <f ca="1">N245+SUM($C257:N257)</f>
        <v>621525.85327123245</v>
      </c>
      <c r="O259" s="7">
        <f ca="1">O245+SUM($C257:O257)</f>
        <v>738362.94313265686</v>
      </c>
      <c r="P259" s="7">
        <f ca="1">P245+SUM($C257:P257)</f>
        <v>861449.23653079802</v>
      </c>
      <c r="Q259" s="7">
        <f ca="1">Q245+SUM($C257:Q257)</f>
        <v>991048.98204238666</v>
      </c>
      <c r="R259" s="7">
        <f ca="1">R245+SUM($C257:R257)</f>
        <v>1127436.4792682112</v>
      </c>
      <c r="S259" s="7">
        <f ca="1">S245+SUM($C257:S257)</f>
        <v>1270896.4385593834</v>
      </c>
      <c r="T259" s="7">
        <f ca="1">T245+SUM($C257:T257)</f>
        <v>1312493.9107349962</v>
      </c>
      <c r="U259" s="7">
        <f ca="1">U245+SUM($C257:U257)</f>
        <v>1363530.8459680481</v>
      </c>
      <c r="V259" s="7">
        <f ca="1">V245+SUM($C257:V257)</f>
        <v>1416566.1280568431</v>
      </c>
      <c r="W259" s="7">
        <f ca="1">W245+SUM($C257:W257)</f>
        <v>1471676.7180232967</v>
      </c>
      <c r="X259" s="7">
        <f ca="1">X245+SUM($C257:X257)</f>
        <v>1528942.4442265448</v>
      </c>
      <c r="Y259" s="7">
        <f ca="1">Y245+SUM($C257:Y257)</f>
        <v>1567529.0131961552</v>
      </c>
      <c r="Z259" s="7">
        <f ca="1">Z245+SUM($C257:Z257)</f>
        <v>1607393.5393787338</v>
      </c>
      <c r="AA259" s="7">
        <f ca="1">AA245+SUM($C257:AA257)</f>
        <v>1648585.8680630873</v>
      </c>
      <c r="AB259" s="7">
        <f ca="1">AB245+SUM($C257:AB257)</f>
        <v>1691157.8400002168</v>
      </c>
      <c r="AC259" s="7">
        <f ca="1">AC245+SUM($C257:AC257)</f>
        <v>1735163.3690807538</v>
      </c>
      <c r="AD259" s="7">
        <f ca="1">AD245+SUM($C257:AD257)</f>
        <v>1780658.5229208304</v>
      </c>
      <c r="AE259" s="7">
        <f ca="1">AE245+SUM($C257:AE257)</f>
        <v>1837808.8624938719</v>
      </c>
      <c r="AF259" s="7">
        <f ca="1">AF245+SUM($C257:AF257)</f>
        <v>1897073.1235563438</v>
      </c>
      <c r="AG259" s="7">
        <f ca="1">AG245+SUM($C257:AG257)</f>
        <v>1958533.3002031124</v>
      </c>
      <c r="AH259" s="7">
        <f ca="1">AH245+SUM($C257:AH257)</f>
        <v>2022274.5255423354</v>
      </c>
      <c r="AI259" s="7">
        <f ca="1">AI245+SUM($C257:AI257)</f>
        <v>2088385.1882151016</v>
      </c>
      <c r="AJ259" s="7">
        <f ca="1">AJ245+SUM($C257:AJ257)</f>
        <v>2156957.0531036272</v>
      </c>
      <c r="AK259" s="7">
        <f ca="1">AK245+SUM($C257:AK257)</f>
        <v>2228085.3863743474</v>
      </c>
      <c r="AL259" s="7">
        <f ca="1">AL245+SUM($C257:AL257)</f>
        <v>2301869.0850072289</v>
      </c>
      <c r="AM259" s="7">
        <f ca="1">AM245+SUM($C257:AM257)</f>
        <v>2378410.8109677895</v>
      </c>
    </row>
    <row r="260" spans="1:39" x14ac:dyDescent="0.2">
      <c r="A260" s="3" t="s">
        <v>68</v>
      </c>
      <c r="C260" s="7">
        <f t="shared" ref="C260:AM260" ca="1" si="580">MAX(C259+buffer,0)-MAX(C245+buffer,0)</f>
        <v>0</v>
      </c>
      <c r="D260" s="7">
        <f t="shared" ca="1" si="580"/>
        <v>0</v>
      </c>
      <c r="E260" s="7">
        <f t="shared" ca="1" si="580"/>
        <v>0</v>
      </c>
      <c r="F260" s="7">
        <f t="shared" ca="1" si="580"/>
        <v>0</v>
      </c>
      <c r="G260" s="7">
        <f t="shared" ca="1" si="580"/>
        <v>0</v>
      </c>
      <c r="H260" s="7">
        <f t="shared" ca="1" si="580"/>
        <v>0</v>
      </c>
      <c r="I260" s="7">
        <f t="shared" ca="1" si="580"/>
        <v>0</v>
      </c>
      <c r="J260" s="7">
        <f t="shared" ca="1" si="580"/>
        <v>0</v>
      </c>
      <c r="K260" s="7">
        <f t="shared" ca="1" si="580"/>
        <v>0</v>
      </c>
      <c r="L260" s="7">
        <f t="shared" ca="1" si="580"/>
        <v>0</v>
      </c>
      <c r="M260" s="7">
        <f t="shared" ca="1" si="580"/>
        <v>0</v>
      </c>
      <c r="N260" s="7">
        <f t="shared" ca="1" si="580"/>
        <v>0</v>
      </c>
      <c r="O260" s="7">
        <f t="shared" ca="1" si="580"/>
        <v>0</v>
      </c>
      <c r="P260" s="7">
        <f t="shared" ca="1" si="580"/>
        <v>0</v>
      </c>
      <c r="Q260" s="7">
        <f t="shared" ca="1" si="580"/>
        <v>0</v>
      </c>
      <c r="R260" s="7">
        <f t="shared" ca="1" si="580"/>
        <v>0</v>
      </c>
      <c r="S260" s="7">
        <f t="shared" ca="1" si="580"/>
        <v>0</v>
      </c>
      <c r="T260" s="7">
        <f t="shared" ca="1" si="580"/>
        <v>0</v>
      </c>
      <c r="U260" s="7">
        <f t="shared" ca="1" si="580"/>
        <v>0</v>
      </c>
      <c r="V260" s="7">
        <f t="shared" ca="1" si="580"/>
        <v>0</v>
      </c>
      <c r="W260" s="7">
        <f t="shared" ca="1" si="580"/>
        <v>0</v>
      </c>
      <c r="X260" s="7">
        <f t="shared" ca="1" si="580"/>
        <v>0</v>
      </c>
      <c r="Y260" s="7">
        <f t="shared" ca="1" si="580"/>
        <v>0</v>
      </c>
      <c r="Z260" s="7">
        <f t="shared" ca="1" si="580"/>
        <v>0</v>
      </c>
      <c r="AA260" s="7">
        <f t="shared" ca="1" si="580"/>
        <v>0</v>
      </c>
      <c r="AB260" s="7">
        <f t="shared" ca="1" si="580"/>
        <v>0</v>
      </c>
      <c r="AC260" s="7">
        <f t="shared" ca="1" si="580"/>
        <v>0</v>
      </c>
      <c r="AD260" s="7">
        <f t="shared" ca="1" si="580"/>
        <v>0</v>
      </c>
      <c r="AE260" s="7">
        <f t="shared" ca="1" si="580"/>
        <v>0</v>
      </c>
      <c r="AF260" s="7">
        <f t="shared" ca="1" si="580"/>
        <v>0</v>
      </c>
      <c r="AG260" s="7">
        <f t="shared" ca="1" si="580"/>
        <v>0</v>
      </c>
      <c r="AH260" s="7">
        <f t="shared" ca="1" si="580"/>
        <v>0</v>
      </c>
      <c r="AI260" s="7">
        <f t="shared" ca="1" si="580"/>
        <v>0</v>
      </c>
      <c r="AJ260" s="7">
        <f t="shared" ca="1" si="580"/>
        <v>0</v>
      </c>
      <c r="AK260" s="7">
        <f t="shared" ca="1" si="580"/>
        <v>0</v>
      </c>
      <c r="AL260" s="7">
        <f t="shared" ca="1" si="580"/>
        <v>0</v>
      </c>
      <c r="AM260" s="7">
        <f t="shared" ca="1" si="580"/>
        <v>0</v>
      </c>
    </row>
    <row r="261" spans="1:39" x14ac:dyDescent="0.2">
      <c r="A261" s="3" t="s">
        <v>69</v>
      </c>
      <c r="C261" s="7">
        <f ca="1">C260*Inputs!$B$259</f>
        <v>0</v>
      </c>
      <c r="D261" s="7">
        <f ca="1">D260*Inputs!$B$259</f>
        <v>0</v>
      </c>
      <c r="E261" s="7">
        <f ca="1">E260*Inputs!$B$259</f>
        <v>0</v>
      </c>
      <c r="F261" s="7">
        <f ca="1">F260*Inputs!$B$259</f>
        <v>0</v>
      </c>
      <c r="G261" s="7">
        <f ca="1">G260*Inputs!$B$259</f>
        <v>0</v>
      </c>
      <c r="H261" s="7">
        <f ca="1">H260*Inputs!$B$259</f>
        <v>0</v>
      </c>
      <c r="I261" s="7">
        <f ca="1">I260*Inputs!$B$259</f>
        <v>0</v>
      </c>
      <c r="J261" s="7">
        <f ca="1">J260*Inputs!$B$259</f>
        <v>0</v>
      </c>
      <c r="K261" s="7">
        <f ca="1">K260*Inputs!$B$259</f>
        <v>0</v>
      </c>
      <c r="L261" s="7">
        <f ca="1">L260*Inputs!$B$259</f>
        <v>0</v>
      </c>
      <c r="M261" s="7">
        <f ca="1">M260*Inputs!$B$259</f>
        <v>0</v>
      </c>
      <c r="N261" s="7">
        <f ca="1">N260*Inputs!$B$259</f>
        <v>0</v>
      </c>
      <c r="O261" s="7">
        <f ca="1">O260*Inputs!$B$259</f>
        <v>0</v>
      </c>
      <c r="P261" s="7">
        <f ca="1">P260*Inputs!$B$259</f>
        <v>0</v>
      </c>
      <c r="Q261" s="7">
        <f ca="1">Q260*Inputs!$B$259</f>
        <v>0</v>
      </c>
      <c r="R261" s="7">
        <f ca="1">R260*Inputs!$B$259</f>
        <v>0</v>
      </c>
      <c r="S261" s="7">
        <f ca="1">S260*Inputs!$B$259</f>
        <v>0</v>
      </c>
      <c r="T261" s="7">
        <f ca="1">T260*Inputs!$B$259</f>
        <v>0</v>
      </c>
      <c r="U261" s="7">
        <f ca="1">U260*Inputs!$B$259</f>
        <v>0</v>
      </c>
      <c r="V261" s="7">
        <f ca="1">V260*Inputs!$B$259</f>
        <v>0</v>
      </c>
      <c r="W261" s="7">
        <f ca="1">W260*Inputs!$B$259</f>
        <v>0</v>
      </c>
      <c r="X261" s="7">
        <f ca="1">X260*Inputs!$B$259</f>
        <v>0</v>
      </c>
      <c r="Y261" s="7">
        <f ca="1">Y260*Inputs!$B$259</f>
        <v>0</v>
      </c>
      <c r="Z261" s="7">
        <f ca="1">Z260*Inputs!$B$259</f>
        <v>0</v>
      </c>
      <c r="AA261" s="7">
        <f ca="1">AA260*Inputs!$B$259</f>
        <v>0</v>
      </c>
      <c r="AB261" s="7">
        <f ca="1">AB260*Inputs!$B$259</f>
        <v>0</v>
      </c>
      <c r="AC261" s="7">
        <f ca="1">AC260*Inputs!$B$259</f>
        <v>0</v>
      </c>
      <c r="AD261" s="7">
        <f ca="1">AD260*Inputs!$B$259</f>
        <v>0</v>
      </c>
      <c r="AE261" s="7">
        <f ca="1">AE260*Inputs!$B$259</f>
        <v>0</v>
      </c>
      <c r="AF261" s="7">
        <f ca="1">AF260*Inputs!$B$259</f>
        <v>0</v>
      </c>
      <c r="AG261" s="7">
        <f ca="1">AG260*Inputs!$B$259</f>
        <v>0</v>
      </c>
      <c r="AH261" s="7">
        <f ca="1">AH260*Inputs!$B$259</f>
        <v>0</v>
      </c>
      <c r="AI261" s="7">
        <f ca="1">AI260*Inputs!$B$259</f>
        <v>0</v>
      </c>
      <c r="AJ261" s="7">
        <f ca="1">AJ260*Inputs!$B$259</f>
        <v>0</v>
      </c>
      <c r="AK261" s="7">
        <f ca="1">AK260*Inputs!$B$259</f>
        <v>0</v>
      </c>
      <c r="AL261" s="7">
        <f ca="1">AL260*Inputs!$B$259</f>
        <v>0</v>
      </c>
      <c r="AM261" s="7">
        <f ca="1">AM260*Inputs!$B$259</f>
        <v>0</v>
      </c>
    </row>
    <row r="262" spans="1:39" x14ac:dyDescent="0.2">
      <c r="A262" s="3" t="s">
        <v>150</v>
      </c>
      <c r="C262" s="7">
        <f ca="1">C259+SUM($C261:C261)</f>
        <v>12809.375000000015</v>
      </c>
      <c r="D262" s="7">
        <f ca="1">D259+SUM($C261:D261)</f>
        <v>24162.215625000026</v>
      </c>
      <c r="E262" s="7">
        <f ca="1">E259+SUM($C261:E261)</f>
        <v>41813.279140625047</v>
      </c>
      <c r="F262" s="7">
        <f ca="1">F259+SUM($C261:F261)</f>
        <v>41803.568657505195</v>
      </c>
      <c r="G262" s="7">
        <f ca="1">G259+SUM($C261:G261)</f>
        <v>73524.627177360788</v>
      </c>
      <c r="H262" s="7">
        <f ca="1">H259+SUM($C261:H261)</f>
        <v>111945.76563583669</v>
      </c>
      <c r="I262" s="7">
        <f ca="1">I259+SUM($C261:I261)</f>
        <v>179058.63493181192</v>
      </c>
      <c r="J262" s="7">
        <f ca="1">J259+SUM($C261:J261)</f>
        <v>250182.50067145552</v>
      </c>
      <c r="K262" s="7">
        <f ca="1">K259+SUM($C261:K261)</f>
        <v>308095.70278366783</v>
      </c>
      <c r="L262" s="7">
        <f ca="1">L259+SUM($C261:L261)</f>
        <v>453640.47280939861</v>
      </c>
      <c r="M262" s="7">
        <f ca="1">M259+SUM($C261:M261)</f>
        <v>510683.42164108111</v>
      </c>
      <c r="N262" s="7">
        <f ca="1">N259+SUM($C261:N261)</f>
        <v>621525.85327123245</v>
      </c>
      <c r="O262" s="7">
        <f ca="1">O259+SUM($C261:O261)</f>
        <v>738362.94313265686</v>
      </c>
      <c r="P262" s="7">
        <f ca="1">P259+SUM($C261:P261)</f>
        <v>861449.23653079802</v>
      </c>
      <c r="Q262" s="7">
        <f ca="1">Q259+SUM($C261:Q261)</f>
        <v>991048.98204238666</v>
      </c>
      <c r="R262" s="7">
        <f ca="1">R259+SUM($C261:R261)</f>
        <v>1127436.4792682112</v>
      </c>
      <c r="S262" s="7">
        <f ca="1">S259+SUM($C261:S261)</f>
        <v>1270896.4385593834</v>
      </c>
      <c r="T262" s="7">
        <f ca="1">T259+SUM($C261:T261)</f>
        <v>1312493.9107349962</v>
      </c>
      <c r="U262" s="7">
        <f ca="1">U259+SUM($C261:U261)</f>
        <v>1363530.8459680481</v>
      </c>
      <c r="V262" s="7">
        <f ca="1">V259+SUM($C261:V261)</f>
        <v>1416566.1280568431</v>
      </c>
      <c r="W262" s="7">
        <f ca="1">W259+SUM($C261:W261)</f>
        <v>1471676.7180232967</v>
      </c>
      <c r="X262" s="7">
        <f ca="1">X259+SUM($C261:X261)</f>
        <v>1528942.4442265448</v>
      </c>
      <c r="Y262" s="7">
        <f ca="1">Y259+SUM($C261:Y261)</f>
        <v>1567529.0131961552</v>
      </c>
      <c r="Z262" s="7">
        <f ca="1">Z259+SUM($C261:Z261)</f>
        <v>1607393.5393787338</v>
      </c>
      <c r="AA262" s="7">
        <f ca="1">AA259+SUM($C261:AA261)</f>
        <v>1648585.8680630873</v>
      </c>
      <c r="AB262" s="7">
        <f ca="1">AB259+SUM($C261:AB261)</f>
        <v>1691157.8400002168</v>
      </c>
      <c r="AC262" s="7">
        <f ca="1">AC259+SUM($C261:AC261)</f>
        <v>1735163.3690807538</v>
      </c>
      <c r="AD262" s="7">
        <f ca="1">AD259+SUM($C261:AD261)</f>
        <v>1780658.5229208304</v>
      </c>
      <c r="AE262" s="7">
        <f ca="1">AE259+SUM($C261:AE261)</f>
        <v>1837808.8624938719</v>
      </c>
      <c r="AF262" s="7">
        <f ca="1">AF259+SUM($C261:AF261)</f>
        <v>1897073.1235563438</v>
      </c>
      <c r="AG262" s="7">
        <f ca="1">AG259+SUM($C261:AG261)</f>
        <v>1958533.3002031124</v>
      </c>
      <c r="AH262" s="7">
        <f ca="1">AH259+SUM($C261:AH261)</f>
        <v>2022274.5255423354</v>
      </c>
      <c r="AI262" s="7">
        <f ca="1">AI259+SUM($C261:AI261)</f>
        <v>2088385.1882151016</v>
      </c>
      <c r="AJ262" s="7">
        <f ca="1">AJ259+SUM($C261:AJ261)</f>
        <v>2156957.0531036272</v>
      </c>
      <c r="AK262" s="7">
        <f ca="1">AK259+SUM($C261:AK261)</f>
        <v>2228085.3863743474</v>
      </c>
      <c r="AL262" s="7">
        <f ca="1">AL259+SUM($C261:AL261)</f>
        <v>2301869.0850072289</v>
      </c>
      <c r="AM262" s="7">
        <f ca="1">AM259+SUM($C261:AM261)</f>
        <v>2378410.8109677895</v>
      </c>
    </row>
    <row r="263" spans="1:39" x14ac:dyDescent="0.2">
      <c r="A263" s="3" t="s">
        <v>20</v>
      </c>
      <c r="C263" s="7">
        <f ca="1">IF(C262&lt;0,-C262,0)</f>
        <v>0</v>
      </c>
      <c r="D263" s="7">
        <f ca="1">IF(D262+SUM($C263:C263)&lt;0,-(D262+SUM($C263:C263)),0)</f>
        <v>0</v>
      </c>
      <c r="E263" s="7">
        <f ca="1">IF(E262+SUM($C263:D263)&lt;0,-(E262+SUM($C263:D263)),0)</f>
        <v>0</v>
      </c>
      <c r="F263" s="7">
        <f ca="1">IF(F262+SUM($C263:E263)&lt;0,-(F262+SUM($C263:E263)),0)</f>
        <v>0</v>
      </c>
      <c r="G263" s="7">
        <f ca="1">IF(G262+SUM($C263:F263)&lt;0,-(G262+SUM($C263:F263)),0)</f>
        <v>0</v>
      </c>
      <c r="H263" s="7">
        <f ca="1">IF(H262+SUM($C263:G263)&lt;0,-(H262+SUM($C263:G263)),0)</f>
        <v>0</v>
      </c>
      <c r="I263" s="7">
        <f ca="1">IF(I262+SUM($C263:H263)&lt;0,-(I262+SUM($C263:H263)),0)</f>
        <v>0</v>
      </c>
      <c r="J263" s="7">
        <f ca="1">IF(J262+SUM($C263:I263)&lt;0,-(J262+SUM($C263:I263)),0)</f>
        <v>0</v>
      </c>
      <c r="K263" s="7">
        <f ca="1">IF(K262+SUM($C263:J263)&lt;0,-(K262+SUM($C263:J263)),0)</f>
        <v>0</v>
      </c>
      <c r="L263" s="7">
        <f ca="1">IF(L262+SUM($C263:K263)&lt;0,-(L262+SUM($C263:K263)),0)</f>
        <v>0</v>
      </c>
      <c r="M263" s="7">
        <f ca="1">IF(M262+SUM($C263:L263)&lt;0,-(M262+SUM($C263:L263)),0)</f>
        <v>0</v>
      </c>
      <c r="N263" s="7">
        <f ca="1">IF(N262+SUM($C263:M263)&lt;0,-(N262+SUM($C263:M263)),0)</f>
        <v>0</v>
      </c>
      <c r="O263" s="7">
        <f ca="1">IF(O262+SUM($C263:N263)&lt;0,-(O262+SUM($C263:N263)),0)</f>
        <v>0</v>
      </c>
      <c r="P263" s="7">
        <f ca="1">IF(P262+SUM($C263:O263)&lt;0,-(P262+SUM($C263:O263)),0)</f>
        <v>0</v>
      </c>
      <c r="Q263" s="7">
        <f ca="1">IF(Q262+SUM($C263:P263)&lt;0,-(Q262+SUM($C263:P263)),0)</f>
        <v>0</v>
      </c>
      <c r="R263" s="7">
        <f ca="1">IF(R262+SUM($C263:Q263)&lt;0,-(R262+SUM($C263:Q263)),0)</f>
        <v>0</v>
      </c>
      <c r="S263" s="7">
        <f ca="1">IF(S262+SUM($C263:R263)&lt;0,-(S262+SUM($C263:R263)),0)</f>
        <v>0</v>
      </c>
      <c r="T263" s="7">
        <f ca="1">IF(T262+SUM($C263:S263)&lt;0,-(T262+SUM($C263:S263)),0)</f>
        <v>0</v>
      </c>
      <c r="U263" s="7">
        <f ca="1">IF(U262+SUM($C263:T263)&lt;0,-(U262+SUM($C263:T263)),0)</f>
        <v>0</v>
      </c>
      <c r="V263" s="7">
        <f ca="1">IF(V262+SUM($C263:U263)&lt;0,-(V262+SUM($C263:U263)),0)</f>
        <v>0</v>
      </c>
      <c r="W263" s="7">
        <f ca="1">IF(W262+SUM($C263:V263)&lt;0,-(W262+SUM($C263:V263)),0)</f>
        <v>0</v>
      </c>
      <c r="X263" s="7">
        <f ca="1">IF(X262+SUM($C263:W263)&lt;0,-(X262+SUM($C263:W263)),0)</f>
        <v>0</v>
      </c>
      <c r="Y263" s="7">
        <f ca="1">IF(Y262+SUM($C263:X263)&lt;0,-(Y262+SUM($C263:X263)),0)</f>
        <v>0</v>
      </c>
      <c r="Z263" s="7">
        <f ca="1">IF(Z262+SUM($C263:Y263)&lt;0,-(Z262+SUM($C263:Y263)),0)</f>
        <v>0</v>
      </c>
      <c r="AA263" s="7">
        <f ca="1">IF(AA262+SUM($C263:Z263)&lt;0,-(AA262+SUM($C263:Z263)),0)</f>
        <v>0</v>
      </c>
      <c r="AB263" s="7">
        <f ca="1">IF(AB262+SUM($C263:AA263)&lt;0,-(AB262+SUM($C263:AA263)),0)</f>
        <v>0</v>
      </c>
      <c r="AC263" s="7">
        <f ca="1">IF(AC262+SUM($C263:AB263)&lt;0,-(AC262+SUM($C263:AB263)),0)</f>
        <v>0</v>
      </c>
      <c r="AD263" s="7">
        <f ca="1">IF(AD262+SUM($C263:AC263)&lt;0,-(AD262+SUM($C263:AC263)),0)</f>
        <v>0</v>
      </c>
      <c r="AE263" s="7">
        <f ca="1">IF(AE262+SUM($C263:AD263)&lt;0,-(AE262+SUM($C263:AD263)),0)</f>
        <v>0</v>
      </c>
      <c r="AF263" s="7">
        <f ca="1">IF(AF262+SUM($C263:AE263)&lt;0,-(AF262+SUM($C263:AE263)),0)</f>
        <v>0</v>
      </c>
      <c r="AG263" s="7">
        <f ca="1">IF(AG262+SUM($C263:AF263)&lt;0,-(AG262+SUM($C263:AF263)),0)</f>
        <v>0</v>
      </c>
      <c r="AH263" s="7">
        <f ca="1">IF(AH262+SUM($C263:AG263)&lt;0,-(AH262+SUM($C263:AG263)),0)</f>
        <v>0</v>
      </c>
      <c r="AI263" s="7">
        <f ca="1">IF(AI262+SUM($C263:AH263)&lt;0,-(AI262+SUM($C263:AH263)),0)</f>
        <v>0</v>
      </c>
      <c r="AJ263" s="7">
        <f ca="1">IF(AJ262+SUM($C263:AI263)&lt;0,-(AJ262+SUM($C263:AI263)),0)</f>
        <v>0</v>
      </c>
      <c r="AK263" s="7">
        <f ca="1">IF(AK262+SUM($C263:AJ263)&lt;0,-(AK262+SUM($C263:AJ263)),0)</f>
        <v>0</v>
      </c>
      <c r="AL263" s="7">
        <f ca="1">IF(AL262+SUM($C263:AK263)&lt;0,-(AL262+SUM($C263:AK263)),0)</f>
        <v>0</v>
      </c>
      <c r="AM263" s="7">
        <f ca="1">IF(AM262+SUM($C263:AL263)&lt;0,-(AM262+SUM($C263:AL263)),0)</f>
        <v>0</v>
      </c>
    </row>
    <row r="264" spans="1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x14ac:dyDescent="0.2">
      <c r="A265" s="24" t="str">
        <f>IF(Inputs!$B$279=6,IFERROR(_xlfn.XLOOKUP($B265,Inputs!$B$280:$B$289,Inputs!$A$280:$A$289,,0,1),""),IFERROR(_xlfn.XLOOKUP($B265,Inputs!$C$280:$C$289,Inputs!$A$280:$A$289,,0,1),""))</f>
        <v>Sliema</v>
      </c>
      <c r="B265" s="26">
        <v>10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">
      <c r="A266" s="3" t="s">
        <v>22</v>
      </c>
      <c r="C266" s="7">
        <f ca="1">IFERROR(VLOOKUP($A265,$A$65:$H$94,C$1+2,FALSE),0)</f>
        <v>307481.46526147495</v>
      </c>
      <c r="D266" s="7">
        <f ca="1">C269</f>
        <v>307481.46526147495</v>
      </c>
      <c r="E266" s="7">
        <f t="shared" ref="E266:AM266" ca="1" si="581">D269</f>
        <v>316705.90921931918</v>
      </c>
      <c r="F266" s="7">
        <f t="shared" ca="1" si="581"/>
        <v>326207.08649589872</v>
      </c>
      <c r="G266" s="7">
        <f t="shared" ca="1" si="581"/>
        <v>335993.29909077566</v>
      </c>
      <c r="H266" s="7">
        <f t="shared" ca="1" si="581"/>
        <v>346073.09806349891</v>
      </c>
      <c r="I266" s="7">
        <f t="shared" ca="1" si="581"/>
        <v>356455.29100540385</v>
      </c>
      <c r="J266" s="7">
        <f t="shared" ca="1" si="581"/>
        <v>367148.94973556598</v>
      </c>
      <c r="K266" s="7">
        <f t="shared" ca="1" si="581"/>
        <v>378163.41822763294</v>
      </c>
      <c r="L266" s="7">
        <f t="shared" ca="1" si="581"/>
        <v>389508.3207744619</v>
      </c>
      <c r="M266" s="7">
        <f t="shared" ca="1" si="581"/>
        <v>401193.57039769576</v>
      </c>
      <c r="N266" s="7">
        <f t="shared" ca="1" si="581"/>
        <v>413229.37750962662</v>
      </c>
      <c r="O266" s="7">
        <f t="shared" ca="1" si="581"/>
        <v>425626.25883491541</v>
      </c>
      <c r="P266" s="7">
        <f t="shared" ca="1" si="581"/>
        <v>438395.04659996287</v>
      </c>
      <c r="Q266" s="7">
        <f t="shared" ca="1" si="581"/>
        <v>451546.89799796173</v>
      </c>
      <c r="R266" s="7">
        <f t="shared" ca="1" si="581"/>
        <v>465093.30493790057</v>
      </c>
      <c r="S266" s="7">
        <f t="shared" ca="1" si="581"/>
        <v>479046.10408603761</v>
      </c>
      <c r="T266" s="7">
        <f t="shared" ca="1" si="581"/>
        <v>493417.48720861872</v>
      </c>
      <c r="U266" s="7">
        <f t="shared" ca="1" si="581"/>
        <v>508220.01182487729</v>
      </c>
      <c r="V266" s="7">
        <f t="shared" ca="1" si="581"/>
        <v>523466.61217962363</v>
      </c>
      <c r="W266" s="7">
        <f t="shared" ca="1" si="581"/>
        <v>539170.61054501229</v>
      </c>
      <c r="X266" s="7">
        <f t="shared" ca="1" si="581"/>
        <v>555345.72886136267</v>
      </c>
      <c r="Y266" s="7">
        <f t="shared" ca="1" si="581"/>
        <v>572006.10072720353</v>
      </c>
      <c r="Z266" s="7">
        <f t="shared" ca="1" si="581"/>
        <v>589166.28374901961</v>
      </c>
      <c r="AA266" s="7">
        <f t="shared" ca="1" si="581"/>
        <v>606841.27226149023</v>
      </c>
      <c r="AB266" s="7">
        <f t="shared" ca="1" si="581"/>
        <v>625046.51042933494</v>
      </c>
      <c r="AC266" s="7">
        <f t="shared" ca="1" si="581"/>
        <v>643797.90574221499</v>
      </c>
      <c r="AD266" s="7">
        <f t="shared" ca="1" si="581"/>
        <v>663111.84291448141</v>
      </c>
      <c r="AE266" s="7">
        <f t="shared" ca="1" si="581"/>
        <v>683005.19820191583</v>
      </c>
      <c r="AF266" s="7">
        <f t="shared" ca="1" si="581"/>
        <v>703495.35414797335</v>
      </c>
      <c r="AG266" s="7">
        <f t="shared" ca="1" si="581"/>
        <v>724600.21477241255</v>
      </c>
      <c r="AH266" s="7">
        <f t="shared" ca="1" si="581"/>
        <v>746338.2212155849</v>
      </c>
      <c r="AI266" s="7">
        <f t="shared" ca="1" si="581"/>
        <v>768728.36785205244</v>
      </c>
      <c r="AJ266" s="7">
        <f t="shared" ca="1" si="581"/>
        <v>791790.21888761397</v>
      </c>
      <c r="AK266" s="7">
        <f t="shared" ca="1" si="581"/>
        <v>815543.92545424239</v>
      </c>
      <c r="AL266" s="7">
        <f t="shared" ca="1" si="581"/>
        <v>840010.24321786966</v>
      </c>
      <c r="AM266" s="7">
        <f t="shared" ca="1" si="581"/>
        <v>865210.55051440571</v>
      </c>
    </row>
    <row r="267" spans="1:39" x14ac:dyDescent="0.2">
      <c r="A267" s="3" t="s">
        <v>23</v>
      </c>
      <c r="C267" s="7">
        <f ca="1">-IF(D263&gt;0,C266,0)</f>
        <v>0</v>
      </c>
      <c r="D267" s="7">
        <f ca="1">-IF(E263&gt;0,D266,0)</f>
        <v>0</v>
      </c>
      <c r="E267" s="7">
        <f ca="1">-IF(F263&gt;0,E266,0)</f>
        <v>0</v>
      </c>
      <c r="F267" s="7">
        <f ca="1">-IF(G263&gt;0,F266,0)</f>
        <v>0</v>
      </c>
      <c r="G267" s="7">
        <f t="shared" ref="G267" ca="1" si="582">-IF(H263&gt;0,G266,0)</f>
        <v>0</v>
      </c>
      <c r="H267" s="7">
        <f t="shared" ref="H267" ca="1" si="583">-IF(I263&gt;0,H266,0)</f>
        <v>0</v>
      </c>
      <c r="I267" s="7">
        <f t="shared" ref="I267" ca="1" si="584">-IF(J263&gt;0,I266,0)</f>
        <v>0</v>
      </c>
      <c r="J267" s="7">
        <f t="shared" ref="J267" ca="1" si="585">-IF(K263&gt;0,J266,0)</f>
        <v>0</v>
      </c>
      <c r="K267" s="7">
        <f t="shared" ref="K267" ca="1" si="586">-IF(L263&gt;0,K266,0)</f>
        <v>0</v>
      </c>
      <c r="L267" s="7">
        <f t="shared" ref="L267" ca="1" si="587">-IF(M263&gt;0,L266,0)</f>
        <v>0</v>
      </c>
      <c r="M267" s="7">
        <f t="shared" ref="M267" ca="1" si="588">-IF(N263&gt;0,M266,0)</f>
        <v>0</v>
      </c>
      <c r="N267" s="7">
        <f t="shared" ref="N267" ca="1" si="589">-IF(O263&gt;0,N266,0)</f>
        <v>0</v>
      </c>
      <c r="O267" s="7">
        <f t="shared" ref="O267" ca="1" si="590">-IF(P263&gt;0,O266,0)</f>
        <v>0</v>
      </c>
      <c r="P267" s="7">
        <f t="shared" ref="P267" ca="1" si="591">-IF(Q263&gt;0,P266,0)</f>
        <v>0</v>
      </c>
      <c r="Q267" s="7">
        <f t="shared" ref="Q267" ca="1" si="592">-IF(R263&gt;0,Q266,0)</f>
        <v>0</v>
      </c>
      <c r="R267" s="7">
        <f t="shared" ref="R267" ca="1" si="593">-IF(S263&gt;0,R266,0)</f>
        <v>0</v>
      </c>
      <c r="S267" s="7">
        <f t="shared" ref="S267" ca="1" si="594">-IF(T263&gt;0,S266,0)</f>
        <v>0</v>
      </c>
      <c r="T267" s="7">
        <f t="shared" ref="T267" ca="1" si="595">-IF(U263&gt;0,T266,0)</f>
        <v>0</v>
      </c>
      <c r="U267" s="7">
        <f t="shared" ref="U267" ca="1" si="596">-IF(V263&gt;0,U266,0)</f>
        <v>0</v>
      </c>
      <c r="V267" s="7">
        <f t="shared" ref="V267" ca="1" si="597">-IF(W263&gt;0,V266,0)</f>
        <v>0</v>
      </c>
      <c r="W267" s="7">
        <f t="shared" ref="W267" ca="1" si="598">-IF(X263&gt;0,W266,0)</f>
        <v>0</v>
      </c>
      <c r="X267" s="7">
        <f t="shared" ref="X267" ca="1" si="599">-IF(Y263&gt;0,X266,0)</f>
        <v>0</v>
      </c>
      <c r="Y267" s="7">
        <f t="shared" ref="Y267" ca="1" si="600">-IF(Z263&gt;0,Y266,0)</f>
        <v>0</v>
      </c>
      <c r="Z267" s="7">
        <f t="shared" ref="Z267" ca="1" si="601">-IF(AA263&gt;0,Z266,0)</f>
        <v>0</v>
      </c>
      <c r="AA267" s="7">
        <f t="shared" ref="AA267" ca="1" si="602">-IF(AB263&gt;0,AA266,0)</f>
        <v>0</v>
      </c>
      <c r="AB267" s="7">
        <f t="shared" ref="AB267" ca="1" si="603">-IF(AC263&gt;0,AB266,0)</f>
        <v>0</v>
      </c>
      <c r="AC267" s="7">
        <f t="shared" ref="AC267" ca="1" si="604">-IF(AD263&gt;0,AC266,0)</f>
        <v>0</v>
      </c>
      <c r="AD267" s="7">
        <f t="shared" ref="AD267" ca="1" si="605">-IF(AE263&gt;0,AD266,0)</f>
        <v>0</v>
      </c>
      <c r="AE267" s="7">
        <f t="shared" ref="AE267" ca="1" si="606">-IF(AF263&gt;0,AE266,0)</f>
        <v>0</v>
      </c>
      <c r="AF267" s="7">
        <f t="shared" ref="AF267" ca="1" si="607">-IF(AG263&gt;0,AF266,0)</f>
        <v>0</v>
      </c>
      <c r="AG267" s="7">
        <f t="shared" ref="AG267" ca="1" si="608">-IF(AH263&gt;0,AG266,0)</f>
        <v>0</v>
      </c>
      <c r="AH267" s="7">
        <f t="shared" ref="AH267" ca="1" si="609">-IF(AI263&gt;0,AH266,0)</f>
        <v>0</v>
      </c>
      <c r="AI267" s="7">
        <f t="shared" ref="AI267" ca="1" si="610">-IF(AJ263&gt;0,AI266,0)</f>
        <v>0</v>
      </c>
      <c r="AJ267" s="7">
        <f t="shared" ref="AJ267" ca="1" si="611">-IF(AK263&gt;0,AJ266,0)</f>
        <v>0</v>
      </c>
      <c r="AK267" s="7">
        <f t="shared" ref="AK267" ca="1" si="612">-IF(AL263&gt;0,AK266,0)</f>
        <v>0</v>
      </c>
      <c r="AL267" s="7">
        <f t="shared" ref="AL267" ca="1" si="613">-IF(AM263&gt;0,AL266,0)</f>
        <v>0</v>
      </c>
      <c r="AM267" s="7">
        <f t="shared" ref="AM267" si="614">-IF(AN263&gt;0,AM266,0)</f>
        <v>0</v>
      </c>
    </row>
    <row r="268" spans="1:39" x14ac:dyDescent="0.2">
      <c r="A268" s="3" t="s">
        <v>24</v>
      </c>
      <c r="C268" s="7">
        <v>0</v>
      </c>
      <c r="D268" s="7">
        <f t="shared" ref="D268:AM268" ca="1" si="615">SUM(D266:D267)*VLOOKUP($A265,AssVar,2,FALSE)</f>
        <v>9224.4439578442489</v>
      </c>
      <c r="E268" s="7">
        <f t="shared" ca="1" si="615"/>
        <v>9501.177276579574</v>
      </c>
      <c r="F268" s="7">
        <f t="shared" ca="1" si="615"/>
        <v>9786.2125948769608</v>
      </c>
      <c r="G268" s="7">
        <f t="shared" ca="1" si="615"/>
        <v>10079.798972723269</v>
      </c>
      <c r="H268" s="7">
        <f t="shared" ca="1" si="615"/>
        <v>10382.192941904967</v>
      </c>
      <c r="I268" s="7">
        <f t="shared" ca="1" si="615"/>
        <v>10693.658730162115</v>
      </c>
      <c r="J268" s="7">
        <f t="shared" ca="1" si="615"/>
        <v>11014.468492066979</v>
      </c>
      <c r="K268" s="7">
        <f t="shared" ca="1" si="615"/>
        <v>11344.902546828987</v>
      </c>
      <c r="L268" s="7">
        <f t="shared" ca="1" si="615"/>
        <v>11685.249623233856</v>
      </c>
      <c r="M268" s="7">
        <f t="shared" ca="1" si="615"/>
        <v>12035.807111930872</v>
      </c>
      <c r="N268" s="7">
        <f t="shared" ca="1" si="615"/>
        <v>12396.881325288798</v>
      </c>
      <c r="O268" s="7">
        <f t="shared" ca="1" si="615"/>
        <v>12768.787765047462</v>
      </c>
      <c r="P268" s="7">
        <f t="shared" ca="1" si="615"/>
        <v>13151.851397998886</v>
      </c>
      <c r="Q268" s="7">
        <f t="shared" ca="1" si="615"/>
        <v>13546.406939938852</v>
      </c>
      <c r="R268" s="7">
        <f t="shared" ca="1" si="615"/>
        <v>13952.799148137017</v>
      </c>
      <c r="S268" s="7">
        <f t="shared" ca="1" si="615"/>
        <v>14371.383122581128</v>
      </c>
      <c r="T268" s="7">
        <f t="shared" ca="1" si="615"/>
        <v>14802.524616258561</v>
      </c>
      <c r="U268" s="7">
        <f t="shared" ca="1" si="615"/>
        <v>15246.600354746319</v>
      </c>
      <c r="V268" s="7">
        <f t="shared" ca="1" si="615"/>
        <v>15703.998365388708</v>
      </c>
      <c r="W268" s="7">
        <f t="shared" ca="1" si="615"/>
        <v>16175.118316350368</v>
      </c>
      <c r="X268" s="7">
        <f t="shared" ca="1" si="615"/>
        <v>16660.37186584088</v>
      </c>
      <c r="Y268" s="7">
        <f t="shared" ca="1" si="615"/>
        <v>17160.183021816105</v>
      </c>
      <c r="Z268" s="7">
        <f t="shared" ca="1" si="615"/>
        <v>17674.988512470587</v>
      </c>
      <c r="AA268" s="7">
        <f t="shared" ca="1" si="615"/>
        <v>18205.238167844705</v>
      </c>
      <c r="AB268" s="7">
        <f t="shared" ca="1" si="615"/>
        <v>18751.395312880046</v>
      </c>
      <c r="AC268" s="7">
        <f t="shared" ca="1" si="615"/>
        <v>19313.937172266447</v>
      </c>
      <c r="AD268" s="7">
        <f t="shared" ca="1" si="615"/>
        <v>19893.355287434442</v>
      </c>
      <c r="AE268" s="7">
        <f t="shared" ca="1" si="615"/>
        <v>20490.155946057475</v>
      </c>
      <c r="AF268" s="7">
        <f t="shared" ca="1" si="615"/>
        <v>21104.860624439199</v>
      </c>
      <c r="AG268" s="7">
        <f t="shared" ca="1" si="615"/>
        <v>21738.006443172377</v>
      </c>
      <c r="AH268" s="7">
        <f t="shared" ca="1" si="615"/>
        <v>22390.146636467547</v>
      </c>
      <c r="AI268" s="7">
        <f t="shared" ca="1" si="615"/>
        <v>23061.851035561573</v>
      </c>
      <c r="AJ268" s="7">
        <f t="shared" ca="1" si="615"/>
        <v>23753.706566628418</v>
      </c>
      <c r="AK268" s="7">
        <f t="shared" ca="1" si="615"/>
        <v>24466.31776362727</v>
      </c>
      <c r="AL268" s="7">
        <f t="shared" ca="1" si="615"/>
        <v>25200.307296536088</v>
      </c>
      <c r="AM268" s="7">
        <f t="shared" ca="1" si="615"/>
        <v>25956.316515432169</v>
      </c>
    </row>
    <row r="269" spans="1:39" x14ac:dyDescent="0.2">
      <c r="A269" s="3" t="s">
        <v>25</v>
      </c>
      <c r="C269" s="7">
        <f ca="1">SUM(C266:C268)</f>
        <v>307481.46526147495</v>
      </c>
      <c r="D269" s="7">
        <f t="shared" ref="D269:AM269" ca="1" si="616">SUM(D266:D268)</f>
        <v>316705.90921931918</v>
      </c>
      <c r="E269" s="7">
        <f t="shared" ca="1" si="616"/>
        <v>326207.08649589872</v>
      </c>
      <c r="F269" s="7">
        <f t="shared" ca="1" si="616"/>
        <v>335993.29909077566</v>
      </c>
      <c r="G269" s="7">
        <f t="shared" ca="1" si="616"/>
        <v>346073.09806349891</v>
      </c>
      <c r="H269" s="7">
        <f t="shared" ca="1" si="616"/>
        <v>356455.29100540385</v>
      </c>
      <c r="I269" s="7">
        <f t="shared" ca="1" si="616"/>
        <v>367148.94973556598</v>
      </c>
      <c r="J269" s="7">
        <f t="shared" ca="1" si="616"/>
        <v>378163.41822763294</v>
      </c>
      <c r="K269" s="7">
        <f t="shared" ca="1" si="616"/>
        <v>389508.3207744619</v>
      </c>
      <c r="L269" s="7">
        <f t="shared" ca="1" si="616"/>
        <v>401193.57039769576</v>
      </c>
      <c r="M269" s="7">
        <f t="shared" ca="1" si="616"/>
        <v>413229.37750962662</v>
      </c>
      <c r="N269" s="7">
        <f t="shared" ca="1" si="616"/>
        <v>425626.25883491541</v>
      </c>
      <c r="O269" s="7">
        <f t="shared" ca="1" si="616"/>
        <v>438395.04659996287</v>
      </c>
      <c r="P269" s="7">
        <f t="shared" ca="1" si="616"/>
        <v>451546.89799796173</v>
      </c>
      <c r="Q269" s="7">
        <f t="shared" ca="1" si="616"/>
        <v>465093.30493790057</v>
      </c>
      <c r="R269" s="7">
        <f t="shared" ca="1" si="616"/>
        <v>479046.10408603761</v>
      </c>
      <c r="S269" s="7">
        <f t="shared" ca="1" si="616"/>
        <v>493417.48720861872</v>
      </c>
      <c r="T269" s="7">
        <f t="shared" ca="1" si="616"/>
        <v>508220.01182487729</v>
      </c>
      <c r="U269" s="7">
        <f t="shared" ca="1" si="616"/>
        <v>523466.61217962363</v>
      </c>
      <c r="V269" s="7">
        <f t="shared" ca="1" si="616"/>
        <v>539170.61054501229</v>
      </c>
      <c r="W269" s="7">
        <f t="shared" ca="1" si="616"/>
        <v>555345.72886136267</v>
      </c>
      <c r="X269" s="7">
        <f t="shared" ca="1" si="616"/>
        <v>572006.10072720353</v>
      </c>
      <c r="Y269" s="7">
        <f t="shared" ca="1" si="616"/>
        <v>589166.28374901961</v>
      </c>
      <c r="Z269" s="7">
        <f t="shared" ca="1" si="616"/>
        <v>606841.27226149023</v>
      </c>
      <c r="AA269" s="7">
        <f t="shared" ca="1" si="616"/>
        <v>625046.51042933494</v>
      </c>
      <c r="AB269" s="7">
        <f t="shared" ca="1" si="616"/>
        <v>643797.90574221499</v>
      </c>
      <c r="AC269" s="7">
        <f t="shared" ca="1" si="616"/>
        <v>663111.84291448141</v>
      </c>
      <c r="AD269" s="7">
        <f t="shared" ca="1" si="616"/>
        <v>683005.19820191583</v>
      </c>
      <c r="AE269" s="7">
        <f t="shared" ca="1" si="616"/>
        <v>703495.35414797335</v>
      </c>
      <c r="AF269" s="7">
        <f t="shared" ca="1" si="616"/>
        <v>724600.21477241255</v>
      </c>
      <c r="AG269" s="7">
        <f t="shared" ca="1" si="616"/>
        <v>746338.2212155849</v>
      </c>
      <c r="AH269" s="7">
        <f t="shared" ca="1" si="616"/>
        <v>768728.36785205244</v>
      </c>
      <c r="AI269" s="7">
        <f t="shared" ca="1" si="616"/>
        <v>791790.21888761397</v>
      </c>
      <c r="AJ269" s="7">
        <f t="shared" ca="1" si="616"/>
        <v>815543.92545424239</v>
      </c>
      <c r="AK269" s="7">
        <f t="shared" ca="1" si="616"/>
        <v>840010.24321786966</v>
      </c>
      <c r="AL269" s="7">
        <f t="shared" ca="1" si="616"/>
        <v>865210.55051440571</v>
      </c>
      <c r="AM269" s="7">
        <f t="shared" ca="1" si="616"/>
        <v>891166.86702983791</v>
      </c>
    </row>
    <row r="270" spans="1:39" x14ac:dyDescent="0.2">
      <c r="A270" s="3" t="s">
        <v>26</v>
      </c>
      <c r="C270" s="7">
        <f t="shared" ref="C270:AM270" ca="1" si="617">C267*VLOOKUP($A265,AssVar,3,FALSE)</f>
        <v>0</v>
      </c>
      <c r="D270" s="7">
        <f t="shared" ca="1" si="617"/>
        <v>0</v>
      </c>
      <c r="E270" s="7">
        <f t="shared" ca="1" si="617"/>
        <v>0</v>
      </c>
      <c r="F270" s="7">
        <f t="shared" ca="1" si="617"/>
        <v>0</v>
      </c>
      <c r="G270" s="7">
        <f t="shared" ca="1" si="617"/>
        <v>0</v>
      </c>
      <c r="H270" s="7">
        <f t="shared" ca="1" si="617"/>
        <v>0</v>
      </c>
      <c r="I270" s="7">
        <f t="shared" ca="1" si="617"/>
        <v>0</v>
      </c>
      <c r="J270" s="7">
        <f t="shared" ca="1" si="617"/>
        <v>0</v>
      </c>
      <c r="K270" s="7">
        <f t="shared" ca="1" si="617"/>
        <v>0</v>
      </c>
      <c r="L270" s="7">
        <f t="shared" ca="1" si="617"/>
        <v>0</v>
      </c>
      <c r="M270" s="7">
        <f t="shared" ca="1" si="617"/>
        <v>0</v>
      </c>
      <c r="N270" s="7">
        <f t="shared" ca="1" si="617"/>
        <v>0</v>
      </c>
      <c r="O270" s="7">
        <f t="shared" ca="1" si="617"/>
        <v>0</v>
      </c>
      <c r="P270" s="7">
        <f t="shared" ca="1" si="617"/>
        <v>0</v>
      </c>
      <c r="Q270" s="7">
        <f t="shared" ca="1" si="617"/>
        <v>0</v>
      </c>
      <c r="R270" s="7">
        <f t="shared" ca="1" si="617"/>
        <v>0</v>
      </c>
      <c r="S270" s="7">
        <f t="shared" ca="1" si="617"/>
        <v>0</v>
      </c>
      <c r="T270" s="7">
        <f t="shared" ca="1" si="617"/>
        <v>0</v>
      </c>
      <c r="U270" s="7">
        <f t="shared" ca="1" si="617"/>
        <v>0</v>
      </c>
      <c r="V270" s="7">
        <f t="shared" ca="1" si="617"/>
        <v>0</v>
      </c>
      <c r="W270" s="7">
        <f t="shared" ca="1" si="617"/>
        <v>0</v>
      </c>
      <c r="X270" s="7">
        <f t="shared" ca="1" si="617"/>
        <v>0</v>
      </c>
      <c r="Y270" s="7">
        <f t="shared" ca="1" si="617"/>
        <v>0</v>
      </c>
      <c r="Z270" s="7">
        <f t="shared" ca="1" si="617"/>
        <v>0</v>
      </c>
      <c r="AA270" s="7">
        <f t="shared" ca="1" si="617"/>
        <v>0</v>
      </c>
      <c r="AB270" s="7">
        <f t="shared" ca="1" si="617"/>
        <v>0</v>
      </c>
      <c r="AC270" s="7">
        <f t="shared" ca="1" si="617"/>
        <v>0</v>
      </c>
      <c r="AD270" s="7">
        <f t="shared" ca="1" si="617"/>
        <v>0</v>
      </c>
      <c r="AE270" s="7">
        <f t="shared" ca="1" si="617"/>
        <v>0</v>
      </c>
      <c r="AF270" s="7">
        <f t="shared" ca="1" si="617"/>
        <v>0</v>
      </c>
      <c r="AG270" s="7">
        <f t="shared" ca="1" si="617"/>
        <v>0</v>
      </c>
      <c r="AH270" s="7">
        <f t="shared" ca="1" si="617"/>
        <v>0</v>
      </c>
      <c r="AI270" s="7">
        <f t="shared" ca="1" si="617"/>
        <v>0</v>
      </c>
      <c r="AJ270" s="7">
        <f t="shared" ca="1" si="617"/>
        <v>0</v>
      </c>
      <c r="AK270" s="7">
        <f t="shared" ca="1" si="617"/>
        <v>0</v>
      </c>
      <c r="AL270" s="7">
        <f t="shared" ca="1" si="617"/>
        <v>0</v>
      </c>
      <c r="AM270" s="7">
        <f t="shared" si="617"/>
        <v>0</v>
      </c>
    </row>
    <row r="271" spans="1:39" x14ac:dyDescent="0.2">
      <c r="A271" s="3" t="s">
        <v>31</v>
      </c>
      <c r="C271" s="7">
        <f t="shared" ref="C271:AM271" ca="1" si="618">IFERROR(-IF(C266=0,VLOOKUP($A265,$8:$12,C$1+2,FALSE),0),0)</f>
        <v>0</v>
      </c>
      <c r="D271" s="7">
        <f t="shared" ca="1" si="618"/>
        <v>0</v>
      </c>
      <c r="E271" s="7">
        <f t="shared" ca="1" si="618"/>
        <v>0</v>
      </c>
      <c r="F271" s="7">
        <f t="shared" ca="1" si="618"/>
        <v>0</v>
      </c>
      <c r="G271" s="7">
        <f t="shared" ca="1" si="618"/>
        <v>0</v>
      </c>
      <c r="H271" s="7">
        <f t="shared" ca="1" si="618"/>
        <v>0</v>
      </c>
      <c r="I271" s="7">
        <f t="shared" ca="1" si="618"/>
        <v>0</v>
      </c>
      <c r="J271" s="7">
        <f t="shared" ca="1" si="618"/>
        <v>0</v>
      </c>
      <c r="K271" s="7">
        <f t="shared" ca="1" si="618"/>
        <v>0</v>
      </c>
      <c r="L271" s="7">
        <f t="shared" ca="1" si="618"/>
        <v>0</v>
      </c>
      <c r="M271" s="7">
        <f t="shared" ca="1" si="618"/>
        <v>0</v>
      </c>
      <c r="N271" s="7">
        <f t="shared" ca="1" si="618"/>
        <v>0</v>
      </c>
      <c r="O271" s="7">
        <f t="shared" ca="1" si="618"/>
        <v>0</v>
      </c>
      <c r="P271" s="7">
        <f t="shared" ca="1" si="618"/>
        <v>0</v>
      </c>
      <c r="Q271" s="7">
        <f t="shared" ca="1" si="618"/>
        <v>0</v>
      </c>
      <c r="R271" s="7">
        <f t="shared" ca="1" si="618"/>
        <v>0</v>
      </c>
      <c r="S271" s="7">
        <f t="shared" ca="1" si="618"/>
        <v>0</v>
      </c>
      <c r="T271" s="7">
        <f t="shared" ca="1" si="618"/>
        <v>0</v>
      </c>
      <c r="U271" s="7">
        <f t="shared" ca="1" si="618"/>
        <v>0</v>
      </c>
      <c r="V271" s="7">
        <f t="shared" ca="1" si="618"/>
        <v>0</v>
      </c>
      <c r="W271" s="7">
        <f t="shared" ca="1" si="618"/>
        <v>0</v>
      </c>
      <c r="X271" s="7">
        <f t="shared" ca="1" si="618"/>
        <v>0</v>
      </c>
      <c r="Y271" s="7">
        <f t="shared" ca="1" si="618"/>
        <v>0</v>
      </c>
      <c r="Z271" s="7">
        <f t="shared" ca="1" si="618"/>
        <v>0</v>
      </c>
      <c r="AA271" s="7">
        <f t="shared" ca="1" si="618"/>
        <v>0</v>
      </c>
      <c r="AB271" s="7">
        <f t="shared" ca="1" si="618"/>
        <v>0</v>
      </c>
      <c r="AC271" s="7">
        <f t="shared" ca="1" si="618"/>
        <v>0</v>
      </c>
      <c r="AD271" s="7">
        <f t="shared" ca="1" si="618"/>
        <v>0</v>
      </c>
      <c r="AE271" s="7">
        <f t="shared" ca="1" si="618"/>
        <v>0</v>
      </c>
      <c r="AF271" s="7">
        <f t="shared" ca="1" si="618"/>
        <v>0</v>
      </c>
      <c r="AG271" s="7">
        <f t="shared" ca="1" si="618"/>
        <v>0</v>
      </c>
      <c r="AH271" s="7">
        <f t="shared" ca="1" si="618"/>
        <v>0</v>
      </c>
      <c r="AI271" s="7">
        <f t="shared" ca="1" si="618"/>
        <v>0</v>
      </c>
      <c r="AJ271" s="7">
        <f t="shared" ca="1" si="618"/>
        <v>0</v>
      </c>
      <c r="AK271" s="7">
        <f t="shared" ca="1" si="618"/>
        <v>0</v>
      </c>
      <c r="AL271" s="7">
        <f t="shared" ca="1" si="618"/>
        <v>0</v>
      </c>
      <c r="AM271" s="7">
        <f t="shared" ca="1" si="618"/>
        <v>0</v>
      </c>
    </row>
    <row r="272" spans="1:39" x14ac:dyDescent="0.2">
      <c r="A272" s="3" t="s">
        <v>50</v>
      </c>
      <c r="C272" s="7">
        <f t="shared" ref="C272:AM272" ca="1" si="619">IFERROR(IF(C266=0,VLOOKUP($A265,$45:$49,C$1+2,FALSE),0),0)</f>
        <v>0</v>
      </c>
      <c r="D272" s="7">
        <f t="shared" ca="1" si="619"/>
        <v>0</v>
      </c>
      <c r="E272" s="7">
        <f t="shared" ca="1" si="619"/>
        <v>0</v>
      </c>
      <c r="F272" s="7">
        <f t="shared" ca="1" si="619"/>
        <v>0</v>
      </c>
      <c r="G272" s="7">
        <f t="shared" ca="1" si="619"/>
        <v>0</v>
      </c>
      <c r="H272" s="7">
        <f t="shared" ca="1" si="619"/>
        <v>0</v>
      </c>
      <c r="I272" s="7">
        <f t="shared" ca="1" si="619"/>
        <v>0</v>
      </c>
      <c r="J272" s="7">
        <f t="shared" ca="1" si="619"/>
        <v>0</v>
      </c>
      <c r="K272" s="7">
        <f t="shared" ca="1" si="619"/>
        <v>0</v>
      </c>
      <c r="L272" s="7">
        <f t="shared" ca="1" si="619"/>
        <v>0</v>
      </c>
      <c r="M272" s="7">
        <f t="shared" ca="1" si="619"/>
        <v>0</v>
      </c>
      <c r="N272" s="7">
        <f t="shared" ca="1" si="619"/>
        <v>0</v>
      </c>
      <c r="O272" s="7">
        <f t="shared" ca="1" si="619"/>
        <v>0</v>
      </c>
      <c r="P272" s="7">
        <f t="shared" ca="1" si="619"/>
        <v>0</v>
      </c>
      <c r="Q272" s="7">
        <f t="shared" ca="1" si="619"/>
        <v>0</v>
      </c>
      <c r="R272" s="7">
        <f t="shared" ca="1" si="619"/>
        <v>0</v>
      </c>
      <c r="S272" s="7">
        <f t="shared" ca="1" si="619"/>
        <v>0</v>
      </c>
      <c r="T272" s="7">
        <f t="shared" ca="1" si="619"/>
        <v>0</v>
      </c>
      <c r="U272" s="7">
        <f t="shared" ca="1" si="619"/>
        <v>0</v>
      </c>
      <c r="V272" s="7">
        <f t="shared" ca="1" si="619"/>
        <v>0</v>
      </c>
      <c r="W272" s="7">
        <f t="shared" ca="1" si="619"/>
        <v>0</v>
      </c>
      <c r="X272" s="7">
        <f t="shared" ca="1" si="619"/>
        <v>0</v>
      </c>
      <c r="Y272" s="7">
        <f t="shared" ca="1" si="619"/>
        <v>0</v>
      </c>
      <c r="Z272" s="7">
        <f t="shared" ca="1" si="619"/>
        <v>0</v>
      </c>
      <c r="AA272" s="7">
        <f t="shared" ca="1" si="619"/>
        <v>0</v>
      </c>
      <c r="AB272" s="7">
        <f t="shared" ca="1" si="619"/>
        <v>0</v>
      </c>
      <c r="AC272" s="7">
        <f t="shared" ca="1" si="619"/>
        <v>0</v>
      </c>
      <c r="AD272" s="7">
        <f t="shared" ca="1" si="619"/>
        <v>0</v>
      </c>
      <c r="AE272" s="7">
        <f t="shared" ca="1" si="619"/>
        <v>0</v>
      </c>
      <c r="AF272" s="7">
        <f t="shared" ca="1" si="619"/>
        <v>0</v>
      </c>
      <c r="AG272" s="7">
        <f t="shared" ca="1" si="619"/>
        <v>0</v>
      </c>
      <c r="AH272" s="7">
        <f t="shared" ca="1" si="619"/>
        <v>0</v>
      </c>
      <c r="AI272" s="7">
        <f t="shared" ca="1" si="619"/>
        <v>0</v>
      </c>
      <c r="AJ272" s="7">
        <f t="shared" ca="1" si="619"/>
        <v>0</v>
      </c>
      <c r="AK272" s="7">
        <f t="shared" ca="1" si="619"/>
        <v>0</v>
      </c>
      <c r="AL272" s="7">
        <f t="shared" ca="1" si="619"/>
        <v>0</v>
      </c>
      <c r="AM272" s="7">
        <f t="shared" ca="1" si="619"/>
        <v>0</v>
      </c>
    </row>
    <row r="273" spans="1:39" x14ac:dyDescent="0.2">
      <c r="A273" s="3" t="s">
        <v>36</v>
      </c>
      <c r="B273" s="14" t="str">
        <f>A265</f>
        <v>Sliema</v>
      </c>
      <c r="C273" s="7">
        <f t="shared" ref="C273:AM273" ca="1" si="620">IF(AND(C266&gt;0,C269=0),VLOOKUP($A265,$83:$92,C$1+2,FALSE),0)</f>
        <v>0</v>
      </c>
      <c r="D273" s="7">
        <f t="shared" ca="1" si="620"/>
        <v>0</v>
      </c>
      <c r="E273" s="7">
        <f t="shared" ca="1" si="620"/>
        <v>0</v>
      </c>
      <c r="F273" s="7">
        <f t="shared" ca="1" si="620"/>
        <v>0</v>
      </c>
      <c r="G273" s="7">
        <f t="shared" ca="1" si="620"/>
        <v>0</v>
      </c>
      <c r="H273" s="7">
        <f t="shared" ca="1" si="620"/>
        <v>0</v>
      </c>
      <c r="I273" s="7">
        <f t="shared" ca="1" si="620"/>
        <v>0</v>
      </c>
      <c r="J273" s="7">
        <f t="shared" ca="1" si="620"/>
        <v>0</v>
      </c>
      <c r="K273" s="7">
        <f t="shared" ca="1" si="620"/>
        <v>0</v>
      </c>
      <c r="L273" s="7">
        <f t="shared" ca="1" si="620"/>
        <v>0</v>
      </c>
      <c r="M273" s="7">
        <f t="shared" ca="1" si="620"/>
        <v>0</v>
      </c>
      <c r="N273" s="7">
        <f t="shared" ca="1" si="620"/>
        <v>0</v>
      </c>
      <c r="O273" s="7">
        <f t="shared" ca="1" si="620"/>
        <v>0</v>
      </c>
      <c r="P273" s="7">
        <f t="shared" ca="1" si="620"/>
        <v>0</v>
      </c>
      <c r="Q273" s="7">
        <f t="shared" ca="1" si="620"/>
        <v>0</v>
      </c>
      <c r="R273" s="7">
        <f t="shared" ca="1" si="620"/>
        <v>0</v>
      </c>
      <c r="S273" s="7">
        <f t="shared" ca="1" si="620"/>
        <v>0</v>
      </c>
      <c r="T273" s="7">
        <f t="shared" ca="1" si="620"/>
        <v>0</v>
      </c>
      <c r="U273" s="7">
        <f t="shared" ca="1" si="620"/>
        <v>0</v>
      </c>
      <c r="V273" s="7">
        <f t="shared" ca="1" si="620"/>
        <v>0</v>
      </c>
      <c r="W273" s="7">
        <f t="shared" ca="1" si="620"/>
        <v>0</v>
      </c>
      <c r="X273" s="7">
        <f t="shared" ca="1" si="620"/>
        <v>0</v>
      </c>
      <c r="Y273" s="7">
        <f t="shared" ca="1" si="620"/>
        <v>0</v>
      </c>
      <c r="Z273" s="7">
        <f t="shared" ca="1" si="620"/>
        <v>0</v>
      </c>
      <c r="AA273" s="7">
        <f t="shared" ca="1" si="620"/>
        <v>0</v>
      </c>
      <c r="AB273" s="7">
        <f t="shared" ca="1" si="620"/>
        <v>0</v>
      </c>
      <c r="AC273" s="7">
        <f t="shared" ca="1" si="620"/>
        <v>0</v>
      </c>
      <c r="AD273" s="7">
        <f t="shared" ca="1" si="620"/>
        <v>0</v>
      </c>
      <c r="AE273" s="7">
        <f t="shared" ca="1" si="620"/>
        <v>0</v>
      </c>
      <c r="AF273" s="7">
        <f t="shared" ca="1" si="620"/>
        <v>0</v>
      </c>
      <c r="AG273" s="7">
        <f t="shared" ca="1" si="620"/>
        <v>0</v>
      </c>
      <c r="AH273" s="7">
        <f t="shared" ca="1" si="620"/>
        <v>0</v>
      </c>
      <c r="AI273" s="7">
        <f t="shared" ca="1" si="620"/>
        <v>0</v>
      </c>
      <c r="AJ273" s="7">
        <f t="shared" ca="1" si="620"/>
        <v>0</v>
      </c>
      <c r="AK273" s="7">
        <f t="shared" ca="1" si="620"/>
        <v>0</v>
      </c>
      <c r="AL273" s="7">
        <f t="shared" ca="1" si="620"/>
        <v>0</v>
      </c>
      <c r="AM273" s="7">
        <f t="shared" ca="1" si="620"/>
        <v>0</v>
      </c>
    </row>
    <row r="274" spans="1:39" x14ac:dyDescent="0.2">
      <c r="A274" s="3" t="s">
        <v>37</v>
      </c>
      <c r="C274" s="7">
        <f ca="1">-C267+SUM(C270:C273)</f>
        <v>0</v>
      </c>
      <c r="D274" s="7">
        <f t="shared" ref="D274" ca="1" si="621">-D267+SUM(D270:D273)</f>
        <v>0</v>
      </c>
      <c r="E274" s="7">
        <f t="shared" ref="E274:AM274" ca="1" si="622">-E267+SUM(E270:E273)</f>
        <v>0</v>
      </c>
      <c r="F274" s="7">
        <f t="shared" ca="1" si="622"/>
        <v>0</v>
      </c>
      <c r="G274" s="7">
        <f t="shared" ca="1" si="622"/>
        <v>0</v>
      </c>
      <c r="H274" s="7">
        <f t="shared" ca="1" si="622"/>
        <v>0</v>
      </c>
      <c r="I274" s="7">
        <f t="shared" ca="1" si="622"/>
        <v>0</v>
      </c>
      <c r="J274" s="7">
        <f t="shared" ca="1" si="622"/>
        <v>0</v>
      </c>
      <c r="K274" s="7">
        <f t="shared" ca="1" si="622"/>
        <v>0</v>
      </c>
      <c r="L274" s="7">
        <f t="shared" ca="1" si="622"/>
        <v>0</v>
      </c>
      <c r="M274" s="7">
        <f t="shared" ca="1" si="622"/>
        <v>0</v>
      </c>
      <c r="N274" s="7">
        <f t="shared" ca="1" si="622"/>
        <v>0</v>
      </c>
      <c r="O274" s="7">
        <f t="shared" ca="1" si="622"/>
        <v>0</v>
      </c>
      <c r="P274" s="7">
        <f t="shared" ca="1" si="622"/>
        <v>0</v>
      </c>
      <c r="Q274" s="7">
        <f t="shared" ca="1" si="622"/>
        <v>0</v>
      </c>
      <c r="R274" s="7">
        <f t="shared" ca="1" si="622"/>
        <v>0</v>
      </c>
      <c r="S274" s="7">
        <f t="shared" ca="1" si="622"/>
        <v>0</v>
      </c>
      <c r="T274" s="7">
        <f t="shared" ca="1" si="622"/>
        <v>0</v>
      </c>
      <c r="U274" s="7">
        <f t="shared" ca="1" si="622"/>
        <v>0</v>
      </c>
      <c r="V274" s="7">
        <f t="shared" ca="1" si="622"/>
        <v>0</v>
      </c>
      <c r="W274" s="7">
        <f t="shared" ca="1" si="622"/>
        <v>0</v>
      </c>
      <c r="X274" s="7">
        <f t="shared" ca="1" si="622"/>
        <v>0</v>
      </c>
      <c r="Y274" s="7">
        <f t="shared" ca="1" si="622"/>
        <v>0</v>
      </c>
      <c r="Z274" s="7">
        <f t="shared" ca="1" si="622"/>
        <v>0</v>
      </c>
      <c r="AA274" s="7">
        <f t="shared" ca="1" si="622"/>
        <v>0</v>
      </c>
      <c r="AB274" s="7">
        <f t="shared" ca="1" si="622"/>
        <v>0</v>
      </c>
      <c r="AC274" s="7">
        <f t="shared" ca="1" si="622"/>
        <v>0</v>
      </c>
      <c r="AD274" s="7">
        <f t="shared" ca="1" si="622"/>
        <v>0</v>
      </c>
      <c r="AE274" s="7">
        <f t="shared" ca="1" si="622"/>
        <v>0</v>
      </c>
      <c r="AF274" s="7">
        <f t="shared" ca="1" si="622"/>
        <v>0</v>
      </c>
      <c r="AG274" s="7">
        <f t="shared" ca="1" si="622"/>
        <v>0</v>
      </c>
      <c r="AH274" s="7">
        <f t="shared" ca="1" si="622"/>
        <v>0</v>
      </c>
      <c r="AI274" s="7">
        <f t="shared" ca="1" si="622"/>
        <v>0</v>
      </c>
      <c r="AJ274" s="7">
        <f t="shared" ca="1" si="622"/>
        <v>0</v>
      </c>
      <c r="AK274" s="7">
        <f t="shared" ca="1" si="622"/>
        <v>0</v>
      </c>
      <c r="AL274" s="7">
        <f t="shared" ca="1" si="622"/>
        <v>0</v>
      </c>
      <c r="AM274" s="7">
        <f t="shared" ca="1" si="622"/>
        <v>0</v>
      </c>
    </row>
    <row r="275" spans="1:39" x14ac:dyDescent="0.2">
      <c r="A275" s="3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x14ac:dyDescent="0.2">
      <c r="A276" s="3" t="s">
        <v>71</v>
      </c>
      <c r="C276" s="7">
        <f ca="1">C262+SUM($C274:C274)</f>
        <v>12809.375000000015</v>
      </c>
      <c r="D276" s="7">
        <f ca="1">D262+SUM($C274:D274)</f>
        <v>24162.215625000026</v>
      </c>
      <c r="E276" s="7">
        <f ca="1">E262+SUM($C274:E274)</f>
        <v>41813.279140625047</v>
      </c>
      <c r="F276" s="7">
        <f ca="1">F262+SUM($C274:F274)</f>
        <v>41803.568657505195</v>
      </c>
      <c r="G276" s="7">
        <f ca="1">G262+SUM($C274:G274)</f>
        <v>73524.627177360788</v>
      </c>
      <c r="H276" s="7">
        <f ca="1">H262+SUM($C274:H274)</f>
        <v>111945.76563583669</v>
      </c>
      <c r="I276" s="7">
        <f ca="1">I262+SUM($C274:I274)</f>
        <v>179058.63493181192</v>
      </c>
      <c r="J276" s="7">
        <f ca="1">J262+SUM($C274:J274)</f>
        <v>250182.50067145552</v>
      </c>
      <c r="K276" s="7">
        <f ca="1">K262+SUM($C274:K274)</f>
        <v>308095.70278366783</v>
      </c>
      <c r="L276" s="7">
        <f ca="1">L262+SUM($C274:L274)</f>
        <v>453640.47280939861</v>
      </c>
      <c r="M276" s="7">
        <f ca="1">M262+SUM($C274:M274)</f>
        <v>510683.42164108111</v>
      </c>
      <c r="N276" s="7">
        <f ca="1">N262+SUM($C274:N274)</f>
        <v>621525.85327123245</v>
      </c>
      <c r="O276" s="7">
        <f ca="1">O262+SUM($C274:O274)</f>
        <v>738362.94313265686</v>
      </c>
      <c r="P276" s="7">
        <f ca="1">P262+SUM($C274:P274)</f>
        <v>861449.23653079802</v>
      </c>
      <c r="Q276" s="7">
        <f ca="1">Q262+SUM($C274:Q274)</f>
        <v>991048.98204238666</v>
      </c>
      <c r="R276" s="7">
        <f ca="1">R262+SUM($C274:R274)</f>
        <v>1127436.4792682112</v>
      </c>
      <c r="S276" s="7">
        <f ca="1">S262+SUM($C274:S274)</f>
        <v>1270896.4385593834</v>
      </c>
      <c r="T276" s="7">
        <f ca="1">T262+SUM($C274:T274)</f>
        <v>1312493.9107349962</v>
      </c>
      <c r="U276" s="7">
        <f ca="1">U262+SUM($C274:U274)</f>
        <v>1363530.8459680481</v>
      </c>
      <c r="V276" s="7">
        <f ca="1">V262+SUM($C274:V274)</f>
        <v>1416566.1280568431</v>
      </c>
      <c r="W276" s="7">
        <f ca="1">W262+SUM($C274:W274)</f>
        <v>1471676.7180232967</v>
      </c>
      <c r="X276" s="7">
        <f ca="1">X262+SUM($C274:X274)</f>
        <v>1528942.4442265448</v>
      </c>
      <c r="Y276" s="7">
        <f ca="1">Y262+SUM($C274:Y274)</f>
        <v>1567529.0131961552</v>
      </c>
      <c r="Z276" s="7">
        <f ca="1">Z262+SUM($C274:Z274)</f>
        <v>1607393.5393787338</v>
      </c>
      <c r="AA276" s="7">
        <f ca="1">AA262+SUM($C274:AA274)</f>
        <v>1648585.8680630873</v>
      </c>
      <c r="AB276" s="7">
        <f ca="1">AB262+SUM($C274:AB274)</f>
        <v>1691157.8400002168</v>
      </c>
      <c r="AC276" s="7">
        <f ca="1">AC262+SUM($C274:AC274)</f>
        <v>1735163.3690807538</v>
      </c>
      <c r="AD276" s="7">
        <f ca="1">AD262+SUM($C274:AD274)</f>
        <v>1780658.5229208304</v>
      </c>
      <c r="AE276" s="7">
        <f ca="1">AE262+SUM($C274:AE274)</f>
        <v>1837808.8624938719</v>
      </c>
      <c r="AF276" s="7">
        <f ca="1">AF262+SUM($C274:AF274)</f>
        <v>1897073.1235563438</v>
      </c>
      <c r="AG276" s="7">
        <f ca="1">AG262+SUM($C274:AG274)</f>
        <v>1958533.3002031124</v>
      </c>
      <c r="AH276" s="7">
        <f ca="1">AH262+SUM($C274:AH274)</f>
        <v>2022274.5255423354</v>
      </c>
      <c r="AI276" s="7">
        <f ca="1">AI262+SUM($C274:AI274)</f>
        <v>2088385.1882151016</v>
      </c>
      <c r="AJ276" s="7">
        <f ca="1">AJ262+SUM($C274:AJ274)</f>
        <v>2156957.0531036272</v>
      </c>
      <c r="AK276" s="7">
        <f ca="1">AK262+SUM($C274:AK274)</f>
        <v>2228085.3863743474</v>
      </c>
      <c r="AL276" s="7">
        <f ca="1">AL262+SUM($C274:AL274)</f>
        <v>2301869.0850072289</v>
      </c>
      <c r="AM276" s="7">
        <f ca="1">AM262+SUM($C274:AM274)</f>
        <v>2378410.8109677895</v>
      </c>
    </row>
    <row r="277" spans="1:39" x14ac:dyDescent="0.2">
      <c r="A277" s="3" t="s">
        <v>68</v>
      </c>
      <c r="C277" s="7">
        <f t="shared" ref="C277:AM277" ca="1" si="623">MAX(C276+buffer,0)-MAX(C262+buffer,0)</f>
        <v>0</v>
      </c>
      <c r="D277" s="7">
        <f t="shared" ca="1" si="623"/>
        <v>0</v>
      </c>
      <c r="E277" s="7">
        <f t="shared" ca="1" si="623"/>
        <v>0</v>
      </c>
      <c r="F277" s="7">
        <f t="shared" ca="1" si="623"/>
        <v>0</v>
      </c>
      <c r="G277" s="7">
        <f t="shared" ca="1" si="623"/>
        <v>0</v>
      </c>
      <c r="H277" s="7">
        <f t="shared" ca="1" si="623"/>
        <v>0</v>
      </c>
      <c r="I277" s="7">
        <f t="shared" ca="1" si="623"/>
        <v>0</v>
      </c>
      <c r="J277" s="7">
        <f t="shared" ca="1" si="623"/>
        <v>0</v>
      </c>
      <c r="K277" s="7">
        <f t="shared" ca="1" si="623"/>
        <v>0</v>
      </c>
      <c r="L277" s="7">
        <f t="shared" ca="1" si="623"/>
        <v>0</v>
      </c>
      <c r="M277" s="7">
        <f t="shared" ca="1" si="623"/>
        <v>0</v>
      </c>
      <c r="N277" s="7">
        <f t="shared" ca="1" si="623"/>
        <v>0</v>
      </c>
      <c r="O277" s="7">
        <f t="shared" ca="1" si="623"/>
        <v>0</v>
      </c>
      <c r="P277" s="7">
        <f t="shared" ca="1" si="623"/>
        <v>0</v>
      </c>
      <c r="Q277" s="7">
        <f t="shared" ca="1" si="623"/>
        <v>0</v>
      </c>
      <c r="R277" s="7">
        <f t="shared" ca="1" si="623"/>
        <v>0</v>
      </c>
      <c r="S277" s="7">
        <f t="shared" ca="1" si="623"/>
        <v>0</v>
      </c>
      <c r="T277" s="7">
        <f t="shared" ca="1" si="623"/>
        <v>0</v>
      </c>
      <c r="U277" s="7">
        <f t="shared" ca="1" si="623"/>
        <v>0</v>
      </c>
      <c r="V277" s="7">
        <f t="shared" ca="1" si="623"/>
        <v>0</v>
      </c>
      <c r="W277" s="7">
        <f t="shared" ca="1" si="623"/>
        <v>0</v>
      </c>
      <c r="X277" s="7">
        <f t="shared" ca="1" si="623"/>
        <v>0</v>
      </c>
      <c r="Y277" s="7">
        <f t="shared" ca="1" si="623"/>
        <v>0</v>
      </c>
      <c r="Z277" s="7">
        <f t="shared" ca="1" si="623"/>
        <v>0</v>
      </c>
      <c r="AA277" s="7">
        <f t="shared" ca="1" si="623"/>
        <v>0</v>
      </c>
      <c r="AB277" s="7">
        <f t="shared" ca="1" si="623"/>
        <v>0</v>
      </c>
      <c r="AC277" s="7">
        <f t="shared" ca="1" si="623"/>
        <v>0</v>
      </c>
      <c r="AD277" s="7">
        <f t="shared" ca="1" si="623"/>
        <v>0</v>
      </c>
      <c r="AE277" s="7">
        <f t="shared" ca="1" si="623"/>
        <v>0</v>
      </c>
      <c r="AF277" s="7">
        <f t="shared" ca="1" si="623"/>
        <v>0</v>
      </c>
      <c r="AG277" s="7">
        <f t="shared" ca="1" si="623"/>
        <v>0</v>
      </c>
      <c r="AH277" s="7">
        <f t="shared" ca="1" si="623"/>
        <v>0</v>
      </c>
      <c r="AI277" s="7">
        <f t="shared" ca="1" si="623"/>
        <v>0</v>
      </c>
      <c r="AJ277" s="7">
        <f t="shared" ca="1" si="623"/>
        <v>0</v>
      </c>
      <c r="AK277" s="7">
        <f t="shared" ca="1" si="623"/>
        <v>0</v>
      </c>
      <c r="AL277" s="7">
        <f t="shared" ca="1" si="623"/>
        <v>0</v>
      </c>
      <c r="AM277" s="7">
        <f t="shared" ca="1" si="623"/>
        <v>0</v>
      </c>
    </row>
    <row r="278" spans="1:39" x14ac:dyDescent="0.2">
      <c r="A278" s="3" t="s">
        <v>69</v>
      </c>
      <c r="C278" s="7">
        <f ca="1">C277*Inputs!$B$259</f>
        <v>0</v>
      </c>
      <c r="D278" s="7">
        <f ca="1">D277*Inputs!$B$259</f>
        <v>0</v>
      </c>
      <c r="E278" s="7">
        <f ca="1">E277*Inputs!$B$259</f>
        <v>0</v>
      </c>
      <c r="F278" s="7">
        <f ca="1">F277*Inputs!$B$259</f>
        <v>0</v>
      </c>
      <c r="G278" s="7">
        <f ca="1">G277*Inputs!$B$259</f>
        <v>0</v>
      </c>
      <c r="H278" s="7">
        <f ca="1">H277*Inputs!$B$259</f>
        <v>0</v>
      </c>
      <c r="I278" s="7">
        <f ca="1">I277*Inputs!$B$259</f>
        <v>0</v>
      </c>
      <c r="J278" s="7">
        <f ca="1">J277*Inputs!$B$259</f>
        <v>0</v>
      </c>
      <c r="K278" s="7">
        <f ca="1">K277*Inputs!$B$259</f>
        <v>0</v>
      </c>
      <c r="L278" s="7">
        <f ca="1">L277*Inputs!$B$259</f>
        <v>0</v>
      </c>
      <c r="M278" s="7">
        <f ca="1">M277*Inputs!$B$259</f>
        <v>0</v>
      </c>
      <c r="N278" s="7">
        <f ca="1">N277*Inputs!$B$259</f>
        <v>0</v>
      </c>
      <c r="O278" s="7">
        <f ca="1">O277*Inputs!$B$259</f>
        <v>0</v>
      </c>
      <c r="P278" s="7">
        <f ca="1">P277*Inputs!$B$259</f>
        <v>0</v>
      </c>
      <c r="Q278" s="7">
        <f ca="1">Q277*Inputs!$B$259</f>
        <v>0</v>
      </c>
      <c r="R278" s="7">
        <f ca="1">R277*Inputs!$B$259</f>
        <v>0</v>
      </c>
      <c r="S278" s="7">
        <f ca="1">S277*Inputs!$B$259</f>
        <v>0</v>
      </c>
      <c r="T278" s="7">
        <f ca="1">T277*Inputs!$B$259</f>
        <v>0</v>
      </c>
      <c r="U278" s="7">
        <f ca="1">U277*Inputs!$B$259</f>
        <v>0</v>
      </c>
      <c r="V278" s="7">
        <f ca="1">V277*Inputs!$B$259</f>
        <v>0</v>
      </c>
      <c r="W278" s="7">
        <f ca="1">W277*Inputs!$B$259</f>
        <v>0</v>
      </c>
      <c r="X278" s="7">
        <f ca="1">X277*Inputs!$B$259</f>
        <v>0</v>
      </c>
      <c r="Y278" s="7">
        <f ca="1">Y277*Inputs!$B$259</f>
        <v>0</v>
      </c>
      <c r="Z278" s="7">
        <f ca="1">Z277*Inputs!$B$259</f>
        <v>0</v>
      </c>
      <c r="AA278" s="7">
        <f ca="1">AA277*Inputs!$B$259</f>
        <v>0</v>
      </c>
      <c r="AB278" s="7">
        <f ca="1">AB277*Inputs!$B$259</f>
        <v>0</v>
      </c>
      <c r="AC278" s="7">
        <f ca="1">AC277*Inputs!$B$259</f>
        <v>0</v>
      </c>
      <c r="AD278" s="7">
        <f ca="1">AD277*Inputs!$B$259</f>
        <v>0</v>
      </c>
      <c r="AE278" s="7">
        <f ca="1">AE277*Inputs!$B$259</f>
        <v>0</v>
      </c>
      <c r="AF278" s="7">
        <f ca="1">AF277*Inputs!$B$259</f>
        <v>0</v>
      </c>
      <c r="AG278" s="7">
        <f ca="1">AG277*Inputs!$B$259</f>
        <v>0</v>
      </c>
      <c r="AH278" s="7">
        <f ca="1">AH277*Inputs!$B$259</f>
        <v>0</v>
      </c>
      <c r="AI278" s="7">
        <f ca="1">AI277*Inputs!$B$259</f>
        <v>0</v>
      </c>
      <c r="AJ278" s="7">
        <f ca="1">AJ277*Inputs!$B$259</f>
        <v>0</v>
      </c>
      <c r="AK278" s="7">
        <f ca="1">AK277*Inputs!$B$259</f>
        <v>0</v>
      </c>
      <c r="AL278" s="7">
        <f ca="1">AL277*Inputs!$B$259</f>
        <v>0</v>
      </c>
      <c r="AM278" s="7">
        <f ca="1">AM277*Inputs!$B$259</f>
        <v>0</v>
      </c>
    </row>
    <row r="279" spans="1:39" x14ac:dyDescent="0.2">
      <c r="A279" s="3" t="s">
        <v>150</v>
      </c>
      <c r="C279" s="7">
        <f ca="1">C276+SUM($C278:C278)</f>
        <v>12809.375000000015</v>
      </c>
      <c r="D279" s="7">
        <f ca="1">D276+SUM($C278:D278)</f>
        <v>24162.215625000026</v>
      </c>
      <c r="E279" s="7">
        <f ca="1">E276+SUM($C278:E278)</f>
        <v>41813.279140625047</v>
      </c>
      <c r="F279" s="7">
        <f ca="1">F276+SUM($C278:F278)</f>
        <v>41803.568657505195</v>
      </c>
      <c r="G279" s="7">
        <f ca="1">G276+SUM($C278:G278)</f>
        <v>73524.627177360788</v>
      </c>
      <c r="H279" s="7">
        <f ca="1">H276+SUM($C278:H278)</f>
        <v>111945.76563583669</v>
      </c>
      <c r="I279" s="7">
        <f ca="1">I276+SUM($C278:I278)</f>
        <v>179058.63493181192</v>
      </c>
      <c r="J279" s="7">
        <f ca="1">J276+SUM($C278:J278)</f>
        <v>250182.50067145552</v>
      </c>
      <c r="K279" s="7">
        <f ca="1">K276+SUM($C278:K278)</f>
        <v>308095.70278366783</v>
      </c>
      <c r="L279" s="7">
        <f ca="1">L276+SUM($C278:L278)</f>
        <v>453640.47280939861</v>
      </c>
      <c r="M279" s="7">
        <f ca="1">M276+SUM($C278:M278)</f>
        <v>510683.42164108111</v>
      </c>
      <c r="N279" s="7">
        <f ca="1">N276+SUM($C278:N278)</f>
        <v>621525.85327123245</v>
      </c>
      <c r="O279" s="7">
        <f ca="1">O276+SUM($C278:O278)</f>
        <v>738362.94313265686</v>
      </c>
      <c r="P279" s="7">
        <f ca="1">P276+SUM($C278:P278)</f>
        <v>861449.23653079802</v>
      </c>
      <c r="Q279" s="7">
        <f ca="1">Q276+SUM($C278:Q278)</f>
        <v>991048.98204238666</v>
      </c>
      <c r="R279" s="7">
        <f ca="1">R276+SUM($C278:R278)</f>
        <v>1127436.4792682112</v>
      </c>
      <c r="S279" s="7">
        <f ca="1">S276+SUM($C278:S278)</f>
        <v>1270896.4385593834</v>
      </c>
      <c r="T279" s="7">
        <f ca="1">T276+SUM($C278:T278)</f>
        <v>1312493.9107349962</v>
      </c>
      <c r="U279" s="7">
        <f ca="1">U276+SUM($C278:U278)</f>
        <v>1363530.8459680481</v>
      </c>
      <c r="V279" s="7">
        <f ca="1">V276+SUM($C278:V278)</f>
        <v>1416566.1280568431</v>
      </c>
      <c r="W279" s="7">
        <f ca="1">W276+SUM($C278:W278)</f>
        <v>1471676.7180232967</v>
      </c>
      <c r="X279" s="7">
        <f ca="1">X276+SUM($C278:X278)</f>
        <v>1528942.4442265448</v>
      </c>
      <c r="Y279" s="7">
        <f ca="1">Y276+SUM($C278:Y278)</f>
        <v>1567529.0131961552</v>
      </c>
      <c r="Z279" s="7">
        <f ca="1">Z276+SUM($C278:Z278)</f>
        <v>1607393.5393787338</v>
      </c>
      <c r="AA279" s="7">
        <f ca="1">AA276+SUM($C278:AA278)</f>
        <v>1648585.8680630873</v>
      </c>
      <c r="AB279" s="7">
        <f ca="1">AB276+SUM($C278:AB278)</f>
        <v>1691157.8400002168</v>
      </c>
      <c r="AC279" s="7">
        <f ca="1">AC276+SUM($C278:AC278)</f>
        <v>1735163.3690807538</v>
      </c>
      <c r="AD279" s="7">
        <f ca="1">AD276+SUM($C278:AD278)</f>
        <v>1780658.5229208304</v>
      </c>
      <c r="AE279" s="7">
        <f ca="1">AE276+SUM($C278:AE278)</f>
        <v>1837808.8624938719</v>
      </c>
      <c r="AF279" s="7">
        <f ca="1">AF276+SUM($C278:AF278)</f>
        <v>1897073.1235563438</v>
      </c>
      <c r="AG279" s="7">
        <f ca="1">AG276+SUM($C278:AG278)</f>
        <v>1958533.3002031124</v>
      </c>
      <c r="AH279" s="7">
        <f ca="1">AH276+SUM($C278:AH278)</f>
        <v>2022274.5255423354</v>
      </c>
      <c r="AI279" s="7">
        <f ca="1">AI276+SUM($C278:AI278)</f>
        <v>2088385.1882151016</v>
      </c>
      <c r="AJ279" s="7">
        <f ca="1">AJ276+SUM($C278:AJ278)</f>
        <v>2156957.0531036272</v>
      </c>
      <c r="AK279" s="7">
        <f ca="1">AK276+SUM($C278:AK278)</f>
        <v>2228085.3863743474</v>
      </c>
      <c r="AL279" s="7">
        <f ca="1">AL276+SUM($C278:AL278)</f>
        <v>2301869.0850072289</v>
      </c>
      <c r="AM279" s="7">
        <f ca="1">AM276+SUM($C278:AM278)</f>
        <v>2378410.8109677895</v>
      </c>
    </row>
    <row r="280" spans="1:39" x14ac:dyDescent="0.2">
      <c r="A280" s="3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x14ac:dyDescent="0.2">
      <c r="A281" s="3" t="s">
        <v>148</v>
      </c>
      <c r="C281" s="7">
        <f t="shared" ref="C281:AM281" ca="1" si="624">C279+buffer</f>
        <v>62809.375000000015</v>
      </c>
      <c r="D281" s="7">
        <f t="shared" ca="1" si="624"/>
        <v>74162.215625000026</v>
      </c>
      <c r="E281" s="7">
        <f t="shared" ca="1" si="624"/>
        <v>91813.279140625047</v>
      </c>
      <c r="F281" s="7">
        <f t="shared" ca="1" si="624"/>
        <v>91803.568657505195</v>
      </c>
      <c r="G281" s="7">
        <f t="shared" ca="1" si="624"/>
        <v>123524.62717736079</v>
      </c>
      <c r="H281" s="7">
        <f t="shared" ca="1" si="624"/>
        <v>161945.76563583669</v>
      </c>
      <c r="I281" s="7">
        <f t="shared" ca="1" si="624"/>
        <v>229058.63493181192</v>
      </c>
      <c r="J281" s="7">
        <f t="shared" ca="1" si="624"/>
        <v>300182.50067145552</v>
      </c>
      <c r="K281" s="7">
        <f t="shared" ca="1" si="624"/>
        <v>358095.70278366783</v>
      </c>
      <c r="L281" s="7">
        <f t="shared" ca="1" si="624"/>
        <v>503640.47280939861</v>
      </c>
      <c r="M281" s="7">
        <f t="shared" ca="1" si="624"/>
        <v>560683.42164108111</v>
      </c>
      <c r="N281" s="7">
        <f t="shared" ca="1" si="624"/>
        <v>671525.85327123245</v>
      </c>
      <c r="O281" s="7">
        <f t="shared" ca="1" si="624"/>
        <v>788362.94313265686</v>
      </c>
      <c r="P281" s="7">
        <f t="shared" ca="1" si="624"/>
        <v>911449.23653079802</v>
      </c>
      <c r="Q281" s="7">
        <f t="shared" ca="1" si="624"/>
        <v>1041048.9820423867</v>
      </c>
      <c r="R281" s="7">
        <f t="shared" ca="1" si="624"/>
        <v>1177436.4792682112</v>
      </c>
      <c r="S281" s="7">
        <f t="shared" ca="1" si="624"/>
        <v>1320896.4385593834</v>
      </c>
      <c r="T281" s="7">
        <f t="shared" ca="1" si="624"/>
        <v>1362493.9107349962</v>
      </c>
      <c r="U281" s="7">
        <f t="shared" ca="1" si="624"/>
        <v>1413530.8459680481</v>
      </c>
      <c r="V281" s="7">
        <f t="shared" ca="1" si="624"/>
        <v>1466566.1280568431</v>
      </c>
      <c r="W281" s="7">
        <f t="shared" ca="1" si="624"/>
        <v>1521676.7180232967</v>
      </c>
      <c r="X281" s="7">
        <f t="shared" ca="1" si="624"/>
        <v>1578942.4442265448</v>
      </c>
      <c r="Y281" s="7">
        <f t="shared" ca="1" si="624"/>
        <v>1617529.0131961552</v>
      </c>
      <c r="Z281" s="7">
        <f t="shared" ca="1" si="624"/>
        <v>1657393.5393787338</v>
      </c>
      <c r="AA281" s="7">
        <f t="shared" ca="1" si="624"/>
        <v>1698585.8680630873</v>
      </c>
      <c r="AB281" s="7">
        <f t="shared" ca="1" si="624"/>
        <v>1741157.8400002168</v>
      </c>
      <c r="AC281" s="7">
        <f t="shared" ca="1" si="624"/>
        <v>1785163.3690807538</v>
      </c>
      <c r="AD281" s="7">
        <f t="shared" ca="1" si="624"/>
        <v>1830658.5229208304</v>
      </c>
      <c r="AE281" s="7">
        <f t="shared" ca="1" si="624"/>
        <v>1887808.8624938719</v>
      </c>
      <c r="AF281" s="7">
        <f t="shared" ca="1" si="624"/>
        <v>1947073.1235563438</v>
      </c>
      <c r="AG281" s="7">
        <f t="shared" ca="1" si="624"/>
        <v>2008533.3002031124</v>
      </c>
      <c r="AH281" s="7">
        <f t="shared" ca="1" si="624"/>
        <v>2072274.5255423354</v>
      </c>
      <c r="AI281" s="7">
        <f t="shared" ca="1" si="624"/>
        <v>2138385.1882151016</v>
      </c>
      <c r="AJ281" s="7">
        <f t="shared" ca="1" si="624"/>
        <v>2206957.0531036272</v>
      </c>
      <c r="AK281" s="7">
        <f t="shared" ca="1" si="624"/>
        <v>2278085.3863743474</v>
      </c>
      <c r="AL281" s="7">
        <f t="shared" ca="1" si="624"/>
        <v>2351869.0850072289</v>
      </c>
      <c r="AM281" s="7">
        <f t="shared" ca="1" si="624"/>
        <v>2428410.8109677895</v>
      </c>
    </row>
    <row r="282" spans="1:39" x14ac:dyDescent="0.2">
      <c r="A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29" t="s">
        <v>59</v>
      </c>
      <c r="B283" s="2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x14ac:dyDescent="0.2">
      <c r="A284" s="3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18" t="s">
        <v>195</v>
      </c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1:39" x14ac:dyDescent="0.2">
      <c r="A286" s="22" t="str">
        <f>B$120</f>
        <v>Painting</v>
      </c>
      <c r="B286" s="19"/>
      <c r="C286" s="20">
        <f ca="1">SUM($C114:C114)</f>
        <v>0</v>
      </c>
      <c r="D286" s="20">
        <f ca="1">SUM($C114:D114)</f>
        <v>0</v>
      </c>
      <c r="E286" s="20">
        <f ca="1">SUM($C114:E114)</f>
        <v>0</v>
      </c>
      <c r="F286" s="20">
        <f ca="1">SUM($C114:F114)</f>
        <v>0</v>
      </c>
      <c r="G286" s="20">
        <f ca="1">SUM($C114:G114)</f>
        <v>0</v>
      </c>
      <c r="H286" s="20">
        <f ca="1">SUM($C114:H114)</f>
        <v>0</v>
      </c>
      <c r="I286" s="20">
        <f ca="1">SUM($C114:I114)</f>
        <v>0</v>
      </c>
      <c r="J286" s="20">
        <f ca="1">SUM($C114:J114)</f>
        <v>0</v>
      </c>
      <c r="K286" s="20">
        <f ca="1">SUM($C114:K114)</f>
        <v>0</v>
      </c>
      <c r="L286" s="20">
        <f ca="1">SUM($C114:L114)</f>
        <v>0</v>
      </c>
      <c r="M286" s="20">
        <f ca="1">SUM($C114:M114)</f>
        <v>0</v>
      </c>
      <c r="N286" s="20">
        <f ca="1">SUM($C114:N114)</f>
        <v>0</v>
      </c>
      <c r="O286" s="20">
        <f ca="1">SUM($C114:O114)</f>
        <v>0</v>
      </c>
      <c r="P286" s="20">
        <f ca="1">SUM($C114:P114)</f>
        <v>0</v>
      </c>
      <c r="Q286" s="20">
        <f ca="1">SUM($C114:Q114)</f>
        <v>0</v>
      </c>
      <c r="R286" s="20">
        <f ca="1">SUM($C114:R114)</f>
        <v>0</v>
      </c>
      <c r="S286" s="20">
        <f ca="1">SUM($C114:S114)</f>
        <v>0</v>
      </c>
      <c r="T286" s="20">
        <f ca="1">SUM($C114:T114)</f>
        <v>0</v>
      </c>
      <c r="U286" s="20">
        <f ca="1">SUM($C114:U114)</f>
        <v>0</v>
      </c>
      <c r="V286" s="20">
        <f ca="1">SUM($C114:V114)</f>
        <v>0</v>
      </c>
      <c r="W286" s="20">
        <f ca="1">SUM($C114:W114)</f>
        <v>0</v>
      </c>
      <c r="X286" s="20">
        <f ca="1">SUM($C114:X114)</f>
        <v>0</v>
      </c>
      <c r="Y286" s="20">
        <f ca="1">SUM($C114:Y114)</f>
        <v>0</v>
      </c>
      <c r="Z286" s="20">
        <f ca="1">SUM($C114:Z114)</f>
        <v>0</v>
      </c>
      <c r="AA286" s="20">
        <f ca="1">SUM($C114:AA114)</f>
        <v>0</v>
      </c>
      <c r="AB286" s="20">
        <f ca="1">SUM($C114:AB114)</f>
        <v>0</v>
      </c>
      <c r="AC286" s="20">
        <f ca="1">SUM($C114:AC114)</f>
        <v>0</v>
      </c>
      <c r="AD286" s="20">
        <f ca="1">SUM($C114:AD114)</f>
        <v>0</v>
      </c>
      <c r="AE286" s="20">
        <f ca="1">SUM($C114:AE114)</f>
        <v>0</v>
      </c>
      <c r="AF286" s="20">
        <f ca="1">SUM($C114:AF114)</f>
        <v>0</v>
      </c>
      <c r="AG286" s="20">
        <f ca="1">SUM($C114:AG114)</f>
        <v>0</v>
      </c>
      <c r="AH286" s="20">
        <f ca="1">SUM($C114:AH114)</f>
        <v>0</v>
      </c>
      <c r="AI286" s="20">
        <f ca="1">SUM($C114:AI114)</f>
        <v>0</v>
      </c>
      <c r="AJ286" s="20">
        <f ca="1">SUM($C114:AJ114)</f>
        <v>0</v>
      </c>
      <c r="AK286" s="20">
        <f ca="1">SUM($C114:AK114)</f>
        <v>0</v>
      </c>
      <c r="AL286" s="20">
        <f ca="1">SUM($C114:AL114)</f>
        <v>0</v>
      </c>
      <c r="AM286" s="20">
        <f ca="1">SUM($C114:AM114)</f>
        <v>0</v>
      </c>
    </row>
    <row r="287" spans="1:39" x14ac:dyDescent="0.2">
      <c r="A287" s="22" t="str">
        <f>B$137</f>
        <v>Car</v>
      </c>
      <c r="B287" s="19"/>
      <c r="C287" s="20">
        <f ca="1">SUM($C131:C131)</f>
        <v>0</v>
      </c>
      <c r="D287" s="20">
        <f ca="1">SUM($C131:D131)</f>
        <v>0</v>
      </c>
      <c r="E287" s="20">
        <f ca="1">SUM($C131:E131)</f>
        <v>0</v>
      </c>
      <c r="F287" s="20">
        <f ca="1">SUM($C131:F131)</f>
        <v>0</v>
      </c>
      <c r="G287" s="20">
        <f ca="1">SUM($C131:G131)</f>
        <v>0</v>
      </c>
      <c r="H287" s="20">
        <f ca="1">SUM($C131:H131)</f>
        <v>0</v>
      </c>
      <c r="I287" s="20">
        <f ca="1">SUM($C131:I131)</f>
        <v>0</v>
      </c>
      <c r="J287" s="20">
        <f ca="1">SUM($C131:J131)</f>
        <v>0</v>
      </c>
      <c r="K287" s="20">
        <f ca="1">SUM($C131:K131)</f>
        <v>0</v>
      </c>
      <c r="L287" s="20">
        <f ca="1">SUM($C131:L131)</f>
        <v>0</v>
      </c>
      <c r="M287" s="20">
        <f ca="1">SUM($C131:M131)</f>
        <v>0</v>
      </c>
      <c r="N287" s="20">
        <f ca="1">SUM($C131:N131)</f>
        <v>0</v>
      </c>
      <c r="O287" s="20">
        <f ca="1">SUM($C131:O131)</f>
        <v>0</v>
      </c>
      <c r="P287" s="20">
        <f ca="1">SUM($C131:P131)</f>
        <v>0</v>
      </c>
      <c r="Q287" s="20">
        <f ca="1">SUM($C131:Q131)</f>
        <v>0</v>
      </c>
      <c r="R287" s="20">
        <f ca="1">SUM($C131:R131)</f>
        <v>0</v>
      </c>
      <c r="S287" s="20">
        <f ca="1">SUM($C131:S131)</f>
        <v>0</v>
      </c>
      <c r="T287" s="20">
        <f ca="1">SUM($C131:T131)</f>
        <v>0</v>
      </c>
      <c r="U287" s="20">
        <f ca="1">SUM($C131:U131)</f>
        <v>0</v>
      </c>
      <c r="V287" s="20">
        <f ca="1">SUM($C131:V131)</f>
        <v>0</v>
      </c>
      <c r="W287" s="20">
        <f ca="1">SUM($C131:W131)</f>
        <v>0</v>
      </c>
      <c r="X287" s="20">
        <f ca="1">SUM($C131:X131)</f>
        <v>0</v>
      </c>
      <c r="Y287" s="20">
        <f ca="1">SUM($C131:Y131)</f>
        <v>0</v>
      </c>
      <c r="Z287" s="20">
        <f ca="1">SUM($C131:Z131)</f>
        <v>0</v>
      </c>
      <c r="AA287" s="20">
        <f ca="1">SUM($C131:AA131)</f>
        <v>0</v>
      </c>
      <c r="AB287" s="20">
        <f ca="1">SUM($C131:AB131)</f>
        <v>0</v>
      </c>
      <c r="AC287" s="20">
        <f ca="1">SUM($C131:AC131)</f>
        <v>0</v>
      </c>
      <c r="AD287" s="20">
        <f ca="1">SUM($C131:AD131)</f>
        <v>0</v>
      </c>
      <c r="AE287" s="20">
        <f ca="1">SUM($C131:AE131)</f>
        <v>0</v>
      </c>
      <c r="AF287" s="20">
        <f ca="1">SUM($C131:AF131)</f>
        <v>0</v>
      </c>
      <c r="AG287" s="20">
        <f ca="1">SUM($C131:AG131)</f>
        <v>0</v>
      </c>
      <c r="AH287" s="20">
        <f ca="1">SUM($C131:AH131)</f>
        <v>0</v>
      </c>
      <c r="AI287" s="20">
        <f ca="1">SUM($C131:AI131)</f>
        <v>0</v>
      </c>
      <c r="AJ287" s="20">
        <f ca="1">SUM($C131:AJ131)</f>
        <v>0</v>
      </c>
      <c r="AK287" s="20">
        <f ca="1">SUM($C131:AK131)</f>
        <v>0</v>
      </c>
      <c r="AL287" s="20">
        <f ca="1">SUM($C131:AL131)</f>
        <v>0</v>
      </c>
      <c r="AM287" s="20">
        <f ca="1">SUM($C131:AM131)</f>
        <v>0</v>
      </c>
    </row>
    <row r="288" spans="1:39" x14ac:dyDescent="0.2">
      <c r="A288" s="22" t="str">
        <f>B$154</f>
        <v>Jewelry</v>
      </c>
      <c r="B288" s="19"/>
      <c r="C288" s="20">
        <f ca="1">SUM($C148:C148)</f>
        <v>0</v>
      </c>
      <c r="D288" s="20">
        <f ca="1">SUM($C148:D148)</f>
        <v>0</v>
      </c>
      <c r="E288" s="20">
        <f ca="1">SUM($C148:E148)</f>
        <v>0</v>
      </c>
      <c r="F288" s="20">
        <f ca="1">SUM($C148:F148)</f>
        <v>0</v>
      </c>
      <c r="G288" s="20">
        <f ca="1">SUM($C148:G148)</f>
        <v>0</v>
      </c>
      <c r="H288" s="20">
        <f ca="1">SUM($C148:H148)</f>
        <v>0</v>
      </c>
      <c r="I288" s="20">
        <f ca="1">SUM($C148:I148)</f>
        <v>0</v>
      </c>
      <c r="J288" s="20">
        <f ca="1">SUM($C148:J148)</f>
        <v>0</v>
      </c>
      <c r="K288" s="20">
        <f ca="1">SUM($C148:K148)</f>
        <v>0</v>
      </c>
      <c r="L288" s="20">
        <f ca="1">SUM($C148:L148)</f>
        <v>0</v>
      </c>
      <c r="M288" s="20">
        <f ca="1">SUM($C148:M148)</f>
        <v>0</v>
      </c>
      <c r="N288" s="20">
        <f ca="1">SUM($C148:N148)</f>
        <v>0</v>
      </c>
      <c r="O288" s="20">
        <f ca="1">SUM($C148:O148)</f>
        <v>0</v>
      </c>
      <c r="P288" s="20">
        <f ca="1">SUM($C148:P148)</f>
        <v>0</v>
      </c>
      <c r="Q288" s="20">
        <f ca="1">SUM($C148:Q148)</f>
        <v>0</v>
      </c>
      <c r="R288" s="20">
        <f ca="1">SUM($C148:R148)</f>
        <v>0</v>
      </c>
      <c r="S288" s="20">
        <f ca="1">SUM($C148:S148)</f>
        <v>0</v>
      </c>
      <c r="T288" s="20">
        <f ca="1">SUM($C148:T148)</f>
        <v>0</v>
      </c>
      <c r="U288" s="20">
        <f ca="1">SUM($C148:U148)</f>
        <v>0</v>
      </c>
      <c r="V288" s="20">
        <f ca="1">SUM($C148:V148)</f>
        <v>0</v>
      </c>
      <c r="W288" s="20">
        <f ca="1">SUM($C148:W148)</f>
        <v>0</v>
      </c>
      <c r="X288" s="20">
        <f ca="1">SUM($C148:X148)</f>
        <v>0</v>
      </c>
      <c r="Y288" s="20">
        <f ca="1">SUM($C148:Y148)</f>
        <v>0</v>
      </c>
      <c r="Z288" s="20">
        <f ca="1">SUM($C148:Z148)</f>
        <v>0</v>
      </c>
      <c r="AA288" s="20">
        <f ca="1">SUM($C148:AA148)</f>
        <v>0</v>
      </c>
      <c r="AB288" s="20">
        <f ca="1">SUM($C148:AB148)</f>
        <v>0</v>
      </c>
      <c r="AC288" s="20">
        <f ca="1">SUM($C148:AC148)</f>
        <v>0</v>
      </c>
      <c r="AD288" s="20">
        <f ca="1">SUM($C148:AD148)</f>
        <v>0</v>
      </c>
      <c r="AE288" s="20">
        <f ca="1">SUM($C148:AE148)</f>
        <v>0</v>
      </c>
      <c r="AF288" s="20">
        <f ca="1">SUM($C148:AF148)</f>
        <v>0</v>
      </c>
      <c r="AG288" s="20">
        <f ca="1">SUM($C148:AG148)</f>
        <v>0</v>
      </c>
      <c r="AH288" s="20">
        <f ca="1">SUM($C148:AH148)</f>
        <v>0</v>
      </c>
      <c r="AI288" s="20">
        <f ca="1">SUM($C148:AI148)</f>
        <v>0</v>
      </c>
      <c r="AJ288" s="20">
        <f ca="1">SUM($C148:AJ148)</f>
        <v>0</v>
      </c>
      <c r="AK288" s="20">
        <f ca="1">SUM($C148:AK148)</f>
        <v>0</v>
      </c>
      <c r="AL288" s="20">
        <f ca="1">SUM($C148:AL148)</f>
        <v>0</v>
      </c>
      <c r="AM288" s="20">
        <f ca="1">SUM($C148:AM148)</f>
        <v>0</v>
      </c>
    </row>
    <row r="289" spans="1:39" x14ac:dyDescent="0.2">
      <c r="A289" s="22" t="str">
        <f>B$171</f>
        <v>Gudja</v>
      </c>
      <c r="B289" s="19"/>
      <c r="C289" s="20">
        <f ca="1">SUM($C165:C165)</f>
        <v>0</v>
      </c>
      <c r="D289" s="20">
        <f ca="1">SUM($C165:D165)</f>
        <v>0</v>
      </c>
      <c r="E289" s="20">
        <f ca="1">SUM($C165:E165)</f>
        <v>0</v>
      </c>
      <c r="F289" s="20">
        <f ca="1">SUM($C165:F165)</f>
        <v>0</v>
      </c>
      <c r="G289" s="20">
        <f ca="1">SUM($C165:G165)</f>
        <v>0</v>
      </c>
      <c r="H289" s="20">
        <f ca="1">SUM($C165:H165)</f>
        <v>0</v>
      </c>
      <c r="I289" s="20">
        <f ca="1">SUM($C165:I165)</f>
        <v>0</v>
      </c>
      <c r="J289" s="20">
        <f ca="1">SUM($C165:J165)</f>
        <v>0</v>
      </c>
      <c r="K289" s="20">
        <f ca="1">SUM($C165:K165)</f>
        <v>0</v>
      </c>
      <c r="L289" s="20">
        <f ca="1">SUM($C165:L165)</f>
        <v>0</v>
      </c>
      <c r="M289" s="20">
        <f ca="1">SUM($C165:M165)</f>
        <v>0</v>
      </c>
      <c r="N289" s="20">
        <f ca="1">SUM($C165:N165)</f>
        <v>0</v>
      </c>
      <c r="O289" s="20">
        <f ca="1">SUM($C165:O165)</f>
        <v>0</v>
      </c>
      <c r="P289" s="20">
        <f ca="1">SUM($C165:P165)</f>
        <v>0</v>
      </c>
      <c r="Q289" s="20">
        <f ca="1">SUM($C165:Q165)</f>
        <v>0</v>
      </c>
      <c r="R289" s="20">
        <f ca="1">SUM($C165:R165)</f>
        <v>0</v>
      </c>
      <c r="S289" s="20">
        <f ca="1">SUM($C165:S165)</f>
        <v>0</v>
      </c>
      <c r="T289" s="20">
        <f ca="1">SUM($C165:T165)</f>
        <v>0</v>
      </c>
      <c r="U289" s="20">
        <f ca="1">SUM($C165:U165)</f>
        <v>0</v>
      </c>
      <c r="V289" s="20">
        <f ca="1">SUM($C165:V165)</f>
        <v>0</v>
      </c>
      <c r="W289" s="20">
        <f ca="1">SUM($C165:W165)</f>
        <v>0</v>
      </c>
      <c r="X289" s="20">
        <f ca="1">SUM($C165:X165)</f>
        <v>0</v>
      </c>
      <c r="Y289" s="20">
        <f ca="1">SUM($C165:Y165)</f>
        <v>0</v>
      </c>
      <c r="Z289" s="20">
        <f ca="1">SUM($C165:Z165)</f>
        <v>0</v>
      </c>
      <c r="AA289" s="20">
        <f ca="1">SUM($C165:AA165)</f>
        <v>0</v>
      </c>
      <c r="AB289" s="20">
        <f ca="1">SUM($C165:AB165)</f>
        <v>0</v>
      </c>
      <c r="AC289" s="20">
        <f ca="1">SUM($C165:AC165)</f>
        <v>0</v>
      </c>
      <c r="AD289" s="20">
        <f ca="1">SUM($C165:AD165)</f>
        <v>0</v>
      </c>
      <c r="AE289" s="20">
        <f ca="1">SUM($C165:AE165)</f>
        <v>0</v>
      </c>
      <c r="AF289" s="20">
        <f ca="1">SUM($C165:AF165)</f>
        <v>0</v>
      </c>
      <c r="AG289" s="20">
        <f ca="1">SUM($C165:AG165)</f>
        <v>0</v>
      </c>
      <c r="AH289" s="20">
        <f ca="1">SUM($C165:AH165)</f>
        <v>0</v>
      </c>
      <c r="AI289" s="20">
        <f ca="1">SUM($C165:AI165)</f>
        <v>0</v>
      </c>
      <c r="AJ289" s="20">
        <f ca="1">SUM($C165:AJ165)</f>
        <v>0</v>
      </c>
      <c r="AK289" s="20">
        <f ca="1">SUM($C165:AK165)</f>
        <v>0</v>
      </c>
      <c r="AL289" s="20">
        <f ca="1">SUM($C165:AL165)</f>
        <v>0</v>
      </c>
      <c r="AM289" s="20">
        <f ca="1">SUM($C165:AM165)</f>
        <v>0</v>
      </c>
    </row>
    <row r="290" spans="1:39" x14ac:dyDescent="0.2">
      <c r="A290" s="22" t="str">
        <f>B$188</f>
        <v>Antiques</v>
      </c>
      <c r="B290" s="19"/>
      <c r="C290" s="20">
        <f ca="1">SUM($C182:C182)</f>
        <v>0</v>
      </c>
      <c r="D290" s="20">
        <f ca="1">SUM($C182:D182)</f>
        <v>0</v>
      </c>
      <c r="E290" s="20">
        <f ca="1">SUM($C182:E182)</f>
        <v>0</v>
      </c>
      <c r="F290" s="20">
        <f ca="1">SUM($C182:F182)</f>
        <v>0</v>
      </c>
      <c r="G290" s="20">
        <f ca="1">SUM($C182:G182)</f>
        <v>0</v>
      </c>
      <c r="H290" s="20">
        <f ca="1">SUM($C182:H182)</f>
        <v>0</v>
      </c>
      <c r="I290" s="20">
        <f ca="1">SUM($C182:I182)</f>
        <v>0</v>
      </c>
      <c r="J290" s="20">
        <f ca="1">SUM($C182:J182)</f>
        <v>0</v>
      </c>
      <c r="K290" s="20">
        <f ca="1">SUM($C182:K182)</f>
        <v>0</v>
      </c>
      <c r="L290" s="20">
        <f ca="1">SUM($C182:L182)</f>
        <v>0</v>
      </c>
      <c r="M290" s="20">
        <f ca="1">SUM($C182:M182)</f>
        <v>0</v>
      </c>
      <c r="N290" s="20">
        <f ca="1">SUM($C182:N182)</f>
        <v>0</v>
      </c>
      <c r="O290" s="20">
        <f ca="1">SUM($C182:O182)</f>
        <v>0</v>
      </c>
      <c r="P290" s="20">
        <f ca="1">SUM($C182:P182)</f>
        <v>0</v>
      </c>
      <c r="Q290" s="20">
        <f ca="1">SUM($C182:Q182)</f>
        <v>0</v>
      </c>
      <c r="R290" s="20">
        <f ca="1">SUM($C182:R182)</f>
        <v>0</v>
      </c>
      <c r="S290" s="20">
        <f ca="1">SUM($C182:S182)</f>
        <v>0</v>
      </c>
      <c r="T290" s="20">
        <f ca="1">SUM($C182:T182)</f>
        <v>0</v>
      </c>
      <c r="U290" s="20">
        <f ca="1">SUM($C182:U182)</f>
        <v>0</v>
      </c>
      <c r="V290" s="20">
        <f ca="1">SUM($C182:V182)</f>
        <v>0</v>
      </c>
      <c r="W290" s="20">
        <f ca="1">SUM($C182:W182)</f>
        <v>0</v>
      </c>
      <c r="X290" s="20">
        <f ca="1">SUM($C182:X182)</f>
        <v>0</v>
      </c>
      <c r="Y290" s="20">
        <f ca="1">SUM($C182:Y182)</f>
        <v>0</v>
      </c>
      <c r="Z290" s="20">
        <f ca="1">SUM($C182:Z182)</f>
        <v>0</v>
      </c>
      <c r="AA290" s="20">
        <f ca="1">SUM($C182:AA182)</f>
        <v>0</v>
      </c>
      <c r="AB290" s="20">
        <f ca="1">SUM($C182:AB182)</f>
        <v>0</v>
      </c>
      <c r="AC290" s="20">
        <f ca="1">SUM($C182:AC182)</f>
        <v>0</v>
      </c>
      <c r="AD290" s="20">
        <f ca="1">SUM($C182:AD182)</f>
        <v>0</v>
      </c>
      <c r="AE290" s="20">
        <f ca="1">SUM($C182:AE182)</f>
        <v>0</v>
      </c>
      <c r="AF290" s="20">
        <f ca="1">SUM($C182:AF182)</f>
        <v>0</v>
      </c>
      <c r="AG290" s="20">
        <f ca="1">SUM($C182:AG182)</f>
        <v>0</v>
      </c>
      <c r="AH290" s="20">
        <f ca="1">SUM($C182:AH182)</f>
        <v>0</v>
      </c>
      <c r="AI290" s="20">
        <f ca="1">SUM($C182:AI182)</f>
        <v>0</v>
      </c>
      <c r="AJ290" s="20">
        <f ca="1">SUM($C182:AJ182)</f>
        <v>0</v>
      </c>
      <c r="AK290" s="20">
        <f ca="1">SUM($C182:AK182)</f>
        <v>0</v>
      </c>
      <c r="AL290" s="20">
        <f ca="1">SUM($C182:AL182)</f>
        <v>0</v>
      </c>
      <c r="AM290" s="20">
        <f ca="1">SUM($C182:AM182)</f>
        <v>0</v>
      </c>
    </row>
    <row r="291" spans="1:39" x14ac:dyDescent="0.2">
      <c r="A291" s="22" t="str">
        <f>B$205</f>
        <v>Marsa</v>
      </c>
      <c r="B291" s="19"/>
      <c r="C291" s="20">
        <f ca="1">SUM($C199:C199)</f>
        <v>0</v>
      </c>
      <c r="D291" s="20">
        <f ca="1">SUM($C199:D199)</f>
        <v>0</v>
      </c>
      <c r="E291" s="20">
        <f ca="1">SUM($C199:E199)</f>
        <v>0</v>
      </c>
      <c r="F291" s="20">
        <f ca="1">SUM($C199:F199)</f>
        <v>0</v>
      </c>
      <c r="G291" s="20">
        <f ca="1">SUM($C199:G199)</f>
        <v>0</v>
      </c>
      <c r="H291" s="20">
        <f ca="1">SUM($C199:H199)</f>
        <v>0</v>
      </c>
      <c r="I291" s="20">
        <f ca="1">SUM($C199:I199)</f>
        <v>0</v>
      </c>
      <c r="J291" s="20">
        <f ca="1">SUM($C199:J199)</f>
        <v>0</v>
      </c>
      <c r="K291" s="20">
        <f ca="1">SUM($C199:K199)</f>
        <v>0</v>
      </c>
      <c r="L291" s="20">
        <f ca="1">SUM($C199:L199)</f>
        <v>0</v>
      </c>
      <c r="M291" s="20">
        <f ca="1">SUM($C199:M199)</f>
        <v>0</v>
      </c>
      <c r="N291" s="20">
        <f ca="1">SUM($C199:N199)</f>
        <v>0</v>
      </c>
      <c r="O291" s="20">
        <f ca="1">SUM($C199:O199)</f>
        <v>0</v>
      </c>
      <c r="P291" s="20">
        <f ca="1">SUM($C199:P199)</f>
        <v>0</v>
      </c>
      <c r="Q291" s="20">
        <f ca="1">SUM($C199:Q199)</f>
        <v>0</v>
      </c>
      <c r="R291" s="20">
        <f ca="1">SUM($C199:R199)</f>
        <v>0</v>
      </c>
      <c r="S291" s="20">
        <f ca="1">SUM($C199:S199)</f>
        <v>0</v>
      </c>
      <c r="T291" s="20">
        <f ca="1">SUM($C199:T199)</f>
        <v>0</v>
      </c>
      <c r="U291" s="20">
        <f ca="1">SUM($C199:U199)</f>
        <v>0</v>
      </c>
      <c r="V291" s="20">
        <f ca="1">SUM($C199:V199)</f>
        <v>0</v>
      </c>
      <c r="W291" s="20">
        <f ca="1">SUM($C199:W199)</f>
        <v>0</v>
      </c>
      <c r="X291" s="20">
        <f ca="1">SUM($C199:X199)</f>
        <v>0</v>
      </c>
      <c r="Y291" s="20">
        <f ca="1">SUM($C199:Y199)</f>
        <v>0</v>
      </c>
      <c r="Z291" s="20">
        <f ca="1">SUM($C199:Z199)</f>
        <v>0</v>
      </c>
      <c r="AA291" s="20">
        <f ca="1">SUM($C199:AA199)</f>
        <v>0</v>
      </c>
      <c r="AB291" s="20">
        <f ca="1">SUM($C199:AB199)</f>
        <v>0</v>
      </c>
      <c r="AC291" s="20">
        <f ca="1">SUM($C199:AC199)</f>
        <v>0</v>
      </c>
      <c r="AD291" s="20">
        <f ca="1">SUM($C199:AD199)</f>
        <v>0</v>
      </c>
      <c r="AE291" s="20">
        <f ca="1">SUM($C199:AE199)</f>
        <v>0</v>
      </c>
      <c r="AF291" s="20">
        <f ca="1">SUM($C199:AF199)</f>
        <v>0</v>
      </c>
      <c r="AG291" s="20">
        <f ca="1">SUM($C199:AG199)</f>
        <v>0</v>
      </c>
      <c r="AH291" s="20">
        <f ca="1">SUM($C199:AH199)</f>
        <v>0</v>
      </c>
      <c r="AI291" s="20">
        <f ca="1">SUM($C199:AI199)</f>
        <v>0</v>
      </c>
      <c r="AJ291" s="20">
        <f ca="1">SUM($C199:AJ199)</f>
        <v>0</v>
      </c>
      <c r="AK291" s="20">
        <f ca="1">SUM($C199:AK199)</f>
        <v>0</v>
      </c>
      <c r="AL291" s="20">
        <f ca="1">SUM($C199:AL199)</f>
        <v>0</v>
      </c>
      <c r="AM291" s="20">
        <f ca="1">SUM($C199:AM199)</f>
        <v>0</v>
      </c>
    </row>
    <row r="292" spans="1:39" x14ac:dyDescent="0.2">
      <c r="A292" s="22" t="str">
        <f>B$222</f>
        <v>Gzira</v>
      </c>
      <c r="B292" s="19"/>
      <c r="C292" s="20">
        <f ca="1">SUM($C216:C216)</f>
        <v>0</v>
      </c>
      <c r="D292" s="20">
        <f ca="1">SUM($C216:D216)</f>
        <v>0</v>
      </c>
      <c r="E292" s="20">
        <f ca="1">SUM($C216:E216)</f>
        <v>0</v>
      </c>
      <c r="F292" s="20">
        <f ca="1">SUM($C216:F216)</f>
        <v>0</v>
      </c>
      <c r="G292" s="20">
        <f ca="1">SUM($C216:G216)</f>
        <v>0</v>
      </c>
      <c r="H292" s="20">
        <f ca="1">SUM($C216:H216)</f>
        <v>0</v>
      </c>
      <c r="I292" s="20">
        <f ca="1">SUM($C216:I216)</f>
        <v>0</v>
      </c>
      <c r="J292" s="20">
        <f ca="1">SUM($C216:J216)</f>
        <v>0</v>
      </c>
      <c r="K292" s="20">
        <f ca="1">SUM($C216:K216)</f>
        <v>0</v>
      </c>
      <c r="L292" s="20">
        <f ca="1">SUM($C216:L216)</f>
        <v>0</v>
      </c>
      <c r="M292" s="20">
        <f ca="1">SUM($C216:M216)</f>
        <v>0</v>
      </c>
      <c r="N292" s="20">
        <f ca="1">SUM($C216:N216)</f>
        <v>0</v>
      </c>
      <c r="O292" s="20">
        <f ca="1">SUM($C216:O216)</f>
        <v>0</v>
      </c>
      <c r="P292" s="20">
        <f ca="1">SUM($C216:P216)</f>
        <v>0</v>
      </c>
      <c r="Q292" s="20">
        <f ca="1">SUM($C216:Q216)</f>
        <v>0</v>
      </c>
      <c r="R292" s="20">
        <f ca="1">SUM($C216:R216)</f>
        <v>0</v>
      </c>
      <c r="S292" s="20">
        <f ca="1">SUM($C216:S216)</f>
        <v>0</v>
      </c>
      <c r="T292" s="20">
        <f ca="1">SUM($C216:T216)</f>
        <v>0</v>
      </c>
      <c r="U292" s="20">
        <f ca="1">SUM($C216:U216)</f>
        <v>0</v>
      </c>
      <c r="V292" s="20">
        <f ca="1">SUM($C216:V216)</f>
        <v>0</v>
      </c>
      <c r="W292" s="20">
        <f ca="1">SUM($C216:W216)</f>
        <v>0</v>
      </c>
      <c r="X292" s="20">
        <f ca="1">SUM($C216:X216)</f>
        <v>0</v>
      </c>
      <c r="Y292" s="20">
        <f ca="1">SUM($C216:Y216)</f>
        <v>0</v>
      </c>
      <c r="Z292" s="20">
        <f ca="1">SUM($C216:Z216)</f>
        <v>0</v>
      </c>
      <c r="AA292" s="20">
        <f ca="1">SUM($C216:AA216)</f>
        <v>0</v>
      </c>
      <c r="AB292" s="20">
        <f ca="1">SUM($C216:AB216)</f>
        <v>0</v>
      </c>
      <c r="AC292" s="20">
        <f ca="1">SUM($C216:AC216)</f>
        <v>0</v>
      </c>
      <c r="AD292" s="20">
        <f ca="1">SUM($C216:AD216)</f>
        <v>0</v>
      </c>
      <c r="AE292" s="20">
        <f ca="1">SUM($C216:AE216)</f>
        <v>0</v>
      </c>
      <c r="AF292" s="20">
        <f ca="1">SUM($C216:AF216)</f>
        <v>0</v>
      </c>
      <c r="AG292" s="20">
        <f ca="1">SUM($C216:AG216)</f>
        <v>0</v>
      </c>
      <c r="AH292" s="20">
        <f ca="1">SUM($C216:AH216)</f>
        <v>0</v>
      </c>
      <c r="AI292" s="20">
        <f ca="1">SUM($C216:AI216)</f>
        <v>0</v>
      </c>
      <c r="AJ292" s="20">
        <f ca="1">SUM($C216:AJ216)</f>
        <v>0</v>
      </c>
      <c r="AK292" s="20">
        <f ca="1">SUM($C216:AK216)</f>
        <v>0</v>
      </c>
      <c r="AL292" s="20">
        <f ca="1">SUM($C216:AL216)</f>
        <v>0</v>
      </c>
      <c r="AM292" s="20">
        <f ca="1">SUM($C216:AM216)</f>
        <v>0</v>
      </c>
    </row>
    <row r="293" spans="1:39" x14ac:dyDescent="0.2">
      <c r="A293" s="22" t="str">
        <f>B$239</f>
        <v>Boat</v>
      </c>
      <c r="B293" s="19"/>
      <c r="C293" s="20">
        <f ca="1">SUM($C233:C233)</f>
        <v>0</v>
      </c>
      <c r="D293" s="20">
        <f ca="1">SUM($C233:D233)</f>
        <v>0</v>
      </c>
      <c r="E293" s="20">
        <f ca="1">SUM($C233:E233)</f>
        <v>0</v>
      </c>
      <c r="F293" s="20">
        <f ca="1">SUM($C233:F233)</f>
        <v>0</v>
      </c>
      <c r="G293" s="20">
        <f ca="1">SUM($C233:G233)</f>
        <v>0</v>
      </c>
      <c r="H293" s="20">
        <f ca="1">SUM($C233:H233)</f>
        <v>0</v>
      </c>
      <c r="I293" s="20">
        <f ca="1">SUM($C233:I233)</f>
        <v>0</v>
      </c>
      <c r="J293" s="20">
        <f ca="1">SUM($C233:J233)</f>
        <v>0</v>
      </c>
      <c r="K293" s="20">
        <f ca="1">SUM($C233:K233)</f>
        <v>0</v>
      </c>
      <c r="L293" s="20">
        <f ca="1">SUM($C233:L233)</f>
        <v>0</v>
      </c>
      <c r="M293" s="20">
        <f ca="1">SUM($C233:M233)</f>
        <v>0</v>
      </c>
      <c r="N293" s="20">
        <f ca="1">SUM($C233:N233)</f>
        <v>0</v>
      </c>
      <c r="O293" s="20">
        <f ca="1">SUM($C233:O233)</f>
        <v>0</v>
      </c>
      <c r="P293" s="20">
        <f ca="1">SUM($C233:P233)</f>
        <v>0</v>
      </c>
      <c r="Q293" s="20">
        <f ca="1">SUM($C233:Q233)</f>
        <v>0</v>
      </c>
      <c r="R293" s="20">
        <f ca="1">SUM($C233:R233)</f>
        <v>0</v>
      </c>
      <c r="S293" s="20">
        <f ca="1">SUM($C233:S233)</f>
        <v>0</v>
      </c>
      <c r="T293" s="20">
        <f ca="1">SUM($C233:T233)</f>
        <v>0</v>
      </c>
      <c r="U293" s="20">
        <f ca="1">SUM($C233:U233)</f>
        <v>0</v>
      </c>
      <c r="V293" s="20">
        <f ca="1">SUM($C233:V233)</f>
        <v>0</v>
      </c>
      <c r="W293" s="20">
        <f ca="1">SUM($C233:W233)</f>
        <v>0</v>
      </c>
      <c r="X293" s="20">
        <f ca="1">SUM($C233:X233)</f>
        <v>0</v>
      </c>
      <c r="Y293" s="20">
        <f ca="1">SUM($C233:Y233)</f>
        <v>0</v>
      </c>
      <c r="Z293" s="20">
        <f ca="1">SUM($C233:Z233)</f>
        <v>0</v>
      </c>
      <c r="AA293" s="20">
        <f ca="1">SUM($C233:AA233)</f>
        <v>0</v>
      </c>
      <c r="AB293" s="20">
        <f ca="1">SUM($C233:AB233)</f>
        <v>0</v>
      </c>
      <c r="AC293" s="20">
        <f ca="1">SUM($C233:AC233)</f>
        <v>0</v>
      </c>
      <c r="AD293" s="20">
        <f ca="1">SUM($C233:AD233)</f>
        <v>0</v>
      </c>
      <c r="AE293" s="20">
        <f ca="1">SUM($C233:AE233)</f>
        <v>0</v>
      </c>
      <c r="AF293" s="20">
        <f ca="1">SUM($C233:AF233)</f>
        <v>0</v>
      </c>
      <c r="AG293" s="20">
        <f ca="1">SUM($C233:AG233)</f>
        <v>0</v>
      </c>
      <c r="AH293" s="20">
        <f ca="1">SUM($C233:AH233)</f>
        <v>0</v>
      </c>
      <c r="AI293" s="20">
        <f ca="1">SUM($C233:AI233)</f>
        <v>0</v>
      </c>
      <c r="AJ293" s="20">
        <f ca="1">SUM($C233:AJ233)</f>
        <v>0</v>
      </c>
      <c r="AK293" s="20">
        <f ca="1">SUM($C233:AK233)</f>
        <v>0</v>
      </c>
      <c r="AL293" s="20">
        <f ca="1">SUM($C233:AL233)</f>
        <v>0</v>
      </c>
      <c r="AM293" s="20">
        <f ca="1">SUM($C233:AM233)</f>
        <v>0</v>
      </c>
    </row>
    <row r="294" spans="1:39" x14ac:dyDescent="0.2">
      <c r="A294" s="22" t="str">
        <f>B$256</f>
        <v>Qormi</v>
      </c>
      <c r="B294" s="19"/>
      <c r="C294" s="20">
        <f ca="1">SUM($C250:C250)</f>
        <v>0</v>
      </c>
      <c r="D294" s="20">
        <f ca="1">SUM($C250:D250)</f>
        <v>0</v>
      </c>
      <c r="E294" s="20">
        <f ca="1">SUM($C250:E250)</f>
        <v>0</v>
      </c>
      <c r="F294" s="20">
        <f ca="1">SUM($C250:F250)</f>
        <v>0</v>
      </c>
      <c r="G294" s="20">
        <f ca="1">SUM($C250:G250)</f>
        <v>0</v>
      </c>
      <c r="H294" s="20">
        <f ca="1">SUM($C250:H250)</f>
        <v>0</v>
      </c>
      <c r="I294" s="20">
        <f ca="1">SUM($C250:I250)</f>
        <v>0</v>
      </c>
      <c r="J294" s="20">
        <f ca="1">SUM($C250:J250)</f>
        <v>0</v>
      </c>
      <c r="K294" s="20">
        <f ca="1">SUM($C250:K250)</f>
        <v>0</v>
      </c>
      <c r="L294" s="20">
        <f ca="1">SUM($C250:L250)</f>
        <v>0</v>
      </c>
      <c r="M294" s="20">
        <f ca="1">SUM($C250:M250)</f>
        <v>0</v>
      </c>
      <c r="N294" s="20">
        <f ca="1">SUM($C250:N250)</f>
        <v>0</v>
      </c>
      <c r="O294" s="20">
        <f ca="1">SUM($C250:O250)</f>
        <v>0</v>
      </c>
      <c r="P294" s="20">
        <f ca="1">SUM($C250:P250)</f>
        <v>0</v>
      </c>
      <c r="Q294" s="20">
        <f ca="1">SUM($C250:Q250)</f>
        <v>0</v>
      </c>
      <c r="R294" s="20">
        <f ca="1">SUM($C250:R250)</f>
        <v>0</v>
      </c>
      <c r="S294" s="20">
        <f ca="1">SUM($C250:S250)</f>
        <v>0</v>
      </c>
      <c r="T294" s="20">
        <f ca="1">SUM($C250:T250)</f>
        <v>0</v>
      </c>
      <c r="U294" s="20">
        <f ca="1">SUM($C250:U250)</f>
        <v>0</v>
      </c>
      <c r="V294" s="20">
        <f ca="1">SUM($C250:V250)</f>
        <v>0</v>
      </c>
      <c r="W294" s="20">
        <f ca="1">SUM($C250:W250)</f>
        <v>0</v>
      </c>
      <c r="X294" s="20">
        <f ca="1">SUM($C250:X250)</f>
        <v>0</v>
      </c>
      <c r="Y294" s="20">
        <f ca="1">SUM($C250:Y250)</f>
        <v>0</v>
      </c>
      <c r="Z294" s="20">
        <f ca="1">SUM($C250:Z250)</f>
        <v>0</v>
      </c>
      <c r="AA294" s="20">
        <f ca="1">SUM($C250:AA250)</f>
        <v>0</v>
      </c>
      <c r="AB294" s="20">
        <f ca="1">SUM($C250:AB250)</f>
        <v>0</v>
      </c>
      <c r="AC294" s="20">
        <f ca="1">SUM($C250:AC250)</f>
        <v>0</v>
      </c>
      <c r="AD294" s="20">
        <f ca="1">SUM($C250:AD250)</f>
        <v>0</v>
      </c>
      <c r="AE294" s="20">
        <f ca="1">SUM($C250:AE250)</f>
        <v>0</v>
      </c>
      <c r="AF294" s="20">
        <f ca="1">SUM($C250:AF250)</f>
        <v>0</v>
      </c>
      <c r="AG294" s="20">
        <f ca="1">SUM($C250:AG250)</f>
        <v>0</v>
      </c>
      <c r="AH294" s="20">
        <f ca="1">SUM($C250:AH250)</f>
        <v>0</v>
      </c>
      <c r="AI294" s="20">
        <f ca="1">SUM($C250:AI250)</f>
        <v>0</v>
      </c>
      <c r="AJ294" s="20">
        <f ca="1">SUM($C250:AJ250)</f>
        <v>0</v>
      </c>
      <c r="AK294" s="20">
        <f ca="1">SUM($C250:AK250)</f>
        <v>0</v>
      </c>
      <c r="AL294" s="20">
        <f ca="1">SUM($C250:AL250)</f>
        <v>0</v>
      </c>
      <c r="AM294" s="20">
        <f ca="1">SUM($C250:AM250)</f>
        <v>0</v>
      </c>
    </row>
    <row r="295" spans="1:39" x14ac:dyDescent="0.2">
      <c r="A295" s="22" t="str">
        <f>B$273</f>
        <v>Sliema</v>
      </c>
      <c r="B295" s="19"/>
      <c r="C295" s="20">
        <f ca="1">SUM($C267:C267)</f>
        <v>0</v>
      </c>
      <c r="D295" s="20">
        <f ca="1">SUM($C267:D267)</f>
        <v>0</v>
      </c>
      <c r="E295" s="20">
        <f ca="1">SUM($C267:E267)</f>
        <v>0</v>
      </c>
      <c r="F295" s="20">
        <f ca="1">SUM($C267:F267)</f>
        <v>0</v>
      </c>
      <c r="G295" s="20">
        <f ca="1">SUM($C267:G267)</f>
        <v>0</v>
      </c>
      <c r="H295" s="20">
        <f ca="1">SUM($C267:H267)</f>
        <v>0</v>
      </c>
      <c r="I295" s="20">
        <f ca="1">SUM($C267:I267)</f>
        <v>0</v>
      </c>
      <c r="J295" s="20">
        <f ca="1">SUM($C267:J267)</f>
        <v>0</v>
      </c>
      <c r="K295" s="20">
        <f ca="1">SUM($C267:K267)</f>
        <v>0</v>
      </c>
      <c r="L295" s="20">
        <f ca="1">SUM($C267:L267)</f>
        <v>0</v>
      </c>
      <c r="M295" s="20">
        <f ca="1">SUM($C267:M267)</f>
        <v>0</v>
      </c>
      <c r="N295" s="20">
        <f ca="1">SUM($C267:N267)</f>
        <v>0</v>
      </c>
      <c r="O295" s="20">
        <f ca="1">SUM($C267:O267)</f>
        <v>0</v>
      </c>
      <c r="P295" s="20">
        <f ca="1">SUM($C267:P267)</f>
        <v>0</v>
      </c>
      <c r="Q295" s="20">
        <f ca="1">SUM($C267:Q267)</f>
        <v>0</v>
      </c>
      <c r="R295" s="20">
        <f ca="1">SUM($C267:R267)</f>
        <v>0</v>
      </c>
      <c r="S295" s="20">
        <f ca="1">SUM($C267:S267)</f>
        <v>0</v>
      </c>
      <c r="T295" s="20">
        <f ca="1">SUM($C267:T267)</f>
        <v>0</v>
      </c>
      <c r="U295" s="20">
        <f ca="1">SUM($C267:U267)</f>
        <v>0</v>
      </c>
      <c r="V295" s="20">
        <f ca="1">SUM($C267:V267)</f>
        <v>0</v>
      </c>
      <c r="W295" s="20">
        <f ca="1">SUM($C267:W267)</f>
        <v>0</v>
      </c>
      <c r="X295" s="20">
        <f ca="1">SUM($C267:X267)</f>
        <v>0</v>
      </c>
      <c r="Y295" s="20">
        <f ca="1">SUM($C267:Y267)</f>
        <v>0</v>
      </c>
      <c r="Z295" s="20">
        <f ca="1">SUM($C267:Z267)</f>
        <v>0</v>
      </c>
      <c r="AA295" s="20">
        <f ca="1">SUM($C267:AA267)</f>
        <v>0</v>
      </c>
      <c r="AB295" s="20">
        <f ca="1">SUM($C267:AB267)</f>
        <v>0</v>
      </c>
      <c r="AC295" s="20">
        <f ca="1">SUM($C267:AC267)</f>
        <v>0</v>
      </c>
      <c r="AD295" s="20">
        <f ca="1">SUM($C267:AD267)</f>
        <v>0</v>
      </c>
      <c r="AE295" s="20">
        <f ca="1">SUM($C267:AE267)</f>
        <v>0</v>
      </c>
      <c r="AF295" s="20">
        <f ca="1">SUM($C267:AF267)</f>
        <v>0</v>
      </c>
      <c r="AG295" s="20">
        <f ca="1">SUM($C267:AG267)</f>
        <v>0</v>
      </c>
      <c r="AH295" s="20">
        <f ca="1">SUM($C267:AH267)</f>
        <v>0</v>
      </c>
      <c r="AI295" s="20">
        <f ca="1">SUM($C267:AI267)</f>
        <v>0</v>
      </c>
      <c r="AJ295" s="20">
        <f ca="1">SUM($C267:AJ267)</f>
        <v>0</v>
      </c>
      <c r="AK295" s="20">
        <f ca="1">SUM($C267:AK267)</f>
        <v>0</v>
      </c>
      <c r="AL295" s="20">
        <f ca="1">SUM($C267:AL267)</f>
        <v>0</v>
      </c>
      <c r="AM295" s="20">
        <f ca="1">SUM($C267:AM267)</f>
        <v>0</v>
      </c>
    </row>
    <row r="296" spans="1:39" x14ac:dyDescent="0.2">
      <c r="A296" s="21"/>
      <c r="B296" s="1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1:39" x14ac:dyDescent="0.2">
      <c r="A297" s="18" t="s">
        <v>196</v>
      </c>
      <c r="B297" s="19"/>
      <c r="C297" s="20"/>
      <c r="D297" s="9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1:39" x14ac:dyDescent="0.2">
      <c r="A298" s="22" t="str">
        <f>$A69</f>
        <v>Sliema</v>
      </c>
      <c r="B298" s="19"/>
      <c r="C298" s="20">
        <f t="shared" ref="C298:AM298" ca="1" si="625">IFERROR(IF(VLOOKUP($A298,$285:$295,C$1+2,FALSE)=0,C69,0),C69)</f>
        <v>307481.46526147495</v>
      </c>
      <c r="D298" s="20">
        <f t="shared" ca="1" si="625"/>
        <v>316705.90921931923</v>
      </c>
      <c r="E298" s="20">
        <f t="shared" ca="1" si="625"/>
        <v>326207.08649589884</v>
      </c>
      <c r="F298" s="20">
        <f t="shared" ca="1" si="625"/>
        <v>335993.29909077584</v>
      </c>
      <c r="G298" s="20">
        <f t="shared" ca="1" si="625"/>
        <v>346073.09806349914</v>
      </c>
      <c r="H298" s="20">
        <f t="shared" ca="1" si="625"/>
        <v>356455.29100540414</v>
      </c>
      <c r="I298" s="20">
        <f t="shared" ca="1" si="625"/>
        <v>367148.94973556628</v>
      </c>
      <c r="J298" s="20">
        <f t="shared" ca="1" si="625"/>
        <v>378163.41822763329</v>
      </c>
      <c r="K298" s="20">
        <f t="shared" ca="1" si="625"/>
        <v>389508.32077446231</v>
      </c>
      <c r="L298" s="20">
        <f t="shared" ca="1" si="625"/>
        <v>401193.57039769617</v>
      </c>
      <c r="M298" s="20">
        <f t="shared" ca="1" si="625"/>
        <v>413229.37750962708</v>
      </c>
      <c r="N298" s="20">
        <f t="shared" ca="1" si="625"/>
        <v>425626.25883491593</v>
      </c>
      <c r="O298" s="20">
        <f t="shared" ca="1" si="625"/>
        <v>438395.04659996345</v>
      </c>
      <c r="P298" s="20">
        <f t="shared" ca="1" si="625"/>
        <v>451546.89799796237</v>
      </c>
      <c r="Q298" s="20">
        <f t="shared" ca="1" si="625"/>
        <v>465093.30493790127</v>
      </c>
      <c r="R298" s="20">
        <f t="shared" ca="1" si="625"/>
        <v>479046.10408603831</v>
      </c>
      <c r="S298" s="20">
        <f t="shared" ca="1" si="625"/>
        <v>493417.48720861948</v>
      </c>
      <c r="T298" s="20">
        <f t="shared" ca="1" si="625"/>
        <v>508220.01182487811</v>
      </c>
      <c r="U298" s="20">
        <f t="shared" ca="1" si="625"/>
        <v>523466.61217962444</v>
      </c>
      <c r="V298" s="20">
        <f t="shared" ca="1" si="625"/>
        <v>539170.61054501322</v>
      </c>
      <c r="W298" s="20">
        <f t="shared" ca="1" si="625"/>
        <v>555345.7288613636</v>
      </c>
      <c r="X298" s="20">
        <f t="shared" ca="1" si="625"/>
        <v>572006.10072720458</v>
      </c>
      <c r="Y298" s="20">
        <f t="shared" ca="1" si="625"/>
        <v>589166.28374902077</v>
      </c>
      <c r="Z298" s="20">
        <f t="shared" ca="1" si="625"/>
        <v>606841.27226149139</v>
      </c>
      <c r="AA298" s="20">
        <f t="shared" ca="1" si="625"/>
        <v>625046.51042933611</v>
      </c>
      <c r="AB298" s="20">
        <f t="shared" ca="1" si="625"/>
        <v>643797.90574221616</v>
      </c>
      <c r="AC298" s="20">
        <f t="shared" ca="1" si="625"/>
        <v>663111.8429144827</v>
      </c>
      <c r="AD298" s="20">
        <f t="shared" ca="1" si="625"/>
        <v>683005.19820191723</v>
      </c>
      <c r="AE298" s="20">
        <f t="shared" ca="1" si="625"/>
        <v>703495.35414797475</v>
      </c>
      <c r="AF298" s="20">
        <f t="shared" ca="1" si="625"/>
        <v>724600.21477241407</v>
      </c>
      <c r="AG298" s="20">
        <f t="shared" ca="1" si="625"/>
        <v>746338.22121558653</v>
      </c>
      <c r="AH298" s="20">
        <f t="shared" ca="1" si="625"/>
        <v>768728.36785205419</v>
      </c>
      <c r="AI298" s="20">
        <f t="shared" ca="1" si="625"/>
        <v>791790.21888761583</v>
      </c>
      <c r="AJ298" s="20">
        <f t="shared" ca="1" si="625"/>
        <v>815543.92545424437</v>
      </c>
      <c r="AK298" s="20">
        <f t="shared" ca="1" si="625"/>
        <v>840010.24321787176</v>
      </c>
      <c r="AL298" s="20">
        <f t="shared" ca="1" si="625"/>
        <v>865210.55051440792</v>
      </c>
      <c r="AM298" s="20">
        <f t="shared" ca="1" si="625"/>
        <v>891166.86702984013</v>
      </c>
    </row>
    <row r="299" spans="1:39" x14ac:dyDescent="0.2">
      <c r="A299" s="22" t="str">
        <f>$A70</f>
        <v>Gzira</v>
      </c>
      <c r="B299" s="19"/>
      <c r="C299" s="20">
        <f t="shared" ref="C299:AM299" ca="1" si="626">IFERROR(IF(VLOOKUP($A299,$285:$295,C$1+2,FALSE)=0,C70,0),C70)</f>
        <v>153740.73263073748</v>
      </c>
      <c r="D299" s="20">
        <f t="shared" ca="1" si="626"/>
        <v>158352.95460965962</v>
      </c>
      <c r="E299" s="20">
        <f t="shared" ca="1" si="626"/>
        <v>163103.54324794942</v>
      </c>
      <c r="F299" s="20">
        <f t="shared" ca="1" si="626"/>
        <v>167996.64954538792</v>
      </c>
      <c r="G299" s="20">
        <f t="shared" ca="1" si="626"/>
        <v>173036.54903174957</v>
      </c>
      <c r="H299" s="20">
        <f t="shared" ca="1" si="626"/>
        <v>178227.64550270207</v>
      </c>
      <c r="I299" s="20">
        <f t="shared" ca="1" si="626"/>
        <v>183574.47486778314</v>
      </c>
      <c r="J299" s="20">
        <f t="shared" ca="1" si="626"/>
        <v>189081.70911381664</v>
      </c>
      <c r="K299" s="20">
        <f t="shared" ca="1" si="626"/>
        <v>194754.16038723115</v>
      </c>
      <c r="L299" s="20">
        <f t="shared" ca="1" si="626"/>
        <v>200596.78519884808</v>
      </c>
      <c r="M299" s="20">
        <f t="shared" ca="1" si="626"/>
        <v>206614.68875481354</v>
      </c>
      <c r="N299" s="20">
        <f t="shared" ca="1" si="626"/>
        <v>212813.12941745797</v>
      </c>
      <c r="O299" s="20">
        <f t="shared" ca="1" si="626"/>
        <v>219197.52329998172</v>
      </c>
      <c r="P299" s="20">
        <f t="shared" ca="1" si="626"/>
        <v>225773.44899898118</v>
      </c>
      <c r="Q299" s="20">
        <f t="shared" ca="1" si="626"/>
        <v>232546.65246895063</v>
      </c>
      <c r="R299" s="20">
        <f t="shared" ca="1" si="626"/>
        <v>239523.05204301915</v>
      </c>
      <c r="S299" s="20">
        <f t="shared" ca="1" si="626"/>
        <v>246708.74360430974</v>
      </c>
      <c r="T299" s="20">
        <f t="shared" ca="1" si="626"/>
        <v>254110.00591243905</v>
      </c>
      <c r="U299" s="20">
        <f t="shared" ca="1" si="626"/>
        <v>261733.30608981222</v>
      </c>
      <c r="V299" s="20">
        <f t="shared" ca="1" si="626"/>
        <v>269585.30527250661</v>
      </c>
      <c r="W299" s="20">
        <f t="shared" ca="1" si="626"/>
        <v>277672.8644306818</v>
      </c>
      <c r="X299" s="20">
        <f t="shared" ca="1" si="626"/>
        <v>286003.05036360229</v>
      </c>
      <c r="Y299" s="20">
        <f t="shared" ca="1" si="626"/>
        <v>294583.14187451039</v>
      </c>
      <c r="Z299" s="20">
        <f t="shared" ca="1" si="626"/>
        <v>303420.6361307457</v>
      </c>
      <c r="AA299" s="20">
        <f t="shared" ca="1" si="626"/>
        <v>312523.25521466805</v>
      </c>
      <c r="AB299" s="20">
        <f t="shared" ca="1" si="626"/>
        <v>321898.95287110808</v>
      </c>
      <c r="AC299" s="20">
        <f t="shared" ca="1" si="626"/>
        <v>331555.92145724135</v>
      </c>
      <c r="AD299" s="20">
        <f t="shared" ca="1" si="626"/>
        <v>341502.59910095861</v>
      </c>
      <c r="AE299" s="20">
        <f t="shared" ca="1" si="626"/>
        <v>351747.67707398738</v>
      </c>
      <c r="AF299" s="20">
        <f t="shared" ca="1" si="626"/>
        <v>362300.10738620703</v>
      </c>
      <c r="AG299" s="20">
        <f t="shared" ca="1" si="626"/>
        <v>373169.11060779326</v>
      </c>
      <c r="AH299" s="20">
        <f t="shared" ca="1" si="626"/>
        <v>384364.18392602709</v>
      </c>
      <c r="AI299" s="20">
        <f t="shared" ca="1" si="626"/>
        <v>395895.10944380792</v>
      </c>
      <c r="AJ299" s="20">
        <f t="shared" ca="1" si="626"/>
        <v>407771.96272712218</v>
      </c>
      <c r="AK299" s="20">
        <f t="shared" ca="1" si="626"/>
        <v>420005.12160893588</v>
      </c>
      <c r="AL299" s="20">
        <f t="shared" ca="1" si="626"/>
        <v>432605.27525720396</v>
      </c>
      <c r="AM299" s="20">
        <f t="shared" ca="1" si="626"/>
        <v>445583.43351492006</v>
      </c>
    </row>
    <row r="300" spans="1:39" x14ac:dyDescent="0.2">
      <c r="A300" s="22" t="str">
        <f>$A71</f>
        <v>Qormi</v>
      </c>
      <c r="B300" s="19"/>
      <c r="C300" s="20">
        <f t="shared" ref="C300:AM300" ca="1" si="627">IFERROR(IF(VLOOKUP($A300,$285:$295,C$1+2,FALSE)=0,C71,0),C71)</f>
        <v>225486.40785841495</v>
      </c>
      <c r="D300" s="20">
        <f t="shared" ca="1" si="627"/>
        <v>232251.00009416742</v>
      </c>
      <c r="E300" s="20">
        <f t="shared" ca="1" si="627"/>
        <v>239218.53009699244</v>
      </c>
      <c r="F300" s="20">
        <f t="shared" ca="1" si="627"/>
        <v>246395.08599990222</v>
      </c>
      <c r="G300" s="20">
        <f t="shared" ca="1" si="627"/>
        <v>253786.93857989929</v>
      </c>
      <c r="H300" s="20">
        <f t="shared" ca="1" si="627"/>
        <v>261400.54673729627</v>
      </c>
      <c r="I300" s="20">
        <f t="shared" ca="1" si="627"/>
        <v>269242.56313941517</v>
      </c>
      <c r="J300" s="20">
        <f t="shared" ca="1" si="627"/>
        <v>277319.84003359766</v>
      </c>
      <c r="K300" s="20">
        <f t="shared" ca="1" si="627"/>
        <v>285639.43523460563</v>
      </c>
      <c r="L300" s="20">
        <f t="shared" ca="1" si="627"/>
        <v>294208.6182916438</v>
      </c>
      <c r="M300" s="20">
        <f t="shared" ca="1" si="627"/>
        <v>303034.87684039312</v>
      </c>
      <c r="N300" s="20">
        <f t="shared" ca="1" si="627"/>
        <v>312125.9231456049</v>
      </c>
      <c r="O300" s="20">
        <f t="shared" ca="1" si="627"/>
        <v>321489.70083997305</v>
      </c>
      <c r="P300" s="20">
        <f t="shared" ca="1" si="627"/>
        <v>331134.39186517225</v>
      </c>
      <c r="Q300" s="20">
        <f t="shared" ca="1" si="627"/>
        <v>341068.42362112744</v>
      </c>
      <c r="R300" s="20">
        <f t="shared" ca="1" si="627"/>
        <v>351300.47632976127</v>
      </c>
      <c r="S300" s="20">
        <f t="shared" ca="1" si="627"/>
        <v>361839.49061965413</v>
      </c>
      <c r="T300" s="20">
        <f t="shared" ca="1" si="627"/>
        <v>372694.67533824377</v>
      </c>
      <c r="U300" s="20">
        <f t="shared" ca="1" si="627"/>
        <v>383875.51559839112</v>
      </c>
      <c r="V300" s="20">
        <f t="shared" ca="1" si="627"/>
        <v>395391.7810663429</v>
      </c>
      <c r="W300" s="20">
        <f t="shared" ca="1" si="627"/>
        <v>407253.53449833317</v>
      </c>
      <c r="X300" s="20">
        <f t="shared" ca="1" si="627"/>
        <v>419471.14053328318</v>
      </c>
      <c r="Y300" s="20">
        <f t="shared" ca="1" si="627"/>
        <v>432055.2747492817</v>
      </c>
      <c r="Z300" s="20">
        <f t="shared" ca="1" si="627"/>
        <v>445016.93299176014</v>
      </c>
      <c r="AA300" s="20">
        <f t="shared" ca="1" si="627"/>
        <v>458367.44098151295</v>
      </c>
      <c r="AB300" s="20">
        <f t="shared" ca="1" si="627"/>
        <v>472118.46421095834</v>
      </c>
      <c r="AC300" s="20">
        <f t="shared" ca="1" si="627"/>
        <v>486282.01813728712</v>
      </c>
      <c r="AD300" s="20">
        <f t="shared" ca="1" si="627"/>
        <v>500870.47868140572</v>
      </c>
      <c r="AE300" s="20">
        <f t="shared" ca="1" si="627"/>
        <v>515896.59304184793</v>
      </c>
      <c r="AF300" s="20">
        <f t="shared" ca="1" si="627"/>
        <v>531373.49083310342</v>
      </c>
      <c r="AG300" s="20">
        <f t="shared" ca="1" si="627"/>
        <v>547314.69555809652</v>
      </c>
      <c r="AH300" s="20">
        <f t="shared" ca="1" si="627"/>
        <v>563734.13642483938</v>
      </c>
      <c r="AI300" s="20">
        <f t="shared" ca="1" si="627"/>
        <v>580646.16051758453</v>
      </c>
      <c r="AJ300" s="20">
        <f t="shared" ca="1" si="627"/>
        <v>598065.54533311212</v>
      </c>
      <c r="AK300" s="20">
        <f t="shared" ca="1" si="627"/>
        <v>616007.51169310545</v>
      </c>
      <c r="AL300" s="20">
        <f t="shared" ca="1" si="627"/>
        <v>634487.73704389867</v>
      </c>
      <c r="AM300" s="20">
        <f t="shared" ca="1" si="627"/>
        <v>653522.36915521568</v>
      </c>
    </row>
    <row r="301" spans="1:39" x14ac:dyDescent="0.2">
      <c r="A301" s="22" t="str">
        <f>$A72</f>
        <v>Gudja</v>
      </c>
      <c r="B301" s="19"/>
      <c r="C301" s="20">
        <f t="shared" ref="C301:AM301" ca="1" si="628">IFERROR(IF(VLOOKUP($A301,$285:$295,C$1+2,FALSE)=0,C72,0),C72)</f>
        <v>81995.057403059982</v>
      </c>
      <c r="D301" s="20">
        <f t="shared" ca="1" si="628"/>
        <v>84454.909125151782</v>
      </c>
      <c r="E301" s="20">
        <f t="shared" ca="1" si="628"/>
        <v>86988.556398906338</v>
      </c>
      <c r="F301" s="20">
        <f t="shared" ca="1" si="628"/>
        <v>89598.213090873527</v>
      </c>
      <c r="G301" s="20">
        <f t="shared" ca="1" si="628"/>
        <v>92286.159483599738</v>
      </c>
      <c r="H301" s="20">
        <f t="shared" ca="1" si="628"/>
        <v>95054.744268107737</v>
      </c>
      <c r="I301" s="20">
        <f t="shared" ca="1" si="628"/>
        <v>97906.386596150973</v>
      </c>
      <c r="J301" s="20">
        <f t="shared" ca="1" si="628"/>
        <v>100843.57819403551</v>
      </c>
      <c r="K301" s="20">
        <f t="shared" ca="1" si="628"/>
        <v>103868.88553985658</v>
      </c>
      <c r="L301" s="20">
        <f t="shared" ca="1" si="628"/>
        <v>106984.95210605228</v>
      </c>
      <c r="M301" s="20">
        <f t="shared" ca="1" si="628"/>
        <v>110194.50066923385</v>
      </c>
      <c r="N301" s="20">
        <f t="shared" ca="1" si="628"/>
        <v>113500.33568931087</v>
      </c>
      <c r="O301" s="20">
        <f t="shared" ca="1" si="628"/>
        <v>116905.3457599902</v>
      </c>
      <c r="P301" s="20">
        <f t="shared" ca="1" si="628"/>
        <v>120412.50613278992</v>
      </c>
      <c r="Q301" s="20">
        <f t="shared" ca="1" si="628"/>
        <v>124024.88131677362</v>
      </c>
      <c r="R301" s="20">
        <f t="shared" ca="1" si="628"/>
        <v>127745.62775627684</v>
      </c>
      <c r="S301" s="20">
        <f t="shared" ca="1" si="628"/>
        <v>131577.99658896515</v>
      </c>
      <c r="T301" s="20">
        <f t="shared" ca="1" si="628"/>
        <v>135525.3364866341</v>
      </c>
      <c r="U301" s="20">
        <f t="shared" ca="1" si="628"/>
        <v>139591.09658123311</v>
      </c>
      <c r="V301" s="20">
        <f t="shared" ca="1" si="628"/>
        <v>143778.82947867012</v>
      </c>
      <c r="W301" s="20">
        <f t="shared" ca="1" si="628"/>
        <v>148092.19436303023</v>
      </c>
      <c r="X301" s="20">
        <f t="shared" ca="1" si="628"/>
        <v>152534.96019392114</v>
      </c>
      <c r="Y301" s="20">
        <f t="shared" ca="1" si="628"/>
        <v>157111.00899973878</v>
      </c>
      <c r="Z301" s="20">
        <f t="shared" ca="1" si="628"/>
        <v>161824.33926973096</v>
      </c>
      <c r="AA301" s="20">
        <f t="shared" ca="1" si="628"/>
        <v>166679.0694478229</v>
      </c>
      <c r="AB301" s="20">
        <f t="shared" ca="1" si="628"/>
        <v>171679.44153125759</v>
      </c>
      <c r="AC301" s="20">
        <f t="shared" ca="1" si="628"/>
        <v>176829.82477719532</v>
      </c>
      <c r="AD301" s="20">
        <f t="shared" ca="1" si="628"/>
        <v>182134.71952051119</v>
      </c>
      <c r="AE301" s="20">
        <f t="shared" ca="1" si="628"/>
        <v>187598.76110612653</v>
      </c>
      <c r="AF301" s="20">
        <f t="shared" ca="1" si="628"/>
        <v>193226.72393931032</v>
      </c>
      <c r="AG301" s="20">
        <f t="shared" ca="1" si="628"/>
        <v>199023.52565748963</v>
      </c>
      <c r="AH301" s="20">
        <f t="shared" ca="1" si="628"/>
        <v>204994.23142721434</v>
      </c>
      <c r="AI301" s="20">
        <f t="shared" ca="1" si="628"/>
        <v>211144.05837003078</v>
      </c>
      <c r="AJ301" s="20">
        <f t="shared" ca="1" si="628"/>
        <v>217478.38012113172</v>
      </c>
      <c r="AK301" s="20">
        <f t="shared" ca="1" si="628"/>
        <v>224002.73152476567</v>
      </c>
      <c r="AL301" s="20">
        <f t="shared" ca="1" si="628"/>
        <v>230722.81347050864</v>
      </c>
      <c r="AM301" s="20">
        <f t="shared" ca="1" si="628"/>
        <v>237644.49787462392</v>
      </c>
    </row>
    <row r="302" spans="1:39" x14ac:dyDescent="0.2">
      <c r="A302" s="22" t="str">
        <f>$A73</f>
        <v>Marsa</v>
      </c>
      <c r="B302" s="19"/>
      <c r="C302" s="20">
        <f t="shared" ref="C302:AM302" ca="1" si="629">IFERROR(IF(VLOOKUP($A302,$285:$295,C$1+2,FALSE)=0,C73,0),C73)</f>
        <v>122992.58610458997</v>
      </c>
      <c r="D302" s="20">
        <f t="shared" ca="1" si="629"/>
        <v>126682.36368772767</v>
      </c>
      <c r="E302" s="20">
        <f t="shared" ca="1" si="629"/>
        <v>130482.83459835951</v>
      </c>
      <c r="F302" s="20">
        <f t="shared" ca="1" si="629"/>
        <v>134397.31963631031</v>
      </c>
      <c r="G302" s="20">
        <f t="shared" ca="1" si="629"/>
        <v>138429.23922539962</v>
      </c>
      <c r="H302" s="20">
        <f t="shared" ca="1" si="629"/>
        <v>142582.11640216163</v>
      </c>
      <c r="I302" s="20">
        <f t="shared" ca="1" si="629"/>
        <v>146859.57989422648</v>
      </c>
      <c r="J302" s="20">
        <f t="shared" ca="1" si="629"/>
        <v>151265.36729105329</v>
      </c>
      <c r="K302" s="20">
        <f t="shared" ca="1" si="629"/>
        <v>155803.32830978491</v>
      </c>
      <c r="L302" s="20">
        <f t="shared" ca="1" si="629"/>
        <v>160477.42815907847</v>
      </c>
      <c r="M302" s="20">
        <f t="shared" ca="1" si="629"/>
        <v>165291.75100385083</v>
      </c>
      <c r="N302" s="20">
        <f t="shared" ca="1" si="629"/>
        <v>170250.50353396637</v>
      </c>
      <c r="O302" s="20">
        <f t="shared" ca="1" si="629"/>
        <v>175358.01863998536</v>
      </c>
      <c r="P302" s="20">
        <f t="shared" ca="1" si="629"/>
        <v>180618.75919918492</v>
      </c>
      <c r="Q302" s="20">
        <f t="shared" ca="1" si="629"/>
        <v>186037.32197516048</v>
      </c>
      <c r="R302" s="20">
        <f t="shared" ca="1" si="629"/>
        <v>191618.4416344153</v>
      </c>
      <c r="S302" s="20">
        <f t="shared" ca="1" si="629"/>
        <v>197366.99488344777</v>
      </c>
      <c r="T302" s="20">
        <f t="shared" ca="1" si="629"/>
        <v>203288.00472995121</v>
      </c>
      <c r="U302" s="20">
        <f t="shared" ca="1" si="629"/>
        <v>209386.64487184974</v>
      </c>
      <c r="V302" s="20">
        <f t="shared" ca="1" si="629"/>
        <v>215668.24421800525</v>
      </c>
      <c r="W302" s="20">
        <f t="shared" ca="1" si="629"/>
        <v>222138.29154454541</v>
      </c>
      <c r="X302" s="20">
        <f t="shared" ca="1" si="629"/>
        <v>228802.44029088179</v>
      </c>
      <c r="Y302" s="20">
        <f t="shared" ca="1" si="629"/>
        <v>235666.51349960823</v>
      </c>
      <c r="Z302" s="20">
        <f t="shared" ca="1" si="629"/>
        <v>242736.5089045965</v>
      </c>
      <c r="AA302" s="20">
        <f t="shared" ca="1" si="629"/>
        <v>250018.60417173439</v>
      </c>
      <c r="AB302" s="20">
        <f t="shared" ca="1" si="629"/>
        <v>257519.16229688644</v>
      </c>
      <c r="AC302" s="20">
        <f t="shared" ca="1" si="629"/>
        <v>265244.73716579302</v>
      </c>
      <c r="AD302" s="20">
        <f t="shared" ca="1" si="629"/>
        <v>273202.07928076683</v>
      </c>
      <c r="AE302" s="20">
        <f t="shared" ca="1" si="629"/>
        <v>281398.14165918983</v>
      </c>
      <c r="AF302" s="20">
        <f t="shared" ca="1" si="629"/>
        <v>289840.08590896556</v>
      </c>
      <c r="AG302" s="20">
        <f t="shared" ca="1" si="629"/>
        <v>298535.28848623455</v>
      </c>
      <c r="AH302" s="20">
        <f t="shared" ca="1" si="629"/>
        <v>307491.34714082157</v>
      </c>
      <c r="AI302" s="20">
        <f t="shared" ca="1" si="629"/>
        <v>316716.08755504625</v>
      </c>
      <c r="AJ302" s="20">
        <f t="shared" ca="1" si="629"/>
        <v>326217.57018169767</v>
      </c>
      <c r="AK302" s="20">
        <f t="shared" ca="1" si="629"/>
        <v>336004.09728714859</v>
      </c>
      <c r="AL302" s="20">
        <f t="shared" ca="1" si="629"/>
        <v>346084.22020576306</v>
      </c>
      <c r="AM302" s="20">
        <f t="shared" ca="1" si="629"/>
        <v>356466.74681193597</v>
      </c>
    </row>
    <row r="303" spans="1:39" x14ac:dyDescent="0.2">
      <c r="A303" s="22" t="str">
        <f>A75</f>
        <v>Jewelry</v>
      </c>
      <c r="B303" s="19"/>
      <c r="C303" s="20">
        <f t="shared" ref="C303:AM303" ca="1" si="630">IFERROR(IF(VLOOKUP($A303,$285:$295,C$1+2,FALSE)=0,C75,0),C75)</f>
        <v>50831.955131348885</v>
      </c>
      <c r="D303" s="20">
        <f t="shared" ca="1" si="630"/>
        <v>51848.594233975862</v>
      </c>
      <c r="E303" s="20">
        <f t="shared" ca="1" si="630"/>
        <v>52885.566118655377</v>
      </c>
      <c r="F303" s="20">
        <f t="shared" ca="1" si="630"/>
        <v>53943.277441028484</v>
      </c>
      <c r="G303" s="20">
        <f t="shared" ca="1" si="630"/>
        <v>55022.142989849053</v>
      </c>
      <c r="H303" s="20">
        <f t="shared" ca="1" si="630"/>
        <v>56122.585849646035</v>
      </c>
      <c r="I303" s="20">
        <f t="shared" ca="1" si="630"/>
        <v>57245.037566638959</v>
      </c>
      <c r="J303" s="20">
        <f t="shared" ca="1" si="630"/>
        <v>58389.938317971741</v>
      </c>
      <c r="K303" s="20">
        <f t="shared" ca="1" si="630"/>
        <v>59557.73708433118</v>
      </c>
      <c r="L303" s="20">
        <f t="shared" ca="1" si="630"/>
        <v>60748.891826017803</v>
      </c>
      <c r="M303" s="20">
        <f t="shared" ca="1" si="630"/>
        <v>61963.869662538164</v>
      </c>
      <c r="N303" s="20">
        <f t="shared" ca="1" si="630"/>
        <v>63203.147055788926</v>
      </c>
      <c r="O303" s="20">
        <f t="shared" ca="1" si="630"/>
        <v>64467.209996904705</v>
      </c>
      <c r="P303" s="20">
        <f t="shared" ca="1" si="630"/>
        <v>65756.554196842801</v>
      </c>
      <c r="Q303" s="20">
        <f t="shared" ca="1" si="630"/>
        <v>67071.685280779653</v>
      </c>
      <c r="R303" s="20">
        <f t="shared" ca="1" si="630"/>
        <v>68413.118986395246</v>
      </c>
      <c r="S303" s="20">
        <f t="shared" ca="1" si="630"/>
        <v>69781.381366123154</v>
      </c>
      <c r="T303" s="20">
        <f t="shared" ca="1" si="630"/>
        <v>71177.008993445619</v>
      </c>
      <c r="U303" s="20">
        <f t="shared" ca="1" si="630"/>
        <v>72600.549173314532</v>
      </c>
      <c r="V303" s="20">
        <f t="shared" ca="1" si="630"/>
        <v>74052.560156780819</v>
      </c>
      <c r="W303" s="20">
        <f t="shared" ca="1" si="630"/>
        <v>75533.611359916438</v>
      </c>
      <c r="X303" s="20">
        <f t="shared" ca="1" si="630"/>
        <v>77044.283587114769</v>
      </c>
      <c r="Y303" s="20">
        <f t="shared" ca="1" si="630"/>
        <v>78585.169258857059</v>
      </c>
      <c r="Z303" s="20">
        <f t="shared" ca="1" si="630"/>
        <v>80156.8726440342</v>
      </c>
      <c r="AA303" s="20">
        <f t="shared" ca="1" si="630"/>
        <v>81760.010096914892</v>
      </c>
      <c r="AB303" s="20">
        <f t="shared" ca="1" si="630"/>
        <v>83395.210298853184</v>
      </c>
      <c r="AC303" s="20">
        <f t="shared" ca="1" si="630"/>
        <v>85063.114504830242</v>
      </c>
      <c r="AD303" s="20">
        <f t="shared" ca="1" si="630"/>
        <v>86764.376794926851</v>
      </c>
      <c r="AE303" s="20">
        <f t="shared" ca="1" si="630"/>
        <v>88499.664330825384</v>
      </c>
      <c r="AF303" s="20">
        <f t="shared" ca="1" si="630"/>
        <v>90269.657617441888</v>
      </c>
      <c r="AG303" s="20">
        <f t="shared" ca="1" si="630"/>
        <v>92075.050769790731</v>
      </c>
      <c r="AH303" s="20">
        <f t="shared" ca="1" si="630"/>
        <v>93916.551785186544</v>
      </c>
      <c r="AI303" s="20">
        <f t="shared" ca="1" si="630"/>
        <v>95794.882820890271</v>
      </c>
      <c r="AJ303" s="20">
        <f t="shared" ca="1" si="630"/>
        <v>97710.780477308072</v>
      </c>
      <c r="AK303" s="20">
        <f t="shared" ca="1" si="630"/>
        <v>99664.99608685424</v>
      </c>
      <c r="AL303" s="20">
        <f t="shared" ca="1" si="630"/>
        <v>101658.29600859132</v>
      </c>
      <c r="AM303" s="20">
        <f t="shared" ca="1" si="630"/>
        <v>103691.46192876315</v>
      </c>
    </row>
    <row r="304" spans="1:39" x14ac:dyDescent="0.2">
      <c r="A304" s="22" t="str">
        <f>A76</f>
        <v>Car</v>
      </c>
      <c r="B304" s="19"/>
      <c r="C304" s="20">
        <f t="shared" ref="C304:AM304" ca="1" si="631">IFERROR(IF(VLOOKUP($A304,$285:$295,C$1+2,FALSE)=0,C76,0),C76)</f>
        <v>38326.250080955608</v>
      </c>
      <c r="D304" s="20">
        <f t="shared" ca="1" si="631"/>
        <v>36409.937576907825</v>
      </c>
      <c r="E304" s="20">
        <f t="shared" ca="1" si="631"/>
        <v>34589.440698062434</v>
      </c>
      <c r="F304" s="20">
        <f t="shared" ca="1" si="631"/>
        <v>32859.968663159307</v>
      </c>
      <c r="G304" s="20">
        <f t="shared" ca="1" si="631"/>
        <v>31216.970230001341</v>
      </c>
      <c r="H304" s="20">
        <f t="shared" ca="1" si="631"/>
        <v>29656.121718501272</v>
      </c>
      <c r="I304" s="20">
        <f t="shared" ca="1" si="631"/>
        <v>28173.315632576207</v>
      </c>
      <c r="J304" s="20">
        <f t="shared" ca="1" si="631"/>
        <v>26764.649850947397</v>
      </c>
      <c r="K304" s="20">
        <f t="shared" ca="1" si="631"/>
        <v>25426.417358400027</v>
      </c>
      <c r="L304" s="20">
        <f t="shared" ca="1" si="631"/>
        <v>24155.096490480024</v>
      </c>
      <c r="M304" s="20">
        <f t="shared" ca="1" si="631"/>
        <v>22947.341665956021</v>
      </c>
      <c r="N304" s="20">
        <f t="shared" ca="1" si="631"/>
        <v>21799.974582658218</v>
      </c>
      <c r="O304" s="20">
        <f t="shared" ca="1" si="631"/>
        <v>20709.975853525306</v>
      </c>
      <c r="P304" s="20">
        <f t="shared" ca="1" si="631"/>
        <v>19674.47706084904</v>
      </c>
      <c r="Q304" s="20">
        <f t="shared" ca="1" si="631"/>
        <v>18690.753207806589</v>
      </c>
      <c r="R304" s="20">
        <f t="shared" ca="1" si="631"/>
        <v>17756.215547416257</v>
      </c>
      <c r="S304" s="20">
        <f t="shared" ca="1" si="631"/>
        <v>16868.404770045443</v>
      </c>
      <c r="T304" s="20">
        <f t="shared" ca="1" si="631"/>
        <v>16024.98453154317</v>
      </c>
      <c r="U304" s="20">
        <f t="shared" ca="1" si="631"/>
        <v>15223.735304966011</v>
      </c>
      <c r="V304" s="20">
        <f t="shared" ca="1" si="631"/>
        <v>14462.548539717709</v>
      </c>
      <c r="W304" s="20">
        <f t="shared" ca="1" si="631"/>
        <v>13739.421112731823</v>
      </c>
      <c r="X304" s="20">
        <f t="shared" ca="1" si="631"/>
        <v>13052.450057095231</v>
      </c>
      <c r="Y304" s="20">
        <f t="shared" ca="1" si="631"/>
        <v>12399.82755424047</v>
      </c>
      <c r="Z304" s="20">
        <f t="shared" ca="1" si="631"/>
        <v>11779.836176528446</v>
      </c>
      <c r="AA304" s="20">
        <f t="shared" ca="1" si="631"/>
        <v>11190.844367702024</v>
      </c>
      <c r="AB304" s="20">
        <f t="shared" ca="1" si="631"/>
        <v>10631.302149316922</v>
      </c>
      <c r="AC304" s="20">
        <f t="shared" ca="1" si="631"/>
        <v>10099.737041851075</v>
      </c>
      <c r="AD304" s="20">
        <f t="shared" ca="1" si="631"/>
        <v>9594.7501897585207</v>
      </c>
      <c r="AE304" s="20">
        <f t="shared" ca="1" si="631"/>
        <v>9115.0126802705945</v>
      </c>
      <c r="AF304" s="20">
        <f t="shared" ca="1" si="631"/>
        <v>8659.2620462570649</v>
      </c>
      <c r="AG304" s="20">
        <f t="shared" ca="1" si="631"/>
        <v>8226.2989439442117</v>
      </c>
      <c r="AH304" s="20">
        <f t="shared" ca="1" si="631"/>
        <v>7814.9839967470007</v>
      </c>
      <c r="AI304" s="20">
        <f t="shared" ca="1" si="631"/>
        <v>7424.23479690965</v>
      </c>
      <c r="AJ304" s="20">
        <f t="shared" ca="1" si="631"/>
        <v>7053.023057064167</v>
      </c>
      <c r="AK304" s="20">
        <f t="shared" ca="1" si="631"/>
        <v>6700.3719042109587</v>
      </c>
      <c r="AL304" s="20">
        <f t="shared" ca="1" si="631"/>
        <v>6365.3533090004103</v>
      </c>
      <c r="AM304" s="20">
        <f t="shared" ca="1" si="631"/>
        <v>6047.0856435503892</v>
      </c>
    </row>
    <row r="305" spans="1:39" x14ac:dyDescent="0.2">
      <c r="A305" s="22" t="str">
        <f>A77</f>
        <v>Painting</v>
      </c>
      <c r="B305" s="19"/>
      <c r="C305" s="20">
        <f t="shared" ref="C305:AM305" ca="1" si="632">IFERROR(IF(VLOOKUP($A305,$285:$295,C$1+2,FALSE)=0,C77,0),C77)</f>
        <v>20498.764350764995</v>
      </c>
      <c r="D305" s="20">
        <f t="shared" ca="1" si="632"/>
        <v>21113.727281287946</v>
      </c>
      <c r="E305" s="20">
        <f t="shared" ca="1" si="632"/>
        <v>21747.139099726584</v>
      </c>
      <c r="F305" s="20">
        <f t="shared" ca="1" si="632"/>
        <v>22399.553272718382</v>
      </c>
      <c r="G305" s="20">
        <f t="shared" ca="1" si="632"/>
        <v>23071.539870899935</v>
      </c>
      <c r="H305" s="20">
        <f t="shared" ca="1" si="632"/>
        <v>23763.686067026934</v>
      </c>
      <c r="I305" s="20">
        <f t="shared" ca="1" si="632"/>
        <v>24476.596649037743</v>
      </c>
      <c r="J305" s="20">
        <f t="shared" ca="1" si="632"/>
        <v>25210.894548508877</v>
      </c>
      <c r="K305" s="20">
        <f t="shared" ca="1" si="632"/>
        <v>25967.221384964145</v>
      </c>
      <c r="L305" s="20">
        <f t="shared" ca="1" si="632"/>
        <v>26746.238026513071</v>
      </c>
      <c r="M305" s="20">
        <f t="shared" ca="1" si="632"/>
        <v>27548.625167308463</v>
      </c>
      <c r="N305" s="20">
        <f t="shared" ca="1" si="632"/>
        <v>28375.083922327718</v>
      </c>
      <c r="O305" s="20">
        <f t="shared" ca="1" si="632"/>
        <v>29226.336439997551</v>
      </c>
      <c r="P305" s="20">
        <f t="shared" ca="1" si="632"/>
        <v>30103.126533197479</v>
      </c>
      <c r="Q305" s="20">
        <f t="shared" ca="1" si="632"/>
        <v>31006.220329193406</v>
      </c>
      <c r="R305" s="20">
        <f t="shared" ca="1" si="632"/>
        <v>31936.406939069209</v>
      </c>
      <c r="S305" s="20">
        <f t="shared" ca="1" si="632"/>
        <v>32894.499147241288</v>
      </c>
      <c r="T305" s="20">
        <f t="shared" ca="1" si="632"/>
        <v>33881.334121658525</v>
      </c>
      <c r="U305" s="20">
        <f t="shared" ca="1" si="632"/>
        <v>34897.774145308278</v>
      </c>
      <c r="V305" s="20">
        <f t="shared" ca="1" si="632"/>
        <v>35944.707369667529</v>
      </c>
      <c r="W305" s="20">
        <f t="shared" ca="1" si="632"/>
        <v>37023.048590757557</v>
      </c>
      <c r="X305" s="20">
        <f t="shared" ca="1" si="632"/>
        <v>38133.740048480286</v>
      </c>
      <c r="Y305" s="20">
        <f t="shared" ca="1" si="632"/>
        <v>39277.752249934696</v>
      </c>
      <c r="Z305" s="20">
        <f t="shared" ca="1" si="632"/>
        <v>40456.08481743274</v>
      </c>
      <c r="AA305" s="20">
        <f t="shared" ca="1" si="632"/>
        <v>41669.767361955724</v>
      </c>
      <c r="AB305" s="20">
        <f t="shared" ca="1" si="632"/>
        <v>42919.860382814397</v>
      </c>
      <c r="AC305" s="20">
        <f t="shared" ca="1" si="632"/>
        <v>44207.456194298829</v>
      </c>
      <c r="AD305" s="20">
        <f t="shared" ca="1" si="632"/>
        <v>45533.679880127798</v>
      </c>
      <c r="AE305" s="20">
        <f t="shared" ca="1" si="632"/>
        <v>46899.690276531634</v>
      </c>
      <c r="AF305" s="20">
        <f t="shared" ca="1" si="632"/>
        <v>48306.680984827581</v>
      </c>
      <c r="AG305" s="20">
        <f t="shared" ca="1" si="632"/>
        <v>49755.881414372408</v>
      </c>
      <c r="AH305" s="20">
        <f t="shared" ca="1" si="632"/>
        <v>51248.557856803585</v>
      </c>
      <c r="AI305" s="20">
        <f t="shared" ca="1" si="632"/>
        <v>52786.014592507694</v>
      </c>
      <c r="AJ305" s="20">
        <f t="shared" ca="1" si="632"/>
        <v>54369.59503028293</v>
      </c>
      <c r="AK305" s="20">
        <f t="shared" ca="1" si="632"/>
        <v>56000.682881191417</v>
      </c>
      <c r="AL305" s="20">
        <f t="shared" ca="1" si="632"/>
        <v>57680.70336762716</v>
      </c>
      <c r="AM305" s="20">
        <f t="shared" ca="1" si="632"/>
        <v>59411.12446865598</v>
      </c>
    </row>
    <row r="306" spans="1:39" x14ac:dyDescent="0.2">
      <c r="A306" s="22" t="str">
        <f>A78</f>
        <v>Boat</v>
      </c>
      <c r="B306" s="19"/>
      <c r="C306" s="20">
        <f t="shared" ref="C306:AM306" ca="1" si="633">IFERROR(IF(VLOOKUP($A306,$285:$295,C$1+2,FALSE)=0,C78,0),C78)</f>
        <v>172468.12536430024</v>
      </c>
      <c r="D306" s="20">
        <f t="shared" ca="1" si="633"/>
        <v>163844.71909608523</v>
      </c>
      <c r="E306" s="20">
        <f t="shared" ca="1" si="633"/>
        <v>155652.48314128097</v>
      </c>
      <c r="F306" s="20">
        <f t="shared" ca="1" si="633"/>
        <v>147869.85898421693</v>
      </c>
      <c r="G306" s="20">
        <f t="shared" ca="1" si="633"/>
        <v>140476.36603500607</v>
      </c>
      <c r="H306" s="20">
        <f t="shared" ca="1" si="633"/>
        <v>133452.54773325575</v>
      </c>
      <c r="I306" s="20">
        <f t="shared" ca="1" si="633"/>
        <v>126779.92034659296</v>
      </c>
      <c r="J306" s="20">
        <f t="shared" ca="1" si="633"/>
        <v>120440.9243292633</v>
      </c>
      <c r="K306" s="20">
        <f t="shared" ca="1" si="633"/>
        <v>114418.87811280013</v>
      </c>
      <c r="L306" s="20">
        <f t="shared" ca="1" si="633"/>
        <v>108697.93420716011</v>
      </c>
      <c r="M306" s="20">
        <f t="shared" ca="1" si="633"/>
        <v>103263.03749680211</v>
      </c>
      <c r="N306" s="20">
        <f t="shared" ca="1" si="633"/>
        <v>98099.885621961992</v>
      </c>
      <c r="O306" s="20">
        <f t="shared" ca="1" si="633"/>
        <v>93194.891340863891</v>
      </c>
      <c r="P306" s="20">
        <f t="shared" ca="1" si="633"/>
        <v>88535.146773820699</v>
      </c>
      <c r="Q306" s="20">
        <f t="shared" ca="1" si="633"/>
        <v>84108.389435129662</v>
      </c>
      <c r="R306" s="20">
        <f t="shared" ca="1" si="633"/>
        <v>79902.96996337318</v>
      </c>
      <c r="S306" s="20">
        <f t="shared" ca="1" si="633"/>
        <v>75907.821465204514</v>
      </c>
      <c r="T306" s="20">
        <f t="shared" ca="1" si="633"/>
        <v>72112.43039194429</v>
      </c>
      <c r="U306" s="20">
        <f t="shared" ca="1" si="633"/>
        <v>68506.808872347072</v>
      </c>
      <c r="V306" s="20">
        <f t="shared" ca="1" si="633"/>
        <v>65081.468428729713</v>
      </c>
      <c r="W306" s="20">
        <f t="shared" ca="1" si="633"/>
        <v>61827.395007293228</v>
      </c>
      <c r="X306" s="20">
        <f t="shared" ca="1" si="633"/>
        <v>58736.025256928566</v>
      </c>
      <c r="Y306" s="20">
        <f t="shared" ca="1" si="633"/>
        <v>55799.223994082138</v>
      </c>
      <c r="Z306" s="20">
        <f t="shared" ca="1" si="633"/>
        <v>53009.262794378032</v>
      </c>
      <c r="AA306" s="20">
        <f t="shared" ca="1" si="633"/>
        <v>50358.799654659131</v>
      </c>
      <c r="AB306" s="20">
        <f t="shared" ca="1" si="633"/>
        <v>47840.85967192617</v>
      </c>
      <c r="AC306" s="20">
        <f t="shared" ca="1" si="633"/>
        <v>45448.816688329862</v>
      </c>
      <c r="AD306" s="20">
        <f t="shared" ca="1" si="633"/>
        <v>43176.375853913363</v>
      </c>
      <c r="AE306" s="20">
        <f t="shared" ca="1" si="633"/>
        <v>41017.557061217696</v>
      </c>
      <c r="AF306" s="20">
        <f t="shared" ca="1" si="633"/>
        <v>38966.679208156813</v>
      </c>
      <c r="AG306" s="20">
        <f t="shared" ca="1" si="633"/>
        <v>37018.34524774897</v>
      </c>
      <c r="AH306" s="20">
        <f t="shared" ca="1" si="633"/>
        <v>35167.427985361523</v>
      </c>
      <c r="AI306" s="20">
        <f t="shared" ca="1" si="633"/>
        <v>33409.056586093444</v>
      </c>
      <c r="AJ306" s="20">
        <f t="shared" ca="1" si="633"/>
        <v>31738.603756788769</v>
      </c>
      <c r="AK306" s="20">
        <f t="shared" ca="1" si="633"/>
        <v>30151.673568949329</v>
      </c>
      <c r="AL306" s="20">
        <f t="shared" ca="1" si="633"/>
        <v>28644.089890501862</v>
      </c>
      <c r="AM306" s="20">
        <f t="shared" ca="1" si="633"/>
        <v>27211.885395976769</v>
      </c>
    </row>
    <row r="307" spans="1:39" x14ac:dyDescent="0.2">
      <c r="A307" s="22" t="str">
        <f>A79</f>
        <v>Antiques</v>
      </c>
      <c r="B307" s="19"/>
      <c r="C307" s="20">
        <f t="shared" ref="C307:AM307" ca="1" si="634">IFERROR(IF(VLOOKUP($A307,$285:$295,C$1+2,FALSE)=0,C79,0),C79)</f>
        <v>83364.406415412173</v>
      </c>
      <c r="D307" s="20">
        <f t="shared" ca="1" si="634"/>
        <v>85031.694543720412</v>
      </c>
      <c r="E307" s="20">
        <f t="shared" ca="1" si="634"/>
        <v>86732.32843459482</v>
      </c>
      <c r="F307" s="20">
        <f t="shared" ca="1" si="634"/>
        <v>88466.975003286716</v>
      </c>
      <c r="G307" s="20">
        <f t="shared" ca="1" si="634"/>
        <v>90236.314503352449</v>
      </c>
      <c r="H307" s="20">
        <f t="shared" ca="1" si="634"/>
        <v>92041.040793419495</v>
      </c>
      <c r="I307" s="20">
        <f t="shared" ca="1" si="634"/>
        <v>93881.86160928788</v>
      </c>
      <c r="J307" s="20">
        <f t="shared" ca="1" si="634"/>
        <v>95759.498841473644</v>
      </c>
      <c r="K307" s="20">
        <f t="shared" ca="1" si="634"/>
        <v>97674.688818303111</v>
      </c>
      <c r="L307" s="20">
        <f t="shared" ca="1" si="634"/>
        <v>99628.182594669182</v>
      </c>
      <c r="M307" s="20">
        <f t="shared" ca="1" si="634"/>
        <v>101620.74624656257</v>
      </c>
      <c r="N307" s="20">
        <f t="shared" ca="1" si="634"/>
        <v>103653.16117149382</v>
      </c>
      <c r="O307" s="20">
        <f t="shared" ca="1" si="634"/>
        <v>105726.2243949237</v>
      </c>
      <c r="P307" s="20">
        <f t="shared" ca="1" si="634"/>
        <v>107840.74888282218</v>
      </c>
      <c r="Q307" s="20">
        <f t="shared" ca="1" si="634"/>
        <v>109997.56386047862</v>
      </c>
      <c r="R307" s="20">
        <f t="shared" ca="1" si="634"/>
        <v>112197.5151376882</v>
      </c>
      <c r="S307" s="20">
        <f t="shared" ca="1" si="634"/>
        <v>114441.46544044197</v>
      </c>
      <c r="T307" s="20">
        <f t="shared" ca="1" si="634"/>
        <v>116730.29474925081</v>
      </c>
      <c r="U307" s="20">
        <f t="shared" ca="1" si="634"/>
        <v>119064.90064423582</v>
      </c>
      <c r="V307" s="20">
        <f t="shared" ca="1" si="634"/>
        <v>121446.19865712053</v>
      </c>
      <c r="W307" s="20">
        <f t="shared" ca="1" si="634"/>
        <v>123875.12263026295</v>
      </c>
      <c r="X307" s="20">
        <f t="shared" ca="1" si="634"/>
        <v>126352.62508286821</v>
      </c>
      <c r="Y307" s="20">
        <f t="shared" ca="1" si="634"/>
        <v>128879.67758452558</v>
      </c>
      <c r="Z307" s="20">
        <f t="shared" ca="1" si="634"/>
        <v>131457.27113621609</v>
      </c>
      <c r="AA307" s="20">
        <f t="shared" ca="1" si="634"/>
        <v>134086.41655894043</v>
      </c>
      <c r="AB307" s="20">
        <f t="shared" ca="1" si="634"/>
        <v>136768.14489011923</v>
      </c>
      <c r="AC307" s="20">
        <f t="shared" ca="1" si="634"/>
        <v>139503.50778792161</v>
      </c>
      <c r="AD307" s="20">
        <f t="shared" ca="1" si="634"/>
        <v>142293.57794368005</v>
      </c>
      <c r="AE307" s="20">
        <f t="shared" ca="1" si="634"/>
        <v>145139.44950255365</v>
      </c>
      <c r="AF307" s="20">
        <f t="shared" ca="1" si="634"/>
        <v>148042.23849260472</v>
      </c>
      <c r="AG307" s="20">
        <f t="shared" ca="1" si="634"/>
        <v>151003.08326245681</v>
      </c>
      <c r="AH307" s="20">
        <f t="shared" ca="1" si="634"/>
        <v>154023.14492770596</v>
      </c>
      <c r="AI307" s="20">
        <f t="shared" ca="1" si="634"/>
        <v>157103.60782626009</v>
      </c>
      <c r="AJ307" s="20">
        <f t="shared" ca="1" si="634"/>
        <v>160245.67998278531</v>
      </c>
      <c r="AK307" s="20">
        <f t="shared" ca="1" si="634"/>
        <v>163450.59358244101</v>
      </c>
      <c r="AL307" s="20">
        <f t="shared" ca="1" si="634"/>
        <v>166719.60545408985</v>
      </c>
      <c r="AM307" s="20">
        <f t="shared" ca="1" si="634"/>
        <v>170053.99756317164</v>
      </c>
    </row>
    <row r="308" spans="1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x14ac:dyDescent="0.2">
      <c r="A309" s="18" t="s">
        <v>197</v>
      </c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1:39" x14ac:dyDescent="0.2">
      <c r="A310" s="22" t="str">
        <f>B$120</f>
        <v>Painting</v>
      </c>
      <c r="B310" s="19"/>
      <c r="C310" s="20">
        <f ca="1">SUM($C120:C120)</f>
        <v>0</v>
      </c>
      <c r="D310" s="20">
        <f ca="1">SUM($C120:D120)</f>
        <v>0</v>
      </c>
      <c r="E310" s="20">
        <f ca="1">SUM($C120:E120)</f>
        <v>0</v>
      </c>
      <c r="F310" s="20">
        <f ca="1">SUM($C120:F120)</f>
        <v>0</v>
      </c>
      <c r="G310" s="20">
        <f ca="1">SUM($C120:G120)</f>
        <v>0</v>
      </c>
      <c r="H310" s="20">
        <f ca="1">SUM($C120:H120)</f>
        <v>0</v>
      </c>
      <c r="I310" s="20">
        <f ca="1">SUM($C120:I120)</f>
        <v>0</v>
      </c>
      <c r="J310" s="20">
        <f ca="1">SUM($C120:J120)</f>
        <v>0</v>
      </c>
      <c r="K310" s="20">
        <f ca="1">SUM($C120:K120)</f>
        <v>0</v>
      </c>
      <c r="L310" s="20">
        <f ca="1">SUM($C120:L120)</f>
        <v>0</v>
      </c>
      <c r="M310" s="20">
        <f ca="1">SUM($C120:M120)</f>
        <v>0</v>
      </c>
      <c r="N310" s="20">
        <f ca="1">SUM($C120:N120)</f>
        <v>0</v>
      </c>
      <c r="O310" s="20">
        <f ca="1">SUM($C120:O120)</f>
        <v>0</v>
      </c>
      <c r="P310" s="20">
        <f ca="1">SUM($C120:P120)</f>
        <v>0</v>
      </c>
      <c r="Q310" s="20">
        <f ca="1">SUM($C120:Q120)</f>
        <v>0</v>
      </c>
      <c r="R310" s="20">
        <f ca="1">SUM($C120:R120)</f>
        <v>0</v>
      </c>
      <c r="S310" s="20">
        <f ca="1">SUM($C120:S120)</f>
        <v>0</v>
      </c>
      <c r="T310" s="20">
        <f ca="1">SUM($C120:T120)</f>
        <v>0</v>
      </c>
      <c r="U310" s="20">
        <f ca="1">SUM($C120:U120)</f>
        <v>0</v>
      </c>
      <c r="V310" s="20">
        <f ca="1">SUM($C120:V120)</f>
        <v>0</v>
      </c>
      <c r="W310" s="20">
        <f ca="1">SUM($C120:W120)</f>
        <v>0</v>
      </c>
      <c r="X310" s="20">
        <f ca="1">SUM($C120:X120)</f>
        <v>0</v>
      </c>
      <c r="Y310" s="20">
        <f ca="1">SUM($C120:Y120)</f>
        <v>0</v>
      </c>
      <c r="Z310" s="20">
        <f ca="1">SUM($C120:Z120)</f>
        <v>0</v>
      </c>
      <c r="AA310" s="20">
        <f ca="1">SUM($C120:AA120)</f>
        <v>0</v>
      </c>
      <c r="AB310" s="20">
        <f ca="1">SUM($C120:AB120)</f>
        <v>0</v>
      </c>
      <c r="AC310" s="20">
        <f ca="1">SUM($C120:AC120)</f>
        <v>0</v>
      </c>
      <c r="AD310" s="20">
        <f ca="1">SUM($C120:AD120)</f>
        <v>0</v>
      </c>
      <c r="AE310" s="20">
        <f ca="1">SUM($C120:AE120)</f>
        <v>0</v>
      </c>
      <c r="AF310" s="20">
        <f ca="1">SUM($C120:AF120)</f>
        <v>0</v>
      </c>
      <c r="AG310" s="20">
        <f ca="1">SUM($C120:AG120)</f>
        <v>0</v>
      </c>
      <c r="AH310" s="20">
        <f ca="1">SUM($C120:AH120)</f>
        <v>0</v>
      </c>
      <c r="AI310" s="20">
        <f ca="1">SUM($C120:AI120)</f>
        <v>0</v>
      </c>
      <c r="AJ310" s="20">
        <f ca="1">SUM($C120:AJ120)</f>
        <v>0</v>
      </c>
      <c r="AK310" s="20">
        <f ca="1">SUM($C120:AK120)</f>
        <v>0</v>
      </c>
      <c r="AL310" s="20">
        <f ca="1">SUM($C120:AL120)</f>
        <v>0</v>
      </c>
      <c r="AM310" s="20">
        <f ca="1">SUM($C120:AM120)</f>
        <v>0</v>
      </c>
    </row>
    <row r="311" spans="1:39" x14ac:dyDescent="0.2">
      <c r="A311" s="22" t="str">
        <f>B$137</f>
        <v>Car</v>
      </c>
      <c r="B311" s="19"/>
      <c r="C311" s="20">
        <f ca="1">SUM($C137:C137)</f>
        <v>0</v>
      </c>
      <c r="D311" s="20">
        <f ca="1">SUM($C137:D137)</f>
        <v>0</v>
      </c>
      <c r="E311" s="20">
        <f ca="1">SUM($C137:E137)</f>
        <v>0</v>
      </c>
      <c r="F311" s="20">
        <f ca="1">SUM($C137:F137)</f>
        <v>0</v>
      </c>
      <c r="G311" s="20">
        <f ca="1">SUM($C137:G137)</f>
        <v>0</v>
      </c>
      <c r="H311" s="20">
        <f ca="1">SUM($C137:H137)</f>
        <v>0</v>
      </c>
      <c r="I311" s="20">
        <f ca="1">SUM($C137:I137)</f>
        <v>0</v>
      </c>
      <c r="J311" s="20">
        <f ca="1">SUM($C137:J137)</f>
        <v>0</v>
      </c>
      <c r="K311" s="20">
        <f ca="1">SUM($C137:K137)</f>
        <v>0</v>
      </c>
      <c r="L311" s="20">
        <f ca="1">SUM($C137:L137)</f>
        <v>0</v>
      </c>
      <c r="M311" s="20">
        <f ca="1">SUM($C137:M137)</f>
        <v>0</v>
      </c>
      <c r="N311" s="20">
        <f ca="1">SUM($C137:N137)</f>
        <v>0</v>
      </c>
      <c r="O311" s="20">
        <f ca="1">SUM($C137:O137)</f>
        <v>0</v>
      </c>
      <c r="P311" s="20">
        <f ca="1">SUM($C137:P137)</f>
        <v>0</v>
      </c>
      <c r="Q311" s="20">
        <f ca="1">SUM($C137:Q137)</f>
        <v>0</v>
      </c>
      <c r="R311" s="20">
        <f ca="1">SUM($C137:R137)</f>
        <v>0</v>
      </c>
      <c r="S311" s="20">
        <f ca="1">SUM($C137:S137)</f>
        <v>0</v>
      </c>
      <c r="T311" s="20">
        <f ca="1">SUM($C137:T137)</f>
        <v>0</v>
      </c>
      <c r="U311" s="20">
        <f ca="1">SUM($C137:U137)</f>
        <v>0</v>
      </c>
      <c r="V311" s="20">
        <f ca="1">SUM($C137:V137)</f>
        <v>0</v>
      </c>
      <c r="W311" s="20">
        <f ca="1">SUM($C137:W137)</f>
        <v>0</v>
      </c>
      <c r="X311" s="20">
        <f ca="1">SUM($C137:X137)</f>
        <v>0</v>
      </c>
      <c r="Y311" s="20">
        <f ca="1">SUM($C137:Y137)</f>
        <v>0</v>
      </c>
      <c r="Z311" s="20">
        <f ca="1">SUM($C137:Z137)</f>
        <v>0</v>
      </c>
      <c r="AA311" s="20">
        <f ca="1">SUM($C137:AA137)</f>
        <v>0</v>
      </c>
      <c r="AB311" s="20">
        <f ca="1">SUM($C137:AB137)</f>
        <v>0</v>
      </c>
      <c r="AC311" s="20">
        <f ca="1">SUM($C137:AC137)</f>
        <v>0</v>
      </c>
      <c r="AD311" s="20">
        <f ca="1">SUM($C137:AD137)</f>
        <v>0</v>
      </c>
      <c r="AE311" s="20">
        <f ca="1">SUM($C137:AE137)</f>
        <v>0</v>
      </c>
      <c r="AF311" s="20">
        <f ca="1">SUM($C137:AF137)</f>
        <v>0</v>
      </c>
      <c r="AG311" s="20">
        <f ca="1">SUM($C137:AG137)</f>
        <v>0</v>
      </c>
      <c r="AH311" s="20">
        <f ca="1">SUM($C137:AH137)</f>
        <v>0</v>
      </c>
      <c r="AI311" s="20">
        <f ca="1">SUM($C137:AI137)</f>
        <v>0</v>
      </c>
      <c r="AJ311" s="20">
        <f ca="1">SUM($C137:AJ137)</f>
        <v>0</v>
      </c>
      <c r="AK311" s="20">
        <f ca="1">SUM($C137:AK137)</f>
        <v>0</v>
      </c>
      <c r="AL311" s="20">
        <f ca="1">SUM($C137:AL137)</f>
        <v>0</v>
      </c>
      <c r="AM311" s="20">
        <f ca="1">SUM($C137:AM137)</f>
        <v>0</v>
      </c>
    </row>
    <row r="312" spans="1:39" x14ac:dyDescent="0.2">
      <c r="A312" s="22" t="str">
        <f>B$154</f>
        <v>Jewelry</v>
      </c>
      <c r="B312" s="19"/>
      <c r="C312" s="20">
        <f ca="1">SUM($C154:C154)</f>
        <v>0</v>
      </c>
      <c r="D312" s="20">
        <f ca="1">SUM($C154:D154)</f>
        <v>0</v>
      </c>
      <c r="E312" s="20">
        <f ca="1">SUM($C154:E154)</f>
        <v>0</v>
      </c>
      <c r="F312" s="20">
        <f ca="1">SUM($C154:F154)</f>
        <v>0</v>
      </c>
      <c r="G312" s="20">
        <f ca="1">SUM($C154:G154)</f>
        <v>0</v>
      </c>
      <c r="H312" s="20">
        <f ca="1">SUM($C154:H154)</f>
        <v>0</v>
      </c>
      <c r="I312" s="20">
        <f ca="1">SUM($C154:I154)</f>
        <v>0</v>
      </c>
      <c r="J312" s="20">
        <f ca="1">SUM($C154:J154)</f>
        <v>0</v>
      </c>
      <c r="K312" s="20">
        <f ca="1">SUM($C154:K154)</f>
        <v>0</v>
      </c>
      <c r="L312" s="20">
        <f ca="1">SUM($C154:L154)</f>
        <v>0</v>
      </c>
      <c r="M312" s="20">
        <f ca="1">SUM($C154:M154)</f>
        <v>0</v>
      </c>
      <c r="N312" s="20">
        <f ca="1">SUM($C154:N154)</f>
        <v>0</v>
      </c>
      <c r="O312" s="20">
        <f ca="1">SUM($C154:O154)</f>
        <v>0</v>
      </c>
      <c r="P312" s="20">
        <f ca="1">SUM($C154:P154)</f>
        <v>0</v>
      </c>
      <c r="Q312" s="20">
        <f ca="1">SUM($C154:Q154)</f>
        <v>0</v>
      </c>
      <c r="R312" s="20">
        <f ca="1">SUM($C154:R154)</f>
        <v>0</v>
      </c>
      <c r="S312" s="20">
        <f ca="1">SUM($C154:S154)</f>
        <v>0</v>
      </c>
      <c r="T312" s="20">
        <f ca="1">SUM($C154:T154)</f>
        <v>0</v>
      </c>
      <c r="U312" s="20">
        <f ca="1">SUM($C154:U154)</f>
        <v>0</v>
      </c>
      <c r="V312" s="20">
        <f ca="1">SUM($C154:V154)</f>
        <v>0</v>
      </c>
      <c r="W312" s="20">
        <f ca="1">SUM($C154:W154)</f>
        <v>0</v>
      </c>
      <c r="X312" s="20">
        <f ca="1">SUM($C154:X154)</f>
        <v>0</v>
      </c>
      <c r="Y312" s="20">
        <f ca="1">SUM($C154:Y154)</f>
        <v>0</v>
      </c>
      <c r="Z312" s="20">
        <f ca="1">SUM($C154:Z154)</f>
        <v>0</v>
      </c>
      <c r="AA312" s="20">
        <f ca="1">SUM($C154:AA154)</f>
        <v>0</v>
      </c>
      <c r="AB312" s="20">
        <f ca="1">SUM($C154:AB154)</f>
        <v>0</v>
      </c>
      <c r="AC312" s="20">
        <f ca="1">SUM($C154:AC154)</f>
        <v>0</v>
      </c>
      <c r="AD312" s="20">
        <f ca="1">SUM($C154:AD154)</f>
        <v>0</v>
      </c>
      <c r="AE312" s="20">
        <f ca="1">SUM($C154:AE154)</f>
        <v>0</v>
      </c>
      <c r="AF312" s="20">
        <f ca="1">SUM($C154:AF154)</f>
        <v>0</v>
      </c>
      <c r="AG312" s="20">
        <f ca="1">SUM($C154:AG154)</f>
        <v>0</v>
      </c>
      <c r="AH312" s="20">
        <f ca="1">SUM($C154:AH154)</f>
        <v>0</v>
      </c>
      <c r="AI312" s="20">
        <f ca="1">SUM($C154:AI154)</f>
        <v>0</v>
      </c>
      <c r="AJ312" s="20">
        <f ca="1">SUM($C154:AJ154)</f>
        <v>0</v>
      </c>
      <c r="AK312" s="20">
        <f ca="1">SUM($C154:AK154)</f>
        <v>0</v>
      </c>
      <c r="AL312" s="20">
        <f ca="1">SUM($C154:AL154)</f>
        <v>0</v>
      </c>
      <c r="AM312" s="20">
        <f ca="1">SUM($C154:AM154)</f>
        <v>0</v>
      </c>
    </row>
    <row r="313" spans="1:39" x14ac:dyDescent="0.2">
      <c r="A313" s="22" t="str">
        <f>B$171</f>
        <v>Gudja</v>
      </c>
      <c r="B313" s="19"/>
      <c r="C313" s="20">
        <f ca="1">SUM($C171:C171)</f>
        <v>0</v>
      </c>
      <c r="D313" s="20">
        <f ca="1">SUM($C171:D171)</f>
        <v>0</v>
      </c>
      <c r="E313" s="20">
        <f ca="1">SUM($C171:E171)</f>
        <v>0</v>
      </c>
      <c r="F313" s="20">
        <f ca="1">SUM($C171:F171)</f>
        <v>0</v>
      </c>
      <c r="G313" s="20">
        <f ca="1">SUM($C171:G171)</f>
        <v>0</v>
      </c>
      <c r="H313" s="20">
        <f ca="1">SUM($C171:H171)</f>
        <v>0</v>
      </c>
      <c r="I313" s="20">
        <f ca="1">SUM($C171:I171)</f>
        <v>0</v>
      </c>
      <c r="J313" s="20">
        <f ca="1">SUM($C171:J171)</f>
        <v>0</v>
      </c>
      <c r="K313" s="20">
        <f ca="1">SUM($C171:K171)</f>
        <v>0</v>
      </c>
      <c r="L313" s="20">
        <f ca="1">SUM($C171:L171)</f>
        <v>0</v>
      </c>
      <c r="M313" s="20">
        <f ca="1">SUM($C171:M171)</f>
        <v>0</v>
      </c>
      <c r="N313" s="20">
        <f ca="1">SUM($C171:N171)</f>
        <v>0</v>
      </c>
      <c r="O313" s="20">
        <f ca="1">SUM($C171:O171)</f>
        <v>0</v>
      </c>
      <c r="P313" s="20">
        <f ca="1">SUM($C171:P171)</f>
        <v>0</v>
      </c>
      <c r="Q313" s="20">
        <f ca="1">SUM($C171:Q171)</f>
        <v>0</v>
      </c>
      <c r="R313" s="20">
        <f ca="1">SUM($C171:R171)</f>
        <v>0</v>
      </c>
      <c r="S313" s="20">
        <f ca="1">SUM($C171:S171)</f>
        <v>0</v>
      </c>
      <c r="T313" s="20">
        <f ca="1">SUM($C171:T171)</f>
        <v>0</v>
      </c>
      <c r="U313" s="20">
        <f ca="1">SUM($C171:U171)</f>
        <v>0</v>
      </c>
      <c r="V313" s="20">
        <f ca="1">SUM($C171:V171)</f>
        <v>0</v>
      </c>
      <c r="W313" s="20">
        <f ca="1">SUM($C171:W171)</f>
        <v>0</v>
      </c>
      <c r="X313" s="20">
        <f ca="1">SUM($C171:X171)</f>
        <v>0</v>
      </c>
      <c r="Y313" s="20">
        <f ca="1">SUM($C171:Y171)</f>
        <v>0</v>
      </c>
      <c r="Z313" s="20">
        <f ca="1">SUM($C171:Z171)</f>
        <v>0</v>
      </c>
      <c r="AA313" s="20">
        <f ca="1">SUM($C171:AA171)</f>
        <v>0</v>
      </c>
      <c r="AB313" s="20">
        <f ca="1">SUM($C171:AB171)</f>
        <v>0</v>
      </c>
      <c r="AC313" s="20">
        <f ca="1">SUM($C171:AC171)</f>
        <v>0</v>
      </c>
      <c r="AD313" s="20">
        <f ca="1">SUM($C171:AD171)</f>
        <v>0</v>
      </c>
      <c r="AE313" s="20">
        <f ca="1">SUM($C171:AE171)</f>
        <v>0</v>
      </c>
      <c r="AF313" s="20">
        <f ca="1">SUM($C171:AF171)</f>
        <v>0</v>
      </c>
      <c r="AG313" s="20">
        <f ca="1">SUM($C171:AG171)</f>
        <v>0</v>
      </c>
      <c r="AH313" s="20">
        <f ca="1">SUM($C171:AH171)</f>
        <v>0</v>
      </c>
      <c r="AI313" s="20">
        <f ca="1">SUM($C171:AI171)</f>
        <v>0</v>
      </c>
      <c r="AJ313" s="20">
        <f ca="1">SUM($C171:AJ171)</f>
        <v>0</v>
      </c>
      <c r="AK313" s="20">
        <f ca="1">SUM($C171:AK171)</f>
        <v>0</v>
      </c>
      <c r="AL313" s="20">
        <f ca="1">SUM($C171:AL171)</f>
        <v>0</v>
      </c>
      <c r="AM313" s="20">
        <f ca="1">SUM($C171:AM171)</f>
        <v>0</v>
      </c>
    </row>
    <row r="314" spans="1:39" x14ac:dyDescent="0.2">
      <c r="A314" s="22" t="str">
        <f>B$188</f>
        <v>Antiques</v>
      </c>
      <c r="B314" s="19"/>
      <c r="C314" s="20">
        <f ca="1">SUM($C188:C188)</f>
        <v>0</v>
      </c>
      <c r="D314" s="20">
        <f ca="1">SUM($C188:D188)</f>
        <v>0</v>
      </c>
      <c r="E314" s="20">
        <f ca="1">SUM($C188:E188)</f>
        <v>0</v>
      </c>
      <c r="F314" s="20">
        <f ca="1">SUM($C188:F188)</f>
        <v>0</v>
      </c>
      <c r="G314" s="20">
        <f ca="1">SUM($C188:G188)</f>
        <v>0</v>
      </c>
      <c r="H314" s="20">
        <f ca="1">SUM($C188:H188)</f>
        <v>0</v>
      </c>
      <c r="I314" s="20">
        <f ca="1">SUM($C188:I188)</f>
        <v>0</v>
      </c>
      <c r="J314" s="20">
        <f ca="1">SUM($C188:J188)</f>
        <v>0</v>
      </c>
      <c r="K314" s="20">
        <f ca="1">SUM($C188:K188)</f>
        <v>0</v>
      </c>
      <c r="L314" s="20">
        <f ca="1">SUM($C188:L188)</f>
        <v>0</v>
      </c>
      <c r="M314" s="20">
        <f ca="1">SUM($C188:M188)</f>
        <v>0</v>
      </c>
      <c r="N314" s="20">
        <f ca="1">SUM($C188:N188)</f>
        <v>0</v>
      </c>
      <c r="O314" s="20">
        <f ca="1">SUM($C188:O188)</f>
        <v>0</v>
      </c>
      <c r="P314" s="20">
        <f ca="1">SUM($C188:P188)</f>
        <v>0</v>
      </c>
      <c r="Q314" s="20">
        <f ca="1">SUM($C188:Q188)</f>
        <v>0</v>
      </c>
      <c r="R314" s="20">
        <f ca="1">SUM($C188:R188)</f>
        <v>0</v>
      </c>
      <c r="S314" s="20">
        <f ca="1">SUM($C188:S188)</f>
        <v>0</v>
      </c>
      <c r="T314" s="20">
        <f ca="1">SUM($C188:T188)</f>
        <v>0</v>
      </c>
      <c r="U314" s="20">
        <f ca="1">SUM($C188:U188)</f>
        <v>0</v>
      </c>
      <c r="V314" s="20">
        <f ca="1">SUM($C188:V188)</f>
        <v>0</v>
      </c>
      <c r="W314" s="20">
        <f ca="1">SUM($C188:W188)</f>
        <v>0</v>
      </c>
      <c r="X314" s="20">
        <f ca="1">SUM($C188:X188)</f>
        <v>0</v>
      </c>
      <c r="Y314" s="20">
        <f ca="1">SUM($C188:Y188)</f>
        <v>0</v>
      </c>
      <c r="Z314" s="20">
        <f ca="1">SUM($C188:Z188)</f>
        <v>0</v>
      </c>
      <c r="AA314" s="20">
        <f ca="1">SUM($C188:AA188)</f>
        <v>0</v>
      </c>
      <c r="AB314" s="20">
        <f ca="1">SUM($C188:AB188)</f>
        <v>0</v>
      </c>
      <c r="AC314" s="20">
        <f ca="1">SUM($C188:AC188)</f>
        <v>0</v>
      </c>
      <c r="AD314" s="20">
        <f ca="1">SUM($C188:AD188)</f>
        <v>0</v>
      </c>
      <c r="AE314" s="20">
        <f ca="1">SUM($C188:AE188)</f>
        <v>0</v>
      </c>
      <c r="AF314" s="20">
        <f ca="1">SUM($C188:AF188)</f>
        <v>0</v>
      </c>
      <c r="AG314" s="20">
        <f ca="1">SUM($C188:AG188)</f>
        <v>0</v>
      </c>
      <c r="AH314" s="20">
        <f ca="1">SUM($C188:AH188)</f>
        <v>0</v>
      </c>
      <c r="AI314" s="20">
        <f ca="1">SUM($C188:AI188)</f>
        <v>0</v>
      </c>
      <c r="AJ314" s="20">
        <f ca="1">SUM($C188:AJ188)</f>
        <v>0</v>
      </c>
      <c r="AK314" s="20">
        <f ca="1">SUM($C188:AK188)</f>
        <v>0</v>
      </c>
      <c r="AL314" s="20">
        <f ca="1">SUM($C188:AL188)</f>
        <v>0</v>
      </c>
      <c r="AM314" s="20">
        <f ca="1">SUM($C188:AM188)</f>
        <v>0</v>
      </c>
    </row>
    <row r="315" spans="1:39" x14ac:dyDescent="0.2">
      <c r="A315" s="22" t="str">
        <f>B$205</f>
        <v>Marsa</v>
      </c>
      <c r="B315" s="19"/>
      <c r="C315" s="20">
        <f ca="1">SUM($C205:C205)</f>
        <v>0</v>
      </c>
      <c r="D315" s="20">
        <f ca="1">SUM($C205:D205)</f>
        <v>0</v>
      </c>
      <c r="E315" s="20">
        <f ca="1">SUM($C205:E205)</f>
        <v>0</v>
      </c>
      <c r="F315" s="20">
        <f ca="1">SUM($C205:F205)</f>
        <v>0</v>
      </c>
      <c r="G315" s="20">
        <f ca="1">SUM($C205:G205)</f>
        <v>0</v>
      </c>
      <c r="H315" s="20">
        <f ca="1">SUM($C205:H205)</f>
        <v>0</v>
      </c>
      <c r="I315" s="20">
        <f ca="1">SUM($C205:I205)</f>
        <v>0</v>
      </c>
      <c r="J315" s="20">
        <f ca="1">SUM($C205:J205)</f>
        <v>0</v>
      </c>
      <c r="K315" s="20">
        <f ca="1">SUM($C205:K205)</f>
        <v>0</v>
      </c>
      <c r="L315" s="20">
        <f ca="1">SUM($C205:L205)</f>
        <v>0</v>
      </c>
      <c r="M315" s="20">
        <f ca="1">SUM($C205:M205)</f>
        <v>0</v>
      </c>
      <c r="N315" s="20">
        <f ca="1">SUM($C205:N205)</f>
        <v>0</v>
      </c>
      <c r="O315" s="20">
        <f ca="1">SUM($C205:O205)</f>
        <v>0</v>
      </c>
      <c r="P315" s="20">
        <f ca="1">SUM($C205:P205)</f>
        <v>0</v>
      </c>
      <c r="Q315" s="20">
        <f ca="1">SUM($C205:Q205)</f>
        <v>0</v>
      </c>
      <c r="R315" s="20">
        <f ca="1">SUM($C205:R205)</f>
        <v>0</v>
      </c>
      <c r="S315" s="20">
        <f ca="1">SUM($C205:S205)</f>
        <v>0</v>
      </c>
      <c r="T315" s="20">
        <f ca="1">SUM($C205:T205)</f>
        <v>0</v>
      </c>
      <c r="U315" s="20">
        <f ca="1">SUM($C205:U205)</f>
        <v>0</v>
      </c>
      <c r="V315" s="20">
        <f ca="1">SUM($C205:V205)</f>
        <v>0</v>
      </c>
      <c r="W315" s="20">
        <f ca="1">SUM($C205:W205)</f>
        <v>0</v>
      </c>
      <c r="X315" s="20">
        <f ca="1">SUM($C205:X205)</f>
        <v>0</v>
      </c>
      <c r="Y315" s="20">
        <f ca="1">SUM($C205:Y205)</f>
        <v>0</v>
      </c>
      <c r="Z315" s="20">
        <f ca="1">SUM($C205:Z205)</f>
        <v>0</v>
      </c>
      <c r="AA315" s="20">
        <f ca="1">SUM($C205:AA205)</f>
        <v>0</v>
      </c>
      <c r="AB315" s="20">
        <f ca="1">SUM($C205:AB205)</f>
        <v>0</v>
      </c>
      <c r="AC315" s="20">
        <f ca="1">SUM($C205:AC205)</f>
        <v>0</v>
      </c>
      <c r="AD315" s="20">
        <f ca="1">SUM($C205:AD205)</f>
        <v>0</v>
      </c>
      <c r="AE315" s="20">
        <f ca="1">SUM($C205:AE205)</f>
        <v>0</v>
      </c>
      <c r="AF315" s="20">
        <f ca="1">SUM($C205:AF205)</f>
        <v>0</v>
      </c>
      <c r="AG315" s="20">
        <f ca="1">SUM($C205:AG205)</f>
        <v>0</v>
      </c>
      <c r="AH315" s="20">
        <f ca="1">SUM($C205:AH205)</f>
        <v>0</v>
      </c>
      <c r="AI315" s="20">
        <f ca="1">SUM($C205:AI205)</f>
        <v>0</v>
      </c>
      <c r="AJ315" s="20">
        <f ca="1">SUM($C205:AJ205)</f>
        <v>0</v>
      </c>
      <c r="AK315" s="20">
        <f ca="1">SUM($C205:AK205)</f>
        <v>0</v>
      </c>
      <c r="AL315" s="20">
        <f ca="1">SUM($C205:AL205)</f>
        <v>0</v>
      </c>
      <c r="AM315" s="20">
        <f ca="1">SUM($C205:AM205)</f>
        <v>0</v>
      </c>
    </row>
    <row r="316" spans="1:39" x14ac:dyDescent="0.2">
      <c r="A316" s="22" t="str">
        <f>B$222</f>
        <v>Gzira</v>
      </c>
      <c r="B316" s="19"/>
      <c r="C316" s="20">
        <f ca="1">SUM($C222:C222)</f>
        <v>0</v>
      </c>
      <c r="D316" s="20">
        <f ca="1">SUM($C222:D222)</f>
        <v>0</v>
      </c>
      <c r="E316" s="20">
        <f ca="1">SUM($C222:E222)</f>
        <v>0</v>
      </c>
      <c r="F316" s="20">
        <f ca="1">SUM($C222:F222)</f>
        <v>0</v>
      </c>
      <c r="G316" s="20">
        <f ca="1">SUM($C222:G222)</f>
        <v>0</v>
      </c>
      <c r="H316" s="20">
        <f ca="1">SUM($C222:H222)</f>
        <v>0</v>
      </c>
      <c r="I316" s="20">
        <f ca="1">SUM($C222:I222)</f>
        <v>0</v>
      </c>
      <c r="J316" s="20">
        <f ca="1">SUM($C222:J222)</f>
        <v>0</v>
      </c>
      <c r="K316" s="20">
        <f ca="1">SUM($C222:K222)</f>
        <v>0</v>
      </c>
      <c r="L316" s="20">
        <f ca="1">SUM($C222:L222)</f>
        <v>0</v>
      </c>
      <c r="M316" s="20">
        <f ca="1">SUM($C222:M222)</f>
        <v>0</v>
      </c>
      <c r="N316" s="20">
        <f ca="1">SUM($C222:N222)</f>
        <v>0</v>
      </c>
      <c r="O316" s="20">
        <f ca="1">SUM($C222:O222)</f>
        <v>0</v>
      </c>
      <c r="P316" s="20">
        <f ca="1">SUM($C222:P222)</f>
        <v>0</v>
      </c>
      <c r="Q316" s="20">
        <f ca="1">SUM($C222:Q222)</f>
        <v>0</v>
      </c>
      <c r="R316" s="20">
        <f ca="1">SUM($C222:R222)</f>
        <v>0</v>
      </c>
      <c r="S316" s="20">
        <f ca="1">SUM($C222:S222)</f>
        <v>0</v>
      </c>
      <c r="T316" s="20">
        <f ca="1">SUM($C222:T222)</f>
        <v>0</v>
      </c>
      <c r="U316" s="20">
        <f ca="1">SUM($C222:U222)</f>
        <v>0</v>
      </c>
      <c r="V316" s="20">
        <f ca="1">SUM($C222:V222)</f>
        <v>0</v>
      </c>
      <c r="W316" s="20">
        <f ca="1">SUM($C222:W222)</f>
        <v>0</v>
      </c>
      <c r="X316" s="20">
        <f ca="1">SUM($C222:X222)</f>
        <v>0</v>
      </c>
      <c r="Y316" s="20">
        <f ca="1">SUM($C222:Y222)</f>
        <v>0</v>
      </c>
      <c r="Z316" s="20">
        <f ca="1">SUM($C222:Z222)</f>
        <v>0</v>
      </c>
      <c r="AA316" s="20">
        <f ca="1">SUM($C222:AA222)</f>
        <v>0</v>
      </c>
      <c r="AB316" s="20">
        <f ca="1">SUM($C222:AB222)</f>
        <v>0</v>
      </c>
      <c r="AC316" s="20">
        <f ca="1">SUM($C222:AC222)</f>
        <v>0</v>
      </c>
      <c r="AD316" s="20">
        <f ca="1">SUM($C222:AD222)</f>
        <v>0</v>
      </c>
      <c r="AE316" s="20">
        <f ca="1">SUM($C222:AE222)</f>
        <v>0</v>
      </c>
      <c r="AF316" s="20">
        <f ca="1">SUM($C222:AF222)</f>
        <v>0</v>
      </c>
      <c r="AG316" s="20">
        <f ca="1">SUM($C222:AG222)</f>
        <v>0</v>
      </c>
      <c r="AH316" s="20">
        <f ca="1">SUM($C222:AH222)</f>
        <v>0</v>
      </c>
      <c r="AI316" s="20">
        <f ca="1">SUM($C222:AI222)</f>
        <v>0</v>
      </c>
      <c r="AJ316" s="20">
        <f ca="1">SUM($C222:AJ222)</f>
        <v>0</v>
      </c>
      <c r="AK316" s="20">
        <f ca="1">SUM($C222:AK222)</f>
        <v>0</v>
      </c>
      <c r="AL316" s="20">
        <f ca="1">SUM($C222:AL222)</f>
        <v>0</v>
      </c>
      <c r="AM316" s="20">
        <f ca="1">SUM($C222:AM222)</f>
        <v>0</v>
      </c>
    </row>
    <row r="317" spans="1:39" x14ac:dyDescent="0.2">
      <c r="A317" s="22" t="str">
        <f>B$239</f>
        <v>Boat</v>
      </c>
      <c r="B317" s="19"/>
      <c r="C317" s="20">
        <f ca="1">SUM($C239:C239)</f>
        <v>0</v>
      </c>
      <c r="D317" s="20">
        <f ca="1">SUM($C239:D239)</f>
        <v>0</v>
      </c>
      <c r="E317" s="20">
        <f ca="1">SUM($C239:E239)</f>
        <v>0</v>
      </c>
      <c r="F317" s="20">
        <f ca="1">SUM($C239:F239)</f>
        <v>0</v>
      </c>
      <c r="G317" s="20">
        <f ca="1">SUM($C239:G239)</f>
        <v>0</v>
      </c>
      <c r="H317" s="20">
        <f ca="1">SUM($C239:H239)</f>
        <v>0</v>
      </c>
      <c r="I317" s="20">
        <f ca="1">SUM($C239:I239)</f>
        <v>0</v>
      </c>
      <c r="J317" s="20">
        <f ca="1">SUM($C239:J239)</f>
        <v>0</v>
      </c>
      <c r="K317" s="20">
        <f ca="1">SUM($C239:K239)</f>
        <v>0</v>
      </c>
      <c r="L317" s="20">
        <f ca="1">SUM($C239:L239)</f>
        <v>0</v>
      </c>
      <c r="M317" s="20">
        <f ca="1">SUM($C239:M239)</f>
        <v>0</v>
      </c>
      <c r="N317" s="20">
        <f ca="1">SUM($C239:N239)</f>
        <v>0</v>
      </c>
      <c r="O317" s="20">
        <f ca="1">SUM($C239:O239)</f>
        <v>0</v>
      </c>
      <c r="P317" s="20">
        <f ca="1">SUM($C239:P239)</f>
        <v>0</v>
      </c>
      <c r="Q317" s="20">
        <f ca="1">SUM($C239:Q239)</f>
        <v>0</v>
      </c>
      <c r="R317" s="20">
        <f ca="1">SUM($C239:R239)</f>
        <v>0</v>
      </c>
      <c r="S317" s="20">
        <f ca="1">SUM($C239:S239)</f>
        <v>0</v>
      </c>
      <c r="T317" s="20">
        <f ca="1">SUM($C239:T239)</f>
        <v>0</v>
      </c>
      <c r="U317" s="20">
        <f ca="1">SUM($C239:U239)</f>
        <v>0</v>
      </c>
      <c r="V317" s="20">
        <f ca="1">SUM($C239:V239)</f>
        <v>0</v>
      </c>
      <c r="W317" s="20">
        <f ca="1">SUM($C239:W239)</f>
        <v>0</v>
      </c>
      <c r="X317" s="20">
        <f ca="1">SUM($C239:X239)</f>
        <v>0</v>
      </c>
      <c r="Y317" s="20">
        <f ca="1">SUM($C239:Y239)</f>
        <v>0</v>
      </c>
      <c r="Z317" s="20">
        <f ca="1">SUM($C239:Z239)</f>
        <v>0</v>
      </c>
      <c r="AA317" s="20">
        <f ca="1">SUM($C239:AA239)</f>
        <v>0</v>
      </c>
      <c r="AB317" s="20">
        <f ca="1">SUM($C239:AB239)</f>
        <v>0</v>
      </c>
      <c r="AC317" s="20">
        <f ca="1">SUM($C239:AC239)</f>
        <v>0</v>
      </c>
      <c r="AD317" s="20">
        <f ca="1">SUM($C239:AD239)</f>
        <v>0</v>
      </c>
      <c r="AE317" s="20">
        <f ca="1">SUM($C239:AE239)</f>
        <v>0</v>
      </c>
      <c r="AF317" s="20">
        <f ca="1">SUM($C239:AF239)</f>
        <v>0</v>
      </c>
      <c r="AG317" s="20">
        <f ca="1">SUM($C239:AG239)</f>
        <v>0</v>
      </c>
      <c r="AH317" s="20">
        <f ca="1">SUM($C239:AH239)</f>
        <v>0</v>
      </c>
      <c r="AI317" s="20">
        <f ca="1">SUM($C239:AI239)</f>
        <v>0</v>
      </c>
      <c r="AJ317" s="20">
        <f ca="1">SUM($C239:AJ239)</f>
        <v>0</v>
      </c>
      <c r="AK317" s="20">
        <f ca="1">SUM($C239:AK239)</f>
        <v>0</v>
      </c>
      <c r="AL317" s="20">
        <f ca="1">SUM($C239:AL239)</f>
        <v>0</v>
      </c>
      <c r="AM317" s="20">
        <f ca="1">SUM($C239:AM239)</f>
        <v>0</v>
      </c>
    </row>
    <row r="318" spans="1:39" x14ac:dyDescent="0.2">
      <c r="A318" s="22" t="str">
        <f>B$256</f>
        <v>Qormi</v>
      </c>
      <c r="B318" s="19"/>
      <c r="C318" s="20">
        <f ca="1">SUM($C256:C256)</f>
        <v>0</v>
      </c>
      <c r="D318" s="20">
        <f ca="1">SUM($C256:D256)</f>
        <v>0</v>
      </c>
      <c r="E318" s="20">
        <f ca="1">SUM($C256:E256)</f>
        <v>0</v>
      </c>
      <c r="F318" s="20">
        <f ca="1">SUM($C256:F256)</f>
        <v>0</v>
      </c>
      <c r="G318" s="20">
        <f ca="1">SUM($C256:G256)</f>
        <v>0</v>
      </c>
      <c r="H318" s="20">
        <f ca="1">SUM($C256:H256)</f>
        <v>0</v>
      </c>
      <c r="I318" s="20">
        <f ca="1">SUM($C256:I256)</f>
        <v>0</v>
      </c>
      <c r="J318" s="20">
        <f ca="1">SUM($C256:J256)</f>
        <v>0</v>
      </c>
      <c r="K318" s="20">
        <f ca="1">SUM($C256:K256)</f>
        <v>0</v>
      </c>
      <c r="L318" s="20">
        <f ca="1">SUM($C256:L256)</f>
        <v>0</v>
      </c>
      <c r="M318" s="20">
        <f ca="1">SUM($C256:M256)</f>
        <v>0</v>
      </c>
      <c r="N318" s="20">
        <f ca="1">SUM($C256:N256)</f>
        <v>0</v>
      </c>
      <c r="O318" s="20">
        <f ca="1">SUM($C256:O256)</f>
        <v>0</v>
      </c>
      <c r="P318" s="20">
        <f ca="1">SUM($C256:P256)</f>
        <v>0</v>
      </c>
      <c r="Q318" s="20">
        <f ca="1">SUM($C256:Q256)</f>
        <v>0</v>
      </c>
      <c r="R318" s="20">
        <f ca="1">SUM($C256:R256)</f>
        <v>0</v>
      </c>
      <c r="S318" s="20">
        <f ca="1">SUM($C256:S256)</f>
        <v>0</v>
      </c>
      <c r="T318" s="20">
        <f ca="1">SUM($C256:T256)</f>
        <v>0</v>
      </c>
      <c r="U318" s="20">
        <f ca="1">SUM($C256:U256)</f>
        <v>0</v>
      </c>
      <c r="V318" s="20">
        <f ca="1">SUM($C256:V256)</f>
        <v>0</v>
      </c>
      <c r="W318" s="20">
        <f ca="1">SUM($C256:W256)</f>
        <v>0</v>
      </c>
      <c r="X318" s="20">
        <f ca="1">SUM($C256:X256)</f>
        <v>0</v>
      </c>
      <c r="Y318" s="20">
        <f ca="1">SUM($C256:Y256)</f>
        <v>0</v>
      </c>
      <c r="Z318" s="20">
        <f ca="1">SUM($C256:Z256)</f>
        <v>0</v>
      </c>
      <c r="AA318" s="20">
        <f ca="1">SUM($C256:AA256)</f>
        <v>0</v>
      </c>
      <c r="AB318" s="20">
        <f ca="1">SUM($C256:AB256)</f>
        <v>0</v>
      </c>
      <c r="AC318" s="20">
        <f ca="1">SUM($C256:AC256)</f>
        <v>0</v>
      </c>
      <c r="AD318" s="20">
        <f ca="1">SUM($C256:AD256)</f>
        <v>0</v>
      </c>
      <c r="AE318" s="20">
        <f ca="1">SUM($C256:AE256)</f>
        <v>0</v>
      </c>
      <c r="AF318" s="20">
        <f ca="1">SUM($C256:AF256)</f>
        <v>0</v>
      </c>
      <c r="AG318" s="20">
        <f ca="1">SUM($C256:AG256)</f>
        <v>0</v>
      </c>
      <c r="AH318" s="20">
        <f ca="1">SUM($C256:AH256)</f>
        <v>0</v>
      </c>
      <c r="AI318" s="20">
        <f ca="1">SUM($C256:AI256)</f>
        <v>0</v>
      </c>
      <c r="AJ318" s="20">
        <f ca="1">SUM($C256:AJ256)</f>
        <v>0</v>
      </c>
      <c r="AK318" s="20">
        <f ca="1">SUM($C256:AK256)</f>
        <v>0</v>
      </c>
      <c r="AL318" s="20">
        <f ca="1">SUM($C256:AL256)</f>
        <v>0</v>
      </c>
      <c r="AM318" s="20">
        <f ca="1">SUM($C256:AM256)</f>
        <v>0</v>
      </c>
    </row>
    <row r="319" spans="1:39" x14ac:dyDescent="0.2">
      <c r="A319" s="22" t="str">
        <f>B$273</f>
        <v>Sliema</v>
      </c>
      <c r="B319" s="19"/>
      <c r="C319" s="20">
        <f ca="1">SUM($C273:C273)</f>
        <v>0</v>
      </c>
      <c r="D319" s="20">
        <f ca="1">SUM($C273:D273)</f>
        <v>0</v>
      </c>
      <c r="E319" s="20">
        <f ca="1">SUM($C273:E273)</f>
        <v>0</v>
      </c>
      <c r="F319" s="20">
        <f ca="1">SUM($C273:F273)</f>
        <v>0</v>
      </c>
      <c r="G319" s="20">
        <f ca="1">SUM($C273:G273)</f>
        <v>0</v>
      </c>
      <c r="H319" s="20">
        <f ca="1">SUM($C273:H273)</f>
        <v>0</v>
      </c>
      <c r="I319" s="20">
        <f ca="1">SUM($C273:I273)</f>
        <v>0</v>
      </c>
      <c r="J319" s="20">
        <f ca="1">SUM($C273:J273)</f>
        <v>0</v>
      </c>
      <c r="K319" s="20">
        <f ca="1">SUM($C273:K273)</f>
        <v>0</v>
      </c>
      <c r="L319" s="20">
        <f ca="1">SUM($C273:L273)</f>
        <v>0</v>
      </c>
      <c r="M319" s="20">
        <f ca="1">SUM($C273:M273)</f>
        <v>0</v>
      </c>
      <c r="N319" s="20">
        <f ca="1">SUM($C273:N273)</f>
        <v>0</v>
      </c>
      <c r="O319" s="20">
        <f ca="1">SUM($C273:O273)</f>
        <v>0</v>
      </c>
      <c r="P319" s="20">
        <f ca="1">SUM($C273:P273)</f>
        <v>0</v>
      </c>
      <c r="Q319" s="20">
        <f ca="1">SUM($C273:Q273)</f>
        <v>0</v>
      </c>
      <c r="R319" s="20">
        <f ca="1">SUM($C273:R273)</f>
        <v>0</v>
      </c>
      <c r="S319" s="20">
        <f ca="1">SUM($C273:S273)</f>
        <v>0</v>
      </c>
      <c r="T319" s="20">
        <f ca="1">SUM($C273:T273)</f>
        <v>0</v>
      </c>
      <c r="U319" s="20">
        <f ca="1">SUM($C273:U273)</f>
        <v>0</v>
      </c>
      <c r="V319" s="20">
        <f ca="1">SUM($C273:V273)</f>
        <v>0</v>
      </c>
      <c r="W319" s="20">
        <f ca="1">SUM($C273:W273)</f>
        <v>0</v>
      </c>
      <c r="X319" s="20">
        <f ca="1">SUM($C273:X273)</f>
        <v>0</v>
      </c>
      <c r="Y319" s="20">
        <f ca="1">SUM($C273:Y273)</f>
        <v>0</v>
      </c>
      <c r="Z319" s="20">
        <f ca="1">SUM($C273:Z273)</f>
        <v>0</v>
      </c>
      <c r="AA319" s="20">
        <f ca="1">SUM($C273:AA273)</f>
        <v>0</v>
      </c>
      <c r="AB319" s="20">
        <f ca="1">SUM($C273:AB273)</f>
        <v>0</v>
      </c>
      <c r="AC319" s="20">
        <f ca="1">SUM($C273:AC273)</f>
        <v>0</v>
      </c>
      <c r="AD319" s="20">
        <f ca="1">SUM($C273:AD273)</f>
        <v>0</v>
      </c>
      <c r="AE319" s="20">
        <f ca="1">SUM($C273:AE273)</f>
        <v>0</v>
      </c>
      <c r="AF319" s="20">
        <f ca="1">SUM($C273:AF273)</f>
        <v>0</v>
      </c>
      <c r="AG319" s="20">
        <f ca="1">SUM($C273:AG273)</f>
        <v>0</v>
      </c>
      <c r="AH319" s="20">
        <f ca="1">SUM($C273:AH273)</f>
        <v>0</v>
      </c>
      <c r="AI319" s="20">
        <f ca="1">SUM($C273:AI273)</f>
        <v>0</v>
      </c>
      <c r="AJ319" s="20">
        <f ca="1">SUM($C273:AJ273)</f>
        <v>0</v>
      </c>
      <c r="AK319" s="20">
        <f ca="1">SUM($C273:AK273)</f>
        <v>0</v>
      </c>
      <c r="AL319" s="20">
        <f ca="1">SUM($C273:AL273)</f>
        <v>0</v>
      </c>
      <c r="AM319" s="20">
        <f ca="1">SUM($C273:AM273)</f>
        <v>0</v>
      </c>
    </row>
    <row r="320" spans="1:39" x14ac:dyDescent="0.2">
      <c r="A320" s="21"/>
      <c r="B320" s="1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1:39" x14ac:dyDescent="0.2">
      <c r="A321" s="3" t="s">
        <v>205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x14ac:dyDescent="0.2">
      <c r="A322" s="16" t="str">
        <f>A298</f>
        <v>Sliema</v>
      </c>
      <c r="C322" s="7">
        <f t="shared" ref="C322" ca="1" si="635">IFERROR(IF(VLOOKUP($A322,$309:$319,C$1+2,FALSE)=0,C83,0),C83)</f>
        <v>-46207.530015832221</v>
      </c>
      <c r="D322" s="7">
        <f t="shared" ref="D322:AM322" ca="1" si="636">IFERROR(IF(VLOOKUP($A322,$309:$319,D$1+2,FALSE)=0,D83,0),D83)</f>
        <v>-41529.784875172016</v>
      </c>
      <c r="E322" s="7">
        <f t="shared" ca="1" si="636"/>
        <v>-36709.76163986107</v>
      </c>
      <c r="F322" s="7">
        <f t="shared" ca="1" si="636"/>
        <v>-31743.132785502858</v>
      </c>
      <c r="G322" s="7">
        <f t="shared" ca="1" si="636"/>
        <v>-26625.439161905048</v>
      </c>
      <c r="H322" s="7">
        <f t="shared" ca="1" si="636"/>
        <v>-21352.085989555409</v>
      </c>
      <c r="I322" s="7">
        <f t="shared" ca="1" si="636"/>
        <v>-15918.338734325836</v>
      </c>
      <c r="J322" s="7">
        <f t="shared" ca="1" si="636"/>
        <v>-10319.318856702368</v>
      </c>
      <c r="K322" s="7">
        <f t="shared" ca="1" si="636"/>
        <v>-4549.9994317232195</v>
      </c>
      <c r="L322" s="7">
        <f t="shared" ca="1" si="636"/>
        <v>0</v>
      </c>
      <c r="M322" s="7">
        <f t="shared" ca="1" si="636"/>
        <v>0</v>
      </c>
      <c r="N322" s="7">
        <f t="shared" ca="1" si="636"/>
        <v>0</v>
      </c>
      <c r="O322" s="7">
        <f t="shared" ca="1" si="636"/>
        <v>0</v>
      </c>
      <c r="P322" s="7">
        <f t="shared" ca="1" si="636"/>
        <v>0</v>
      </c>
      <c r="Q322" s="7">
        <f t="shared" ca="1" si="636"/>
        <v>0</v>
      </c>
      <c r="R322" s="7">
        <f t="shared" ca="1" si="636"/>
        <v>0</v>
      </c>
      <c r="S322" s="7">
        <f t="shared" ca="1" si="636"/>
        <v>0</v>
      </c>
      <c r="T322" s="7">
        <f t="shared" ca="1" si="636"/>
        <v>0</v>
      </c>
      <c r="U322" s="7">
        <f t="shared" ca="1" si="636"/>
        <v>0</v>
      </c>
      <c r="V322" s="7">
        <f t="shared" ca="1" si="636"/>
        <v>0</v>
      </c>
      <c r="W322" s="7">
        <f t="shared" ca="1" si="636"/>
        <v>0</v>
      </c>
      <c r="X322" s="7">
        <f t="shared" ca="1" si="636"/>
        <v>0</v>
      </c>
      <c r="Y322" s="7">
        <f t="shared" ca="1" si="636"/>
        <v>0</v>
      </c>
      <c r="Z322" s="7">
        <f t="shared" ca="1" si="636"/>
        <v>0</v>
      </c>
      <c r="AA322" s="7">
        <f t="shared" ca="1" si="636"/>
        <v>0</v>
      </c>
      <c r="AB322" s="7">
        <f t="shared" ca="1" si="636"/>
        <v>0</v>
      </c>
      <c r="AC322" s="7">
        <f t="shared" ca="1" si="636"/>
        <v>0</v>
      </c>
      <c r="AD322" s="7">
        <f t="shared" ca="1" si="636"/>
        <v>0</v>
      </c>
      <c r="AE322" s="7">
        <f t="shared" ca="1" si="636"/>
        <v>0</v>
      </c>
      <c r="AF322" s="7">
        <f t="shared" ca="1" si="636"/>
        <v>0</v>
      </c>
      <c r="AG322" s="7">
        <f t="shared" ca="1" si="636"/>
        <v>0</v>
      </c>
      <c r="AH322" s="7">
        <f t="shared" ca="1" si="636"/>
        <v>0</v>
      </c>
      <c r="AI322" s="7">
        <f t="shared" ca="1" si="636"/>
        <v>0</v>
      </c>
      <c r="AJ322" s="7">
        <f t="shared" ca="1" si="636"/>
        <v>0</v>
      </c>
      <c r="AK322" s="7">
        <f t="shared" ca="1" si="636"/>
        <v>0</v>
      </c>
      <c r="AL322" s="7">
        <f t="shared" ca="1" si="636"/>
        <v>0</v>
      </c>
      <c r="AM322" s="7">
        <f t="shared" ca="1" si="636"/>
        <v>0</v>
      </c>
    </row>
    <row r="323" spans="1:39" x14ac:dyDescent="0.2">
      <c r="A323" s="16" t="str">
        <f t="shared" ref="A323:A331" si="637">A299</f>
        <v>Gzira</v>
      </c>
      <c r="C323" s="7">
        <f t="shared" ref="C323" ca="1" si="638">IFERROR(IF(VLOOKUP($A323,$309:$319,C$1+2,FALSE)=0,C84,0),C84)</f>
        <v>-6627.6670411890118</v>
      </c>
      <c r="D323" s="7">
        <f t="shared" ref="D323:AM323" ca="1" si="639">IFERROR(IF(VLOOKUP($A323,$309:$319,D$1+2,FALSE)=0,D84,0),D84)</f>
        <v>-4339.3195483066884</v>
      </c>
      <c r="E323" s="7">
        <f t="shared" ca="1" si="639"/>
        <v>-2004.7832357051393</v>
      </c>
      <c r="F323" s="7">
        <f t="shared" ca="1" si="639"/>
        <v>0</v>
      </c>
      <c r="G323" s="7">
        <f t="shared" ca="1" si="639"/>
        <v>0</v>
      </c>
      <c r="H323" s="7">
        <f t="shared" ca="1" si="639"/>
        <v>0</v>
      </c>
      <c r="I323" s="7">
        <f t="shared" ca="1" si="639"/>
        <v>0</v>
      </c>
      <c r="J323" s="7">
        <f t="shared" ca="1" si="639"/>
        <v>0</v>
      </c>
      <c r="K323" s="7">
        <f t="shared" ca="1" si="639"/>
        <v>0</v>
      </c>
      <c r="L323" s="7">
        <f t="shared" ca="1" si="639"/>
        <v>0</v>
      </c>
      <c r="M323" s="7">
        <f t="shared" ca="1" si="639"/>
        <v>0</v>
      </c>
      <c r="N323" s="7">
        <f t="shared" ca="1" si="639"/>
        <v>0</v>
      </c>
      <c r="O323" s="7">
        <f t="shared" ca="1" si="639"/>
        <v>0</v>
      </c>
      <c r="P323" s="7">
        <f t="shared" ca="1" si="639"/>
        <v>0</v>
      </c>
      <c r="Q323" s="7">
        <f t="shared" ca="1" si="639"/>
        <v>0</v>
      </c>
      <c r="R323" s="7">
        <f t="shared" ca="1" si="639"/>
        <v>0</v>
      </c>
      <c r="S323" s="7">
        <f t="shared" ca="1" si="639"/>
        <v>0</v>
      </c>
      <c r="T323" s="7">
        <f t="shared" ca="1" si="639"/>
        <v>0</v>
      </c>
      <c r="U323" s="7">
        <f t="shared" ca="1" si="639"/>
        <v>0</v>
      </c>
      <c r="V323" s="7">
        <f t="shared" ca="1" si="639"/>
        <v>0</v>
      </c>
      <c r="W323" s="7">
        <f t="shared" ca="1" si="639"/>
        <v>0</v>
      </c>
      <c r="X323" s="7">
        <f t="shared" ca="1" si="639"/>
        <v>0</v>
      </c>
      <c r="Y323" s="7">
        <f t="shared" ca="1" si="639"/>
        <v>0</v>
      </c>
      <c r="Z323" s="7">
        <f t="shared" ca="1" si="639"/>
        <v>0</v>
      </c>
      <c r="AA323" s="7">
        <f t="shared" ca="1" si="639"/>
        <v>0</v>
      </c>
      <c r="AB323" s="7">
        <f t="shared" ca="1" si="639"/>
        <v>0</v>
      </c>
      <c r="AC323" s="7">
        <f t="shared" ca="1" si="639"/>
        <v>0</v>
      </c>
      <c r="AD323" s="7">
        <f t="shared" ca="1" si="639"/>
        <v>0</v>
      </c>
      <c r="AE323" s="7">
        <f t="shared" ca="1" si="639"/>
        <v>0</v>
      </c>
      <c r="AF323" s="7">
        <f t="shared" ca="1" si="639"/>
        <v>0</v>
      </c>
      <c r="AG323" s="7">
        <f t="shared" ca="1" si="639"/>
        <v>0</v>
      </c>
      <c r="AH323" s="7">
        <f t="shared" ca="1" si="639"/>
        <v>0</v>
      </c>
      <c r="AI323" s="7">
        <f t="shared" ca="1" si="639"/>
        <v>0</v>
      </c>
      <c r="AJ323" s="7">
        <f t="shared" ca="1" si="639"/>
        <v>0</v>
      </c>
      <c r="AK323" s="7">
        <f t="shared" ca="1" si="639"/>
        <v>0</v>
      </c>
      <c r="AL323" s="7">
        <f t="shared" ca="1" si="639"/>
        <v>0</v>
      </c>
      <c r="AM323" s="7">
        <f t="shared" ca="1" si="639"/>
        <v>0</v>
      </c>
    </row>
    <row r="324" spans="1:39" x14ac:dyDescent="0.2">
      <c r="A324" s="16" t="str">
        <f t="shared" si="637"/>
        <v>Qormi</v>
      </c>
      <c r="C324" s="7">
        <f t="shared" ref="C324" ca="1" si="640">IFERROR(IF(VLOOKUP($A324,$309:$319,C$1+2,FALSE)=0,C85,0),C85)</f>
        <v>-13089.450262401593</v>
      </c>
      <c r="D324" s="7">
        <f t="shared" ref="D324:AM324" ca="1" si="641">IFERROR(IF(VLOOKUP($A324,$309:$319,D$1+2,FALSE)=0,D85,0),D85)</f>
        <v>-10689.417507150618</v>
      </c>
      <c r="E324" s="7">
        <f t="shared" ca="1" si="641"/>
        <v>-8166.5945211626622</v>
      </c>
      <c r="F324" s="7">
        <f t="shared" ca="1" si="641"/>
        <v>-5514.6991231919146</v>
      </c>
      <c r="G324" s="7">
        <f t="shared" ca="1" si="641"/>
        <v>-2727.1277236771257</v>
      </c>
      <c r="H324" s="7">
        <f t="shared" ca="1" si="641"/>
        <v>0</v>
      </c>
      <c r="I324" s="7">
        <f t="shared" ca="1" si="641"/>
        <v>0</v>
      </c>
      <c r="J324" s="7">
        <f t="shared" ca="1" si="641"/>
        <v>0</v>
      </c>
      <c r="K324" s="7">
        <f t="shared" ca="1" si="641"/>
        <v>0</v>
      </c>
      <c r="L324" s="7">
        <f t="shared" ca="1" si="641"/>
        <v>0</v>
      </c>
      <c r="M324" s="7">
        <f t="shared" ca="1" si="641"/>
        <v>0</v>
      </c>
      <c r="N324" s="7">
        <f t="shared" ca="1" si="641"/>
        <v>0</v>
      </c>
      <c r="O324" s="7">
        <f t="shared" ca="1" si="641"/>
        <v>0</v>
      </c>
      <c r="P324" s="7">
        <f t="shared" ca="1" si="641"/>
        <v>0</v>
      </c>
      <c r="Q324" s="7">
        <f t="shared" ca="1" si="641"/>
        <v>0</v>
      </c>
      <c r="R324" s="7">
        <f t="shared" ca="1" si="641"/>
        <v>0</v>
      </c>
      <c r="S324" s="7">
        <f t="shared" ca="1" si="641"/>
        <v>0</v>
      </c>
      <c r="T324" s="7">
        <f t="shared" ca="1" si="641"/>
        <v>0</v>
      </c>
      <c r="U324" s="7">
        <f t="shared" ca="1" si="641"/>
        <v>0</v>
      </c>
      <c r="V324" s="7">
        <f t="shared" ca="1" si="641"/>
        <v>0</v>
      </c>
      <c r="W324" s="7">
        <f t="shared" ca="1" si="641"/>
        <v>0</v>
      </c>
      <c r="X324" s="7">
        <f t="shared" ca="1" si="641"/>
        <v>0</v>
      </c>
      <c r="Y324" s="7">
        <f t="shared" ca="1" si="641"/>
        <v>0</v>
      </c>
      <c r="Z324" s="7">
        <f t="shared" ca="1" si="641"/>
        <v>0</v>
      </c>
      <c r="AA324" s="7">
        <f t="shared" ca="1" si="641"/>
        <v>0</v>
      </c>
      <c r="AB324" s="7">
        <f t="shared" ca="1" si="641"/>
        <v>0</v>
      </c>
      <c r="AC324" s="7">
        <f t="shared" ca="1" si="641"/>
        <v>0</v>
      </c>
      <c r="AD324" s="7">
        <f t="shared" ca="1" si="641"/>
        <v>0</v>
      </c>
      <c r="AE324" s="7">
        <f t="shared" ca="1" si="641"/>
        <v>0</v>
      </c>
      <c r="AF324" s="7">
        <f t="shared" ca="1" si="641"/>
        <v>0</v>
      </c>
      <c r="AG324" s="7">
        <f t="shared" ca="1" si="641"/>
        <v>0</v>
      </c>
      <c r="AH324" s="7">
        <f t="shared" ca="1" si="641"/>
        <v>0</v>
      </c>
      <c r="AI324" s="7">
        <f t="shared" ca="1" si="641"/>
        <v>0</v>
      </c>
      <c r="AJ324" s="7">
        <f t="shared" ca="1" si="641"/>
        <v>0</v>
      </c>
      <c r="AK324" s="7">
        <f t="shared" ca="1" si="641"/>
        <v>0</v>
      </c>
      <c r="AL324" s="7">
        <f t="shared" ca="1" si="641"/>
        <v>0</v>
      </c>
      <c r="AM324" s="7">
        <f t="shared" ca="1" si="641"/>
        <v>0</v>
      </c>
    </row>
    <row r="325" spans="1:39" x14ac:dyDescent="0.2">
      <c r="A325" s="16" t="str">
        <f t="shared" si="637"/>
        <v>Gudja</v>
      </c>
      <c r="C325" s="7">
        <f t="shared" ref="C325" ca="1" si="642">IFERROR(IF(VLOOKUP($A325,$309:$319,C$1+2,FALSE)=0,C86,0),C86)</f>
        <v>-3952.5608629982789</v>
      </c>
      <c r="D325" s="7">
        <f t="shared" ref="D325:AM325" ca="1" si="643">IFERROR(IF(VLOOKUP($A325,$309:$319,D$1+2,FALSE)=0,D86,0),D86)</f>
        <v>-3063.4916845977205</v>
      </c>
      <c r="E325" s="7">
        <f t="shared" ca="1" si="643"/>
        <v>-2156.4772176748579</v>
      </c>
      <c r="F325" s="7">
        <f t="shared" ca="1" si="643"/>
        <v>-1231.15524814336</v>
      </c>
      <c r="G325" s="7">
        <f t="shared" ca="1" si="643"/>
        <v>-287.15625085893407</v>
      </c>
      <c r="H325" s="7">
        <f t="shared" ca="1" si="643"/>
        <v>0</v>
      </c>
      <c r="I325" s="7">
        <f t="shared" ca="1" si="643"/>
        <v>0</v>
      </c>
      <c r="J325" s="7">
        <f t="shared" ca="1" si="643"/>
        <v>0</v>
      </c>
      <c r="K325" s="7">
        <f t="shared" ca="1" si="643"/>
        <v>0</v>
      </c>
      <c r="L325" s="7">
        <f t="shared" ca="1" si="643"/>
        <v>0</v>
      </c>
      <c r="M325" s="7">
        <f t="shared" ca="1" si="643"/>
        <v>0</v>
      </c>
      <c r="N325" s="7">
        <f t="shared" ca="1" si="643"/>
        <v>0</v>
      </c>
      <c r="O325" s="7">
        <f t="shared" ca="1" si="643"/>
        <v>0</v>
      </c>
      <c r="P325" s="7">
        <f t="shared" ca="1" si="643"/>
        <v>0</v>
      </c>
      <c r="Q325" s="7">
        <f t="shared" ca="1" si="643"/>
        <v>0</v>
      </c>
      <c r="R325" s="7">
        <f t="shared" ca="1" si="643"/>
        <v>0</v>
      </c>
      <c r="S325" s="7">
        <f t="shared" ca="1" si="643"/>
        <v>0</v>
      </c>
      <c r="T325" s="7">
        <f t="shared" ca="1" si="643"/>
        <v>0</v>
      </c>
      <c r="U325" s="7">
        <f t="shared" ca="1" si="643"/>
        <v>0</v>
      </c>
      <c r="V325" s="7">
        <f t="shared" ca="1" si="643"/>
        <v>0</v>
      </c>
      <c r="W325" s="7">
        <f t="shared" ca="1" si="643"/>
        <v>0</v>
      </c>
      <c r="X325" s="7">
        <f t="shared" ca="1" si="643"/>
        <v>0</v>
      </c>
      <c r="Y325" s="7">
        <f t="shared" ca="1" si="643"/>
        <v>0</v>
      </c>
      <c r="Z325" s="7">
        <f t="shared" ca="1" si="643"/>
        <v>0</v>
      </c>
      <c r="AA325" s="7">
        <f t="shared" ca="1" si="643"/>
        <v>0</v>
      </c>
      <c r="AB325" s="7">
        <f t="shared" ca="1" si="643"/>
        <v>0</v>
      </c>
      <c r="AC325" s="7">
        <f t="shared" ca="1" si="643"/>
        <v>0</v>
      </c>
      <c r="AD325" s="7">
        <f t="shared" ca="1" si="643"/>
        <v>0</v>
      </c>
      <c r="AE325" s="7">
        <f t="shared" ca="1" si="643"/>
        <v>0</v>
      </c>
      <c r="AF325" s="7">
        <f t="shared" ca="1" si="643"/>
        <v>0</v>
      </c>
      <c r="AG325" s="7">
        <f t="shared" ca="1" si="643"/>
        <v>0</v>
      </c>
      <c r="AH325" s="7">
        <f t="shared" ca="1" si="643"/>
        <v>0</v>
      </c>
      <c r="AI325" s="7">
        <f t="shared" ca="1" si="643"/>
        <v>0</v>
      </c>
      <c r="AJ325" s="7">
        <f t="shared" ca="1" si="643"/>
        <v>0</v>
      </c>
      <c r="AK325" s="7">
        <f t="shared" ca="1" si="643"/>
        <v>0</v>
      </c>
      <c r="AL325" s="7">
        <f t="shared" ca="1" si="643"/>
        <v>0</v>
      </c>
      <c r="AM325" s="7">
        <f t="shared" ca="1" si="643"/>
        <v>0</v>
      </c>
    </row>
    <row r="326" spans="1:39" x14ac:dyDescent="0.2">
      <c r="A326" s="16" t="str">
        <f t="shared" si="637"/>
        <v>Marsa</v>
      </c>
      <c r="C326" s="7">
        <f t="shared" ref="C326" ca="1" si="644">IFERROR(IF(VLOOKUP($A326,$309:$319,C$1+2,FALSE)=0,C87,0),C87)</f>
        <v>-8551.2061659277369</v>
      </c>
      <c r="D326" s="7">
        <f t="shared" ref="D326:AM326" ca="1" si="645">IFERROR(IF(VLOOKUP($A326,$309:$319,D$1+2,FALSE)=0,D87,0),D87)</f>
        <v>-7351.3333523807905</v>
      </c>
      <c r="E326" s="7">
        <f t="shared" ca="1" si="645"/>
        <v>-6114.965259035298</v>
      </c>
      <c r="F326" s="7">
        <f t="shared" ca="1" si="645"/>
        <v>-4840.9918470333869</v>
      </c>
      <c r="G326" s="7">
        <f t="shared" ca="1" si="645"/>
        <v>-3528.2693146230595</v>
      </c>
      <c r="H326" s="7">
        <f t="shared" ca="1" si="645"/>
        <v>-2175.6190702275599</v>
      </c>
      <c r="I326" s="7">
        <f t="shared" ca="1" si="645"/>
        <v>-781.82667427947126</v>
      </c>
      <c r="J326" s="7">
        <f t="shared" ca="1" si="645"/>
        <v>0</v>
      </c>
      <c r="K326" s="7">
        <f t="shared" ca="1" si="645"/>
        <v>0</v>
      </c>
      <c r="L326" s="7">
        <f t="shared" ca="1" si="645"/>
        <v>0</v>
      </c>
      <c r="M326" s="7">
        <f t="shared" ca="1" si="645"/>
        <v>0</v>
      </c>
      <c r="N326" s="7">
        <f t="shared" ca="1" si="645"/>
        <v>0</v>
      </c>
      <c r="O326" s="7">
        <f t="shared" ca="1" si="645"/>
        <v>0</v>
      </c>
      <c r="P326" s="7">
        <f t="shared" ca="1" si="645"/>
        <v>0</v>
      </c>
      <c r="Q326" s="7">
        <f t="shared" ca="1" si="645"/>
        <v>0</v>
      </c>
      <c r="R326" s="7">
        <f t="shared" ca="1" si="645"/>
        <v>0</v>
      </c>
      <c r="S326" s="7">
        <f t="shared" ca="1" si="645"/>
        <v>0</v>
      </c>
      <c r="T326" s="7">
        <f t="shared" ca="1" si="645"/>
        <v>0</v>
      </c>
      <c r="U326" s="7">
        <f t="shared" ca="1" si="645"/>
        <v>0</v>
      </c>
      <c r="V326" s="7">
        <f t="shared" ca="1" si="645"/>
        <v>0</v>
      </c>
      <c r="W326" s="7">
        <f t="shared" ca="1" si="645"/>
        <v>0</v>
      </c>
      <c r="X326" s="7">
        <f t="shared" ca="1" si="645"/>
        <v>0</v>
      </c>
      <c r="Y326" s="7">
        <f t="shared" ca="1" si="645"/>
        <v>0</v>
      </c>
      <c r="Z326" s="7">
        <f t="shared" ca="1" si="645"/>
        <v>0</v>
      </c>
      <c r="AA326" s="7">
        <f t="shared" ca="1" si="645"/>
        <v>0</v>
      </c>
      <c r="AB326" s="7">
        <f t="shared" ca="1" si="645"/>
        <v>0</v>
      </c>
      <c r="AC326" s="7">
        <f t="shared" ca="1" si="645"/>
        <v>0</v>
      </c>
      <c r="AD326" s="7">
        <f t="shared" ca="1" si="645"/>
        <v>0</v>
      </c>
      <c r="AE326" s="7">
        <f t="shared" ca="1" si="645"/>
        <v>0</v>
      </c>
      <c r="AF326" s="7">
        <f t="shared" ca="1" si="645"/>
        <v>0</v>
      </c>
      <c r="AG326" s="7">
        <f t="shared" ca="1" si="645"/>
        <v>0</v>
      </c>
      <c r="AH326" s="7">
        <f t="shared" ca="1" si="645"/>
        <v>0</v>
      </c>
      <c r="AI326" s="7">
        <f t="shared" ca="1" si="645"/>
        <v>0</v>
      </c>
      <c r="AJ326" s="7">
        <f t="shared" ca="1" si="645"/>
        <v>0</v>
      </c>
      <c r="AK326" s="7">
        <f t="shared" ca="1" si="645"/>
        <v>0</v>
      </c>
      <c r="AL326" s="7">
        <f t="shared" ca="1" si="645"/>
        <v>0</v>
      </c>
      <c r="AM326" s="7">
        <f t="shared" ca="1" si="645"/>
        <v>0</v>
      </c>
    </row>
    <row r="327" spans="1:39" x14ac:dyDescent="0.2">
      <c r="A327" s="16" t="str">
        <f t="shared" si="637"/>
        <v>Jewelry</v>
      </c>
      <c r="C327" s="7">
        <f ca="1">IFERROR(IF(VLOOKUP($A327,$309:$319,C$1+2,FALSE)=0,C88,0),C88)</f>
        <v>-1804.7138362359074</v>
      </c>
      <c r="D327" s="7">
        <f t="shared" ref="D327:AM327" ca="1" si="646">IFERROR(IF(VLOOKUP($A327,$309:$319,D$1+2,FALSE)=0,D88,0),D88)</f>
        <v>-947.12722711486958</v>
      </c>
      <c r="E327" s="7">
        <f t="shared" ca="1" si="646"/>
        <v>-63.456300641196776</v>
      </c>
      <c r="F327" s="7">
        <f t="shared" ca="1" si="646"/>
        <v>0</v>
      </c>
      <c r="G327" s="7">
        <f t="shared" ca="1" si="646"/>
        <v>0</v>
      </c>
      <c r="H327" s="7">
        <f t="shared" ca="1" si="646"/>
        <v>0</v>
      </c>
      <c r="I327" s="7">
        <f t="shared" ca="1" si="646"/>
        <v>0</v>
      </c>
      <c r="J327" s="7">
        <f t="shared" ca="1" si="646"/>
        <v>0</v>
      </c>
      <c r="K327" s="7">
        <f t="shared" ca="1" si="646"/>
        <v>0</v>
      </c>
      <c r="L327" s="7">
        <f t="shared" ca="1" si="646"/>
        <v>0</v>
      </c>
      <c r="M327" s="7">
        <f t="shared" ca="1" si="646"/>
        <v>0</v>
      </c>
      <c r="N327" s="7">
        <f t="shared" ca="1" si="646"/>
        <v>0</v>
      </c>
      <c r="O327" s="7">
        <f t="shared" ca="1" si="646"/>
        <v>0</v>
      </c>
      <c r="P327" s="7">
        <f t="shared" ca="1" si="646"/>
        <v>0</v>
      </c>
      <c r="Q327" s="7">
        <f t="shared" ca="1" si="646"/>
        <v>0</v>
      </c>
      <c r="R327" s="7">
        <f t="shared" ca="1" si="646"/>
        <v>0</v>
      </c>
      <c r="S327" s="7">
        <f t="shared" ca="1" si="646"/>
        <v>0</v>
      </c>
      <c r="T327" s="7">
        <f t="shared" ca="1" si="646"/>
        <v>0</v>
      </c>
      <c r="U327" s="7">
        <f t="shared" ca="1" si="646"/>
        <v>0</v>
      </c>
      <c r="V327" s="7">
        <f t="shared" ca="1" si="646"/>
        <v>0</v>
      </c>
      <c r="W327" s="7">
        <f t="shared" ca="1" si="646"/>
        <v>0</v>
      </c>
      <c r="X327" s="7">
        <f t="shared" ca="1" si="646"/>
        <v>0</v>
      </c>
      <c r="Y327" s="7">
        <f t="shared" ca="1" si="646"/>
        <v>0</v>
      </c>
      <c r="Z327" s="7">
        <f t="shared" ca="1" si="646"/>
        <v>0</v>
      </c>
      <c r="AA327" s="7">
        <f t="shared" ca="1" si="646"/>
        <v>0</v>
      </c>
      <c r="AB327" s="7">
        <f t="shared" ca="1" si="646"/>
        <v>0</v>
      </c>
      <c r="AC327" s="7">
        <f t="shared" ca="1" si="646"/>
        <v>0</v>
      </c>
      <c r="AD327" s="7">
        <f t="shared" ca="1" si="646"/>
        <v>0</v>
      </c>
      <c r="AE327" s="7">
        <f t="shared" ca="1" si="646"/>
        <v>0</v>
      </c>
      <c r="AF327" s="7">
        <f t="shared" ca="1" si="646"/>
        <v>0</v>
      </c>
      <c r="AG327" s="7">
        <f t="shared" ca="1" si="646"/>
        <v>0</v>
      </c>
      <c r="AH327" s="7">
        <f t="shared" ca="1" si="646"/>
        <v>0</v>
      </c>
      <c r="AI327" s="7">
        <f t="shared" ca="1" si="646"/>
        <v>0</v>
      </c>
      <c r="AJ327" s="7">
        <f t="shared" ca="1" si="646"/>
        <v>0</v>
      </c>
      <c r="AK327" s="7">
        <f t="shared" ca="1" si="646"/>
        <v>0</v>
      </c>
      <c r="AL327" s="7">
        <f t="shared" ca="1" si="646"/>
        <v>0</v>
      </c>
      <c r="AM327" s="7">
        <f t="shared" ca="1" si="646"/>
        <v>0</v>
      </c>
    </row>
    <row r="328" spans="1:39" x14ac:dyDescent="0.2">
      <c r="A328" s="16" t="str">
        <f t="shared" si="637"/>
        <v>Car</v>
      </c>
      <c r="C328" s="7">
        <f ca="1">IFERROR(IF(VLOOKUP($A328,$309:$319,C$1+2,FALSE)=0,C89,0),C89)</f>
        <v>-5234.2745926297666</v>
      </c>
      <c r="D328" s="7">
        <f t="shared" ref="D328:AM328" ca="1" si="647">IFERROR(IF(VLOOKUP($A328,$309:$319,D$1+2,FALSE)=0,D89,0),D89)</f>
        <v>-4298.4122995765474</v>
      </c>
      <c r="E328" s="7">
        <f t="shared" ca="1" si="647"/>
        <v>-3343.6602291314293</v>
      </c>
      <c r="F328" s="7">
        <f t="shared" ca="1" si="647"/>
        <v>-2369.6371033087999</v>
      </c>
      <c r="G328" s="7">
        <f t="shared" ca="1" si="647"/>
        <v>-1375.9539482725622</v>
      </c>
      <c r="H328" s="7">
        <f t="shared" ca="1" si="647"/>
        <v>-362.21393900035582</v>
      </c>
      <c r="I328" s="7">
        <f t="shared" ca="1" si="647"/>
        <v>0</v>
      </c>
      <c r="J328" s="7">
        <f t="shared" ca="1" si="647"/>
        <v>0</v>
      </c>
      <c r="K328" s="7">
        <f t="shared" ca="1" si="647"/>
        <v>0</v>
      </c>
      <c r="L328" s="7">
        <f t="shared" ca="1" si="647"/>
        <v>0</v>
      </c>
      <c r="M328" s="7">
        <f t="shared" ca="1" si="647"/>
        <v>0</v>
      </c>
      <c r="N328" s="7">
        <f t="shared" ca="1" si="647"/>
        <v>0</v>
      </c>
      <c r="O328" s="7">
        <f t="shared" ca="1" si="647"/>
        <v>0</v>
      </c>
      <c r="P328" s="7">
        <f t="shared" ca="1" si="647"/>
        <v>0</v>
      </c>
      <c r="Q328" s="7">
        <f t="shared" ca="1" si="647"/>
        <v>0</v>
      </c>
      <c r="R328" s="7">
        <f t="shared" ca="1" si="647"/>
        <v>0</v>
      </c>
      <c r="S328" s="7">
        <f t="shared" ca="1" si="647"/>
        <v>0</v>
      </c>
      <c r="T328" s="7">
        <f t="shared" ca="1" si="647"/>
        <v>0</v>
      </c>
      <c r="U328" s="7">
        <f t="shared" ca="1" si="647"/>
        <v>0</v>
      </c>
      <c r="V328" s="7">
        <f t="shared" ca="1" si="647"/>
        <v>0</v>
      </c>
      <c r="W328" s="7">
        <f t="shared" ca="1" si="647"/>
        <v>0</v>
      </c>
      <c r="X328" s="7">
        <f t="shared" ca="1" si="647"/>
        <v>0</v>
      </c>
      <c r="Y328" s="7">
        <f t="shared" ca="1" si="647"/>
        <v>0</v>
      </c>
      <c r="Z328" s="7">
        <f t="shared" ca="1" si="647"/>
        <v>0</v>
      </c>
      <c r="AA328" s="7">
        <f t="shared" ca="1" si="647"/>
        <v>0</v>
      </c>
      <c r="AB328" s="7">
        <f t="shared" ca="1" si="647"/>
        <v>0</v>
      </c>
      <c r="AC328" s="7">
        <f t="shared" ca="1" si="647"/>
        <v>0</v>
      </c>
      <c r="AD328" s="7">
        <f t="shared" ca="1" si="647"/>
        <v>0</v>
      </c>
      <c r="AE328" s="7">
        <f t="shared" ca="1" si="647"/>
        <v>0</v>
      </c>
      <c r="AF328" s="7">
        <f t="shared" ca="1" si="647"/>
        <v>0</v>
      </c>
      <c r="AG328" s="7">
        <f t="shared" ca="1" si="647"/>
        <v>0</v>
      </c>
      <c r="AH328" s="7">
        <f t="shared" ca="1" si="647"/>
        <v>0</v>
      </c>
      <c r="AI328" s="7">
        <f t="shared" ca="1" si="647"/>
        <v>0</v>
      </c>
      <c r="AJ328" s="7">
        <f t="shared" ca="1" si="647"/>
        <v>0</v>
      </c>
      <c r="AK328" s="7">
        <f t="shared" ca="1" si="647"/>
        <v>0</v>
      </c>
      <c r="AL328" s="7">
        <f t="shared" ca="1" si="647"/>
        <v>0</v>
      </c>
      <c r="AM328" s="7">
        <f t="shared" ca="1" si="647"/>
        <v>0</v>
      </c>
    </row>
    <row r="329" spans="1:39" x14ac:dyDescent="0.2">
      <c r="A329" s="16" t="str">
        <f t="shared" si="637"/>
        <v>Painting</v>
      </c>
      <c r="C329" s="7">
        <f ca="1">IFERROR(IF(VLOOKUP($A329,$309:$319,C$1+2,FALSE)=0,C90,0),C90)</f>
        <v>-6544.7251312007966</v>
      </c>
      <c r="D329" s="7">
        <f t="shared" ref="D329:AM329" ca="1" si="648">IFERROR(IF(VLOOKUP($A329,$309:$319,D$1+2,FALSE)=0,D90,0),D90)</f>
        <v>-5344.7087535753089</v>
      </c>
      <c r="E329" s="7">
        <f t="shared" ca="1" si="648"/>
        <v>-4083.2972605813311</v>
      </c>
      <c r="F329" s="7">
        <f t="shared" ca="1" si="648"/>
        <v>-2757.3495615959573</v>
      </c>
      <c r="G329" s="7">
        <f t="shared" ca="1" si="648"/>
        <v>-1363.5638618385628</v>
      </c>
      <c r="H329" s="7">
        <f t="shared" ca="1" si="648"/>
        <v>0</v>
      </c>
      <c r="I329" s="7">
        <f t="shared" ca="1" si="648"/>
        <v>0</v>
      </c>
      <c r="J329" s="7">
        <f t="shared" ca="1" si="648"/>
        <v>0</v>
      </c>
      <c r="K329" s="7">
        <f t="shared" ca="1" si="648"/>
        <v>0</v>
      </c>
      <c r="L329" s="7">
        <f t="shared" ca="1" si="648"/>
        <v>0</v>
      </c>
      <c r="M329" s="7">
        <f t="shared" ca="1" si="648"/>
        <v>0</v>
      </c>
      <c r="N329" s="7">
        <f t="shared" ca="1" si="648"/>
        <v>0</v>
      </c>
      <c r="O329" s="7">
        <f t="shared" ca="1" si="648"/>
        <v>0</v>
      </c>
      <c r="P329" s="7">
        <f t="shared" ca="1" si="648"/>
        <v>0</v>
      </c>
      <c r="Q329" s="7">
        <f t="shared" ca="1" si="648"/>
        <v>0</v>
      </c>
      <c r="R329" s="7">
        <f t="shared" ca="1" si="648"/>
        <v>0</v>
      </c>
      <c r="S329" s="7">
        <f t="shared" ca="1" si="648"/>
        <v>0</v>
      </c>
      <c r="T329" s="7">
        <f t="shared" ca="1" si="648"/>
        <v>0</v>
      </c>
      <c r="U329" s="7">
        <f t="shared" ca="1" si="648"/>
        <v>0</v>
      </c>
      <c r="V329" s="7">
        <f t="shared" ca="1" si="648"/>
        <v>0</v>
      </c>
      <c r="W329" s="7">
        <f t="shared" ca="1" si="648"/>
        <v>0</v>
      </c>
      <c r="X329" s="7">
        <f t="shared" ca="1" si="648"/>
        <v>0</v>
      </c>
      <c r="Y329" s="7">
        <f t="shared" ca="1" si="648"/>
        <v>0</v>
      </c>
      <c r="Z329" s="7">
        <f t="shared" ca="1" si="648"/>
        <v>0</v>
      </c>
      <c r="AA329" s="7">
        <f t="shared" ca="1" si="648"/>
        <v>0</v>
      </c>
      <c r="AB329" s="7">
        <f t="shared" ca="1" si="648"/>
        <v>0</v>
      </c>
      <c r="AC329" s="7">
        <f t="shared" ca="1" si="648"/>
        <v>0</v>
      </c>
      <c r="AD329" s="7">
        <f t="shared" ca="1" si="648"/>
        <v>0</v>
      </c>
      <c r="AE329" s="7">
        <f t="shared" ca="1" si="648"/>
        <v>0</v>
      </c>
      <c r="AF329" s="7">
        <f t="shared" ca="1" si="648"/>
        <v>0</v>
      </c>
      <c r="AG329" s="7">
        <f t="shared" ca="1" si="648"/>
        <v>0</v>
      </c>
      <c r="AH329" s="7">
        <f t="shared" ca="1" si="648"/>
        <v>0</v>
      </c>
      <c r="AI329" s="7">
        <f t="shared" ca="1" si="648"/>
        <v>0</v>
      </c>
      <c r="AJ329" s="7">
        <f t="shared" ca="1" si="648"/>
        <v>0</v>
      </c>
      <c r="AK329" s="7">
        <f t="shared" ca="1" si="648"/>
        <v>0</v>
      </c>
      <c r="AL329" s="7">
        <f t="shared" ca="1" si="648"/>
        <v>0</v>
      </c>
      <c r="AM329" s="7">
        <f t="shared" ca="1" si="648"/>
        <v>0</v>
      </c>
    </row>
    <row r="330" spans="1:39" x14ac:dyDescent="0.2">
      <c r="A330" s="16" t="str">
        <f t="shared" si="637"/>
        <v>Boat</v>
      </c>
      <c r="C330" s="7">
        <f ca="1">IFERROR(IF(VLOOKUP($A330,$309:$319,C$1+2,FALSE)=0,C91,0),C91)</f>
        <v>-35663.316802941074</v>
      </c>
      <c r="D330" s="7">
        <f t="shared" ref="D330:AM330" ca="1" si="649">IFERROR(IF(VLOOKUP($A330,$309:$319,D$1+2,FALSE)=0,D91,0),D91)</f>
        <v>-30165.561226487567</v>
      </c>
      <c r="E330" s="7">
        <f t="shared" ca="1" si="649"/>
        <v>-24328.716115912546</v>
      </c>
      <c r="F330" s="7">
        <f t="shared" ca="1" si="649"/>
        <v>-18131.867170725258</v>
      </c>
      <c r="G330" s="7">
        <f t="shared" ca="1" si="649"/>
        <v>-11552.810142144008</v>
      </c>
      <c r="H330" s="7">
        <f t="shared" ca="1" si="649"/>
        <v>-4567.971271908129</v>
      </c>
      <c r="I330" s="7">
        <f t="shared" ca="1" si="649"/>
        <v>0</v>
      </c>
      <c r="J330" s="7">
        <f t="shared" ca="1" si="649"/>
        <v>0</v>
      </c>
      <c r="K330" s="7">
        <f t="shared" ca="1" si="649"/>
        <v>0</v>
      </c>
      <c r="L330" s="7">
        <f t="shared" ca="1" si="649"/>
        <v>0</v>
      </c>
      <c r="M330" s="7">
        <f t="shared" ca="1" si="649"/>
        <v>0</v>
      </c>
      <c r="N330" s="7">
        <f t="shared" ca="1" si="649"/>
        <v>0</v>
      </c>
      <c r="O330" s="7">
        <f t="shared" ca="1" si="649"/>
        <v>0</v>
      </c>
      <c r="P330" s="7">
        <f t="shared" ca="1" si="649"/>
        <v>0</v>
      </c>
      <c r="Q330" s="7">
        <f t="shared" ca="1" si="649"/>
        <v>0</v>
      </c>
      <c r="R330" s="7">
        <f t="shared" ca="1" si="649"/>
        <v>0</v>
      </c>
      <c r="S330" s="7">
        <f t="shared" ca="1" si="649"/>
        <v>0</v>
      </c>
      <c r="T330" s="7">
        <f t="shared" ca="1" si="649"/>
        <v>0</v>
      </c>
      <c r="U330" s="7">
        <f t="shared" ca="1" si="649"/>
        <v>0</v>
      </c>
      <c r="V330" s="7">
        <f t="shared" ca="1" si="649"/>
        <v>0</v>
      </c>
      <c r="W330" s="7">
        <f t="shared" ca="1" si="649"/>
        <v>0</v>
      </c>
      <c r="X330" s="7">
        <f t="shared" ca="1" si="649"/>
        <v>0</v>
      </c>
      <c r="Y330" s="7">
        <f t="shared" ca="1" si="649"/>
        <v>0</v>
      </c>
      <c r="Z330" s="7">
        <f t="shared" ca="1" si="649"/>
        <v>0</v>
      </c>
      <c r="AA330" s="7">
        <f t="shared" ca="1" si="649"/>
        <v>0</v>
      </c>
      <c r="AB330" s="7">
        <f t="shared" ca="1" si="649"/>
        <v>0</v>
      </c>
      <c r="AC330" s="7">
        <f t="shared" ca="1" si="649"/>
        <v>0</v>
      </c>
      <c r="AD330" s="7">
        <f t="shared" ca="1" si="649"/>
        <v>0</v>
      </c>
      <c r="AE330" s="7">
        <f t="shared" ca="1" si="649"/>
        <v>0</v>
      </c>
      <c r="AF330" s="7">
        <f t="shared" ca="1" si="649"/>
        <v>0</v>
      </c>
      <c r="AG330" s="7">
        <f t="shared" ca="1" si="649"/>
        <v>0</v>
      </c>
      <c r="AH330" s="7">
        <f t="shared" ca="1" si="649"/>
        <v>0</v>
      </c>
      <c r="AI330" s="7">
        <f t="shared" ca="1" si="649"/>
        <v>0</v>
      </c>
      <c r="AJ330" s="7">
        <f t="shared" ca="1" si="649"/>
        <v>0</v>
      </c>
      <c r="AK330" s="7">
        <f t="shared" ca="1" si="649"/>
        <v>0</v>
      </c>
      <c r="AL330" s="7">
        <f t="shared" ca="1" si="649"/>
        <v>0</v>
      </c>
      <c r="AM330" s="7">
        <f t="shared" ca="1" si="649"/>
        <v>0</v>
      </c>
    </row>
    <row r="331" spans="1:39" x14ac:dyDescent="0.2">
      <c r="A331" s="16" t="str">
        <f t="shared" si="637"/>
        <v>Antiques</v>
      </c>
      <c r="C331" s="7">
        <f ca="1">IFERROR(IF(VLOOKUP($A331,$309:$319,C$1+2,FALSE)=0,C92,0),C92)</f>
        <v>-2783.6180442430355</v>
      </c>
      <c r="D331" s="7">
        <f t="shared" ref="D331:AM331" ca="1" si="650">IFERROR(IF(VLOOKUP($A331,$309:$319,D$1+2,FALSE)=0,D92,0),D92)</f>
        <v>-1529.9823465461</v>
      </c>
      <c r="E331" s="7">
        <f t="shared" ca="1" si="650"/>
        <v>-238.21611948276723</v>
      </c>
      <c r="F331" s="7">
        <f t="shared" ca="1" si="650"/>
        <v>0</v>
      </c>
      <c r="G331" s="7">
        <f t="shared" ca="1" si="650"/>
        <v>0</v>
      </c>
      <c r="H331" s="7">
        <f t="shared" ca="1" si="650"/>
        <v>0</v>
      </c>
      <c r="I331" s="7">
        <f t="shared" ca="1" si="650"/>
        <v>0</v>
      </c>
      <c r="J331" s="7">
        <f t="shared" ca="1" si="650"/>
        <v>0</v>
      </c>
      <c r="K331" s="7">
        <f t="shared" ca="1" si="650"/>
        <v>0</v>
      </c>
      <c r="L331" s="7">
        <f t="shared" ca="1" si="650"/>
        <v>0</v>
      </c>
      <c r="M331" s="7">
        <f t="shared" ca="1" si="650"/>
        <v>0</v>
      </c>
      <c r="N331" s="7">
        <f t="shared" ca="1" si="650"/>
        <v>0</v>
      </c>
      <c r="O331" s="7">
        <f t="shared" ca="1" si="650"/>
        <v>0</v>
      </c>
      <c r="P331" s="7">
        <f t="shared" ca="1" si="650"/>
        <v>0</v>
      </c>
      <c r="Q331" s="7">
        <f t="shared" ca="1" si="650"/>
        <v>0</v>
      </c>
      <c r="R331" s="7">
        <f t="shared" ca="1" si="650"/>
        <v>0</v>
      </c>
      <c r="S331" s="7">
        <f t="shared" ca="1" si="650"/>
        <v>0</v>
      </c>
      <c r="T331" s="7">
        <f t="shared" ca="1" si="650"/>
        <v>0</v>
      </c>
      <c r="U331" s="7">
        <f t="shared" ca="1" si="650"/>
        <v>0</v>
      </c>
      <c r="V331" s="7">
        <f t="shared" ca="1" si="650"/>
        <v>0</v>
      </c>
      <c r="W331" s="7">
        <f t="shared" ca="1" si="650"/>
        <v>0</v>
      </c>
      <c r="X331" s="7">
        <f t="shared" ca="1" si="650"/>
        <v>0</v>
      </c>
      <c r="Y331" s="7">
        <f t="shared" ca="1" si="650"/>
        <v>0</v>
      </c>
      <c r="Z331" s="7">
        <f t="shared" ca="1" si="650"/>
        <v>0</v>
      </c>
      <c r="AA331" s="7">
        <f t="shared" ca="1" si="650"/>
        <v>0</v>
      </c>
      <c r="AB331" s="7">
        <f t="shared" ca="1" si="650"/>
        <v>0</v>
      </c>
      <c r="AC331" s="7">
        <f t="shared" ca="1" si="650"/>
        <v>0</v>
      </c>
      <c r="AD331" s="7">
        <f t="shared" ca="1" si="650"/>
        <v>0</v>
      </c>
      <c r="AE331" s="7">
        <f t="shared" ca="1" si="650"/>
        <v>0</v>
      </c>
      <c r="AF331" s="7">
        <f t="shared" ca="1" si="650"/>
        <v>0</v>
      </c>
      <c r="AG331" s="7">
        <f t="shared" ca="1" si="650"/>
        <v>0</v>
      </c>
      <c r="AH331" s="7">
        <f t="shared" ca="1" si="650"/>
        <v>0</v>
      </c>
      <c r="AI331" s="7">
        <f t="shared" ca="1" si="650"/>
        <v>0</v>
      </c>
      <c r="AJ331" s="7">
        <f t="shared" ca="1" si="650"/>
        <v>0</v>
      </c>
      <c r="AK331" s="7">
        <f t="shared" ca="1" si="650"/>
        <v>0</v>
      </c>
      <c r="AL331" s="7">
        <f t="shared" ca="1" si="650"/>
        <v>0</v>
      </c>
      <c r="AM331" s="7">
        <f t="shared" ca="1" si="650"/>
        <v>0</v>
      </c>
    </row>
    <row r="332" spans="1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x14ac:dyDescent="0.2">
      <c r="A333" s="3" t="s">
        <v>60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2">
      <c r="A334" s="16" t="str">
        <f t="shared" ref="A334:A341" si="651">A66</f>
        <v>Cash</v>
      </c>
      <c r="C334" s="7">
        <f ca="1">C281</f>
        <v>62809.375000000015</v>
      </c>
      <c r="D334" s="7">
        <f t="shared" ref="D334:AM334" ca="1" si="652">D281</f>
        <v>74162.215625000026</v>
      </c>
      <c r="E334" s="7">
        <f t="shared" ca="1" si="652"/>
        <v>91813.279140625047</v>
      </c>
      <c r="F334" s="7">
        <f t="shared" ca="1" si="652"/>
        <v>91803.568657505195</v>
      </c>
      <c r="G334" s="7">
        <f t="shared" ca="1" si="652"/>
        <v>123524.62717736079</v>
      </c>
      <c r="H334" s="7">
        <f t="shared" ca="1" si="652"/>
        <v>161945.76563583669</v>
      </c>
      <c r="I334" s="7">
        <f t="shared" ca="1" si="652"/>
        <v>229058.63493181192</v>
      </c>
      <c r="J334" s="7">
        <f t="shared" ca="1" si="652"/>
        <v>300182.50067145552</v>
      </c>
      <c r="K334" s="7">
        <f t="shared" ca="1" si="652"/>
        <v>358095.70278366783</v>
      </c>
      <c r="L334" s="7">
        <f t="shared" ca="1" si="652"/>
        <v>503640.47280939861</v>
      </c>
      <c r="M334" s="7">
        <f t="shared" ca="1" si="652"/>
        <v>560683.42164108111</v>
      </c>
      <c r="N334" s="7">
        <f t="shared" ca="1" si="652"/>
        <v>671525.85327123245</v>
      </c>
      <c r="O334" s="7">
        <f t="shared" ca="1" si="652"/>
        <v>788362.94313265686</v>
      </c>
      <c r="P334" s="7">
        <f t="shared" ca="1" si="652"/>
        <v>911449.23653079802</v>
      </c>
      <c r="Q334" s="7">
        <f t="shared" ca="1" si="652"/>
        <v>1041048.9820423867</v>
      </c>
      <c r="R334" s="7">
        <f t="shared" ca="1" si="652"/>
        <v>1177436.4792682112</v>
      </c>
      <c r="S334" s="7">
        <f t="shared" ca="1" si="652"/>
        <v>1320896.4385593834</v>
      </c>
      <c r="T334" s="7">
        <f t="shared" ca="1" si="652"/>
        <v>1362493.9107349962</v>
      </c>
      <c r="U334" s="7">
        <f t="shared" ca="1" si="652"/>
        <v>1413530.8459680481</v>
      </c>
      <c r="V334" s="7">
        <f t="shared" ca="1" si="652"/>
        <v>1466566.1280568431</v>
      </c>
      <c r="W334" s="7">
        <f t="shared" ca="1" si="652"/>
        <v>1521676.7180232967</v>
      </c>
      <c r="X334" s="7">
        <f t="shared" ca="1" si="652"/>
        <v>1578942.4442265448</v>
      </c>
      <c r="Y334" s="7">
        <f t="shared" ca="1" si="652"/>
        <v>1617529.0131961552</v>
      </c>
      <c r="Z334" s="7">
        <f t="shared" ca="1" si="652"/>
        <v>1657393.5393787338</v>
      </c>
      <c r="AA334" s="7">
        <f t="shared" ca="1" si="652"/>
        <v>1698585.8680630873</v>
      </c>
      <c r="AB334" s="7">
        <f t="shared" ca="1" si="652"/>
        <v>1741157.8400002168</v>
      </c>
      <c r="AC334" s="7">
        <f t="shared" ca="1" si="652"/>
        <v>1785163.3690807538</v>
      </c>
      <c r="AD334" s="7">
        <f t="shared" ca="1" si="652"/>
        <v>1830658.5229208304</v>
      </c>
      <c r="AE334" s="7">
        <f t="shared" ca="1" si="652"/>
        <v>1887808.8624938719</v>
      </c>
      <c r="AF334" s="7">
        <f t="shared" ca="1" si="652"/>
        <v>1947073.1235563438</v>
      </c>
      <c r="AG334" s="7">
        <f t="shared" ca="1" si="652"/>
        <v>2008533.3002031124</v>
      </c>
      <c r="AH334" s="7">
        <f t="shared" ca="1" si="652"/>
        <v>2072274.5255423354</v>
      </c>
      <c r="AI334" s="7">
        <f t="shared" ca="1" si="652"/>
        <v>2138385.1882151016</v>
      </c>
      <c r="AJ334" s="7">
        <f t="shared" ca="1" si="652"/>
        <v>2206957.0531036272</v>
      </c>
      <c r="AK334" s="7">
        <f t="shared" ca="1" si="652"/>
        <v>2278085.3863743474</v>
      </c>
      <c r="AL334" s="7">
        <f t="shared" ca="1" si="652"/>
        <v>2351869.0850072289</v>
      </c>
      <c r="AM334" s="7">
        <f t="shared" ca="1" si="652"/>
        <v>2428410.8109677895</v>
      </c>
    </row>
    <row r="335" spans="1:39" x14ac:dyDescent="0.2">
      <c r="A335" s="16" t="str">
        <f t="shared" si="651"/>
        <v>Home</v>
      </c>
      <c r="C335" s="7">
        <f t="shared" ref="C335:AM335" ca="1" si="653">C67</f>
        <v>614962.9305229499</v>
      </c>
      <c r="D335" s="7">
        <f t="shared" ca="1" si="653"/>
        <v>633411.81843863847</v>
      </c>
      <c r="E335" s="7">
        <f t="shared" ca="1" si="653"/>
        <v>652414.17299179768</v>
      </c>
      <c r="F335" s="7">
        <f t="shared" ca="1" si="653"/>
        <v>671986.59818155167</v>
      </c>
      <c r="G335" s="7">
        <f t="shared" ca="1" si="653"/>
        <v>692146.19612699829</v>
      </c>
      <c r="H335" s="7">
        <f t="shared" ca="1" si="653"/>
        <v>712910.58201080828</v>
      </c>
      <c r="I335" s="7">
        <f t="shared" ca="1" si="653"/>
        <v>734297.89947113255</v>
      </c>
      <c r="J335" s="7">
        <f t="shared" ca="1" si="653"/>
        <v>756326.83645526657</v>
      </c>
      <c r="K335" s="7">
        <f t="shared" ca="1" si="653"/>
        <v>779016.64154892461</v>
      </c>
      <c r="L335" s="7">
        <f t="shared" ca="1" si="653"/>
        <v>802387.14079539233</v>
      </c>
      <c r="M335" s="7">
        <f t="shared" ca="1" si="653"/>
        <v>826458.75501925417</v>
      </c>
      <c r="N335" s="7">
        <f t="shared" ca="1" si="653"/>
        <v>851252.51766983187</v>
      </c>
      <c r="O335" s="7">
        <f t="shared" ca="1" si="653"/>
        <v>876790.09319992689</v>
      </c>
      <c r="P335" s="7">
        <f t="shared" ca="1" si="653"/>
        <v>903093.79599592474</v>
      </c>
      <c r="Q335" s="7">
        <f t="shared" ca="1" si="653"/>
        <v>930186.60987580253</v>
      </c>
      <c r="R335" s="7">
        <f t="shared" ca="1" si="653"/>
        <v>958092.20817207661</v>
      </c>
      <c r="S335" s="7">
        <f t="shared" ca="1" si="653"/>
        <v>986834.97441723896</v>
      </c>
      <c r="T335" s="7">
        <f t="shared" ca="1" si="653"/>
        <v>1016440.0236497562</v>
      </c>
      <c r="U335" s="7">
        <f t="shared" ca="1" si="653"/>
        <v>1046933.2243592489</v>
      </c>
      <c r="V335" s="7">
        <f t="shared" ca="1" si="653"/>
        <v>1078341.2210900264</v>
      </c>
      <c r="W335" s="7">
        <f t="shared" ca="1" si="653"/>
        <v>1110691.4577227272</v>
      </c>
      <c r="X335" s="7">
        <f t="shared" ca="1" si="653"/>
        <v>1144012.2014544092</v>
      </c>
      <c r="Y335" s="7">
        <f t="shared" ca="1" si="653"/>
        <v>1178332.5674980415</v>
      </c>
      <c r="Z335" s="7">
        <f t="shared" ca="1" si="653"/>
        <v>1213682.5445229828</v>
      </c>
      <c r="AA335" s="7">
        <f t="shared" ca="1" si="653"/>
        <v>1250093.0208586722</v>
      </c>
      <c r="AB335" s="7">
        <f t="shared" ca="1" si="653"/>
        <v>1287595.8114844323</v>
      </c>
      <c r="AC335" s="7">
        <f t="shared" ca="1" si="653"/>
        <v>1326223.6858289654</v>
      </c>
      <c r="AD335" s="7">
        <f t="shared" ca="1" si="653"/>
        <v>1366010.3964038345</v>
      </c>
      <c r="AE335" s="7">
        <f t="shared" ca="1" si="653"/>
        <v>1406990.7082959495</v>
      </c>
      <c r="AF335" s="7">
        <f t="shared" ca="1" si="653"/>
        <v>1449200.4295448281</v>
      </c>
      <c r="AG335" s="7">
        <f t="shared" ca="1" si="653"/>
        <v>1492676.4424311731</v>
      </c>
      <c r="AH335" s="7">
        <f t="shared" ca="1" si="653"/>
        <v>1537456.7357041084</v>
      </c>
      <c r="AI335" s="7">
        <f t="shared" ca="1" si="653"/>
        <v>1583580.4377752317</v>
      </c>
      <c r="AJ335" s="7">
        <f t="shared" ca="1" si="653"/>
        <v>1631087.8509084887</v>
      </c>
      <c r="AK335" s="7">
        <f t="shared" ca="1" si="653"/>
        <v>1680020.4864357435</v>
      </c>
      <c r="AL335" s="7">
        <f t="shared" ca="1" si="653"/>
        <v>1730421.1010288158</v>
      </c>
      <c r="AM335" s="7">
        <f t="shared" ca="1" si="653"/>
        <v>1782333.7340596803</v>
      </c>
    </row>
    <row r="336" spans="1:39" x14ac:dyDescent="0.2">
      <c r="A336" s="16" t="s">
        <v>51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x14ac:dyDescent="0.2">
      <c r="A337" s="17" t="str">
        <f t="shared" si="651"/>
        <v>Sliema</v>
      </c>
      <c r="C337" s="7">
        <f t="shared" ref="C337:AM337" ca="1" si="654">C298</f>
        <v>307481.46526147495</v>
      </c>
      <c r="D337" s="7">
        <f t="shared" ca="1" si="654"/>
        <v>316705.90921931923</v>
      </c>
      <c r="E337" s="7">
        <f t="shared" ca="1" si="654"/>
        <v>326207.08649589884</v>
      </c>
      <c r="F337" s="7">
        <f t="shared" ca="1" si="654"/>
        <v>335993.29909077584</v>
      </c>
      <c r="G337" s="7">
        <f t="shared" ca="1" si="654"/>
        <v>346073.09806349914</v>
      </c>
      <c r="H337" s="7">
        <f t="shared" ca="1" si="654"/>
        <v>356455.29100540414</v>
      </c>
      <c r="I337" s="7">
        <f t="shared" ca="1" si="654"/>
        <v>367148.94973556628</v>
      </c>
      <c r="J337" s="7">
        <f t="shared" ca="1" si="654"/>
        <v>378163.41822763329</v>
      </c>
      <c r="K337" s="7">
        <f t="shared" ca="1" si="654"/>
        <v>389508.32077446231</v>
      </c>
      <c r="L337" s="7">
        <f t="shared" ca="1" si="654"/>
        <v>401193.57039769617</v>
      </c>
      <c r="M337" s="7">
        <f t="shared" ca="1" si="654"/>
        <v>413229.37750962708</v>
      </c>
      <c r="N337" s="7">
        <f t="shared" ca="1" si="654"/>
        <v>425626.25883491593</v>
      </c>
      <c r="O337" s="7">
        <f t="shared" ca="1" si="654"/>
        <v>438395.04659996345</v>
      </c>
      <c r="P337" s="7">
        <f t="shared" ca="1" si="654"/>
        <v>451546.89799796237</v>
      </c>
      <c r="Q337" s="7">
        <f t="shared" ca="1" si="654"/>
        <v>465093.30493790127</v>
      </c>
      <c r="R337" s="7">
        <f t="shared" ca="1" si="654"/>
        <v>479046.10408603831</v>
      </c>
      <c r="S337" s="7">
        <f t="shared" ca="1" si="654"/>
        <v>493417.48720861948</v>
      </c>
      <c r="T337" s="7">
        <f t="shared" ca="1" si="654"/>
        <v>508220.01182487811</v>
      </c>
      <c r="U337" s="7">
        <f t="shared" ca="1" si="654"/>
        <v>523466.61217962444</v>
      </c>
      <c r="V337" s="7">
        <f t="shared" ca="1" si="654"/>
        <v>539170.61054501322</v>
      </c>
      <c r="W337" s="7">
        <f t="shared" ca="1" si="654"/>
        <v>555345.7288613636</v>
      </c>
      <c r="X337" s="7">
        <f t="shared" ca="1" si="654"/>
        <v>572006.10072720458</v>
      </c>
      <c r="Y337" s="7">
        <f t="shared" ca="1" si="654"/>
        <v>589166.28374902077</v>
      </c>
      <c r="Z337" s="7">
        <f t="shared" ca="1" si="654"/>
        <v>606841.27226149139</v>
      </c>
      <c r="AA337" s="7">
        <f t="shared" ca="1" si="654"/>
        <v>625046.51042933611</v>
      </c>
      <c r="AB337" s="7">
        <f t="shared" ca="1" si="654"/>
        <v>643797.90574221616</v>
      </c>
      <c r="AC337" s="7">
        <f t="shared" ca="1" si="654"/>
        <v>663111.8429144827</v>
      </c>
      <c r="AD337" s="7">
        <f t="shared" ca="1" si="654"/>
        <v>683005.19820191723</v>
      </c>
      <c r="AE337" s="7">
        <f t="shared" ca="1" si="654"/>
        <v>703495.35414797475</v>
      </c>
      <c r="AF337" s="7">
        <f t="shared" ca="1" si="654"/>
        <v>724600.21477241407</v>
      </c>
      <c r="AG337" s="7">
        <f t="shared" ca="1" si="654"/>
        <v>746338.22121558653</v>
      </c>
      <c r="AH337" s="7">
        <f t="shared" ca="1" si="654"/>
        <v>768728.36785205419</v>
      </c>
      <c r="AI337" s="7">
        <f t="shared" ca="1" si="654"/>
        <v>791790.21888761583</v>
      </c>
      <c r="AJ337" s="7">
        <f t="shared" ca="1" si="654"/>
        <v>815543.92545424437</v>
      </c>
      <c r="AK337" s="7">
        <f t="shared" ca="1" si="654"/>
        <v>840010.24321787176</v>
      </c>
      <c r="AL337" s="7">
        <f t="shared" ca="1" si="654"/>
        <v>865210.55051440792</v>
      </c>
      <c r="AM337" s="7">
        <f t="shared" ca="1" si="654"/>
        <v>891166.86702984013</v>
      </c>
    </row>
    <row r="338" spans="1:39" x14ac:dyDescent="0.2">
      <c r="A338" s="17" t="str">
        <f t="shared" si="651"/>
        <v>Gzira</v>
      </c>
      <c r="C338" s="7">
        <f t="shared" ref="C338:AM338" ca="1" si="655">C299</f>
        <v>153740.73263073748</v>
      </c>
      <c r="D338" s="7">
        <f t="shared" ca="1" si="655"/>
        <v>158352.95460965962</v>
      </c>
      <c r="E338" s="7">
        <f t="shared" ca="1" si="655"/>
        <v>163103.54324794942</v>
      </c>
      <c r="F338" s="7">
        <f t="shared" ca="1" si="655"/>
        <v>167996.64954538792</v>
      </c>
      <c r="G338" s="7">
        <f t="shared" ca="1" si="655"/>
        <v>173036.54903174957</v>
      </c>
      <c r="H338" s="7">
        <f t="shared" ca="1" si="655"/>
        <v>178227.64550270207</v>
      </c>
      <c r="I338" s="7">
        <f t="shared" ca="1" si="655"/>
        <v>183574.47486778314</v>
      </c>
      <c r="J338" s="7">
        <f t="shared" ca="1" si="655"/>
        <v>189081.70911381664</v>
      </c>
      <c r="K338" s="7">
        <f t="shared" ca="1" si="655"/>
        <v>194754.16038723115</v>
      </c>
      <c r="L338" s="7">
        <f t="shared" ca="1" si="655"/>
        <v>200596.78519884808</v>
      </c>
      <c r="M338" s="7">
        <f t="shared" ca="1" si="655"/>
        <v>206614.68875481354</v>
      </c>
      <c r="N338" s="7">
        <f t="shared" ca="1" si="655"/>
        <v>212813.12941745797</v>
      </c>
      <c r="O338" s="7">
        <f t="shared" ca="1" si="655"/>
        <v>219197.52329998172</v>
      </c>
      <c r="P338" s="7">
        <f t="shared" ca="1" si="655"/>
        <v>225773.44899898118</v>
      </c>
      <c r="Q338" s="7">
        <f t="shared" ca="1" si="655"/>
        <v>232546.65246895063</v>
      </c>
      <c r="R338" s="7">
        <f t="shared" ca="1" si="655"/>
        <v>239523.05204301915</v>
      </c>
      <c r="S338" s="7">
        <f t="shared" ca="1" si="655"/>
        <v>246708.74360430974</v>
      </c>
      <c r="T338" s="7">
        <f t="shared" ca="1" si="655"/>
        <v>254110.00591243905</v>
      </c>
      <c r="U338" s="7">
        <f t="shared" ca="1" si="655"/>
        <v>261733.30608981222</v>
      </c>
      <c r="V338" s="7">
        <f t="shared" ca="1" si="655"/>
        <v>269585.30527250661</v>
      </c>
      <c r="W338" s="7">
        <f t="shared" ca="1" si="655"/>
        <v>277672.8644306818</v>
      </c>
      <c r="X338" s="7">
        <f t="shared" ca="1" si="655"/>
        <v>286003.05036360229</v>
      </c>
      <c r="Y338" s="7">
        <f t="shared" ca="1" si="655"/>
        <v>294583.14187451039</v>
      </c>
      <c r="Z338" s="7">
        <f t="shared" ca="1" si="655"/>
        <v>303420.6361307457</v>
      </c>
      <c r="AA338" s="7">
        <f t="shared" ca="1" si="655"/>
        <v>312523.25521466805</v>
      </c>
      <c r="AB338" s="7">
        <f t="shared" ca="1" si="655"/>
        <v>321898.95287110808</v>
      </c>
      <c r="AC338" s="7">
        <f t="shared" ca="1" si="655"/>
        <v>331555.92145724135</v>
      </c>
      <c r="AD338" s="7">
        <f t="shared" ca="1" si="655"/>
        <v>341502.59910095861</v>
      </c>
      <c r="AE338" s="7">
        <f t="shared" ca="1" si="655"/>
        <v>351747.67707398738</v>
      </c>
      <c r="AF338" s="7">
        <f t="shared" ca="1" si="655"/>
        <v>362300.10738620703</v>
      </c>
      <c r="AG338" s="7">
        <f t="shared" ca="1" si="655"/>
        <v>373169.11060779326</v>
      </c>
      <c r="AH338" s="7">
        <f t="shared" ca="1" si="655"/>
        <v>384364.18392602709</v>
      </c>
      <c r="AI338" s="7">
        <f t="shared" ca="1" si="655"/>
        <v>395895.10944380792</v>
      </c>
      <c r="AJ338" s="7">
        <f t="shared" ca="1" si="655"/>
        <v>407771.96272712218</v>
      </c>
      <c r="AK338" s="7">
        <f t="shared" ca="1" si="655"/>
        <v>420005.12160893588</v>
      </c>
      <c r="AL338" s="7">
        <f t="shared" ca="1" si="655"/>
        <v>432605.27525720396</v>
      </c>
      <c r="AM338" s="7">
        <f t="shared" ca="1" si="655"/>
        <v>445583.43351492006</v>
      </c>
    </row>
    <row r="339" spans="1:39" x14ac:dyDescent="0.2">
      <c r="A339" s="17" t="str">
        <f t="shared" si="651"/>
        <v>Qormi</v>
      </c>
      <c r="C339" s="7">
        <f t="shared" ref="C339:AM339" ca="1" si="656">C300</f>
        <v>225486.40785841495</v>
      </c>
      <c r="D339" s="7">
        <f t="shared" ca="1" si="656"/>
        <v>232251.00009416742</v>
      </c>
      <c r="E339" s="7">
        <f t="shared" ca="1" si="656"/>
        <v>239218.53009699244</v>
      </c>
      <c r="F339" s="7">
        <f t="shared" ca="1" si="656"/>
        <v>246395.08599990222</v>
      </c>
      <c r="G339" s="7">
        <f t="shared" ca="1" si="656"/>
        <v>253786.93857989929</v>
      </c>
      <c r="H339" s="7">
        <f t="shared" ca="1" si="656"/>
        <v>261400.54673729627</v>
      </c>
      <c r="I339" s="7">
        <f t="shared" ca="1" si="656"/>
        <v>269242.56313941517</v>
      </c>
      <c r="J339" s="7">
        <f t="shared" ca="1" si="656"/>
        <v>277319.84003359766</v>
      </c>
      <c r="K339" s="7">
        <f t="shared" ca="1" si="656"/>
        <v>285639.43523460563</v>
      </c>
      <c r="L339" s="7">
        <f t="shared" ca="1" si="656"/>
        <v>294208.6182916438</v>
      </c>
      <c r="M339" s="7">
        <f t="shared" ca="1" si="656"/>
        <v>303034.87684039312</v>
      </c>
      <c r="N339" s="7">
        <f t="shared" ca="1" si="656"/>
        <v>312125.9231456049</v>
      </c>
      <c r="O339" s="7">
        <f t="shared" ca="1" si="656"/>
        <v>321489.70083997305</v>
      </c>
      <c r="P339" s="7">
        <f t="shared" ca="1" si="656"/>
        <v>331134.39186517225</v>
      </c>
      <c r="Q339" s="7">
        <f t="shared" ca="1" si="656"/>
        <v>341068.42362112744</v>
      </c>
      <c r="R339" s="7">
        <f t="shared" ca="1" si="656"/>
        <v>351300.47632976127</v>
      </c>
      <c r="S339" s="7">
        <f t="shared" ca="1" si="656"/>
        <v>361839.49061965413</v>
      </c>
      <c r="T339" s="7">
        <f t="shared" ca="1" si="656"/>
        <v>372694.67533824377</v>
      </c>
      <c r="U339" s="7">
        <f t="shared" ca="1" si="656"/>
        <v>383875.51559839112</v>
      </c>
      <c r="V339" s="7">
        <f t="shared" ca="1" si="656"/>
        <v>395391.7810663429</v>
      </c>
      <c r="W339" s="7">
        <f t="shared" ca="1" si="656"/>
        <v>407253.53449833317</v>
      </c>
      <c r="X339" s="7">
        <f t="shared" ca="1" si="656"/>
        <v>419471.14053328318</v>
      </c>
      <c r="Y339" s="7">
        <f t="shared" ca="1" si="656"/>
        <v>432055.2747492817</v>
      </c>
      <c r="Z339" s="7">
        <f t="shared" ca="1" si="656"/>
        <v>445016.93299176014</v>
      </c>
      <c r="AA339" s="7">
        <f t="shared" ca="1" si="656"/>
        <v>458367.44098151295</v>
      </c>
      <c r="AB339" s="7">
        <f t="shared" ca="1" si="656"/>
        <v>472118.46421095834</v>
      </c>
      <c r="AC339" s="7">
        <f t="shared" ca="1" si="656"/>
        <v>486282.01813728712</v>
      </c>
      <c r="AD339" s="7">
        <f t="shared" ca="1" si="656"/>
        <v>500870.47868140572</v>
      </c>
      <c r="AE339" s="7">
        <f t="shared" ca="1" si="656"/>
        <v>515896.59304184793</v>
      </c>
      <c r="AF339" s="7">
        <f t="shared" ca="1" si="656"/>
        <v>531373.49083310342</v>
      </c>
      <c r="AG339" s="7">
        <f t="shared" ca="1" si="656"/>
        <v>547314.69555809652</v>
      </c>
      <c r="AH339" s="7">
        <f t="shared" ca="1" si="656"/>
        <v>563734.13642483938</v>
      </c>
      <c r="AI339" s="7">
        <f t="shared" ca="1" si="656"/>
        <v>580646.16051758453</v>
      </c>
      <c r="AJ339" s="7">
        <f t="shared" ca="1" si="656"/>
        <v>598065.54533311212</v>
      </c>
      <c r="AK339" s="7">
        <f t="shared" ca="1" si="656"/>
        <v>616007.51169310545</v>
      </c>
      <c r="AL339" s="7">
        <f t="shared" ca="1" si="656"/>
        <v>634487.73704389867</v>
      </c>
      <c r="AM339" s="7">
        <f t="shared" ca="1" si="656"/>
        <v>653522.36915521568</v>
      </c>
    </row>
    <row r="340" spans="1:39" x14ac:dyDescent="0.2">
      <c r="A340" s="17" t="str">
        <f t="shared" si="651"/>
        <v>Gudja</v>
      </c>
      <c r="C340" s="7">
        <f t="shared" ref="C340:AM340" ca="1" si="657">C301</f>
        <v>81995.057403059982</v>
      </c>
      <c r="D340" s="7">
        <f t="shared" ca="1" si="657"/>
        <v>84454.909125151782</v>
      </c>
      <c r="E340" s="7">
        <f t="shared" ca="1" si="657"/>
        <v>86988.556398906338</v>
      </c>
      <c r="F340" s="7">
        <f t="shared" ca="1" si="657"/>
        <v>89598.213090873527</v>
      </c>
      <c r="G340" s="7">
        <f t="shared" ca="1" si="657"/>
        <v>92286.159483599738</v>
      </c>
      <c r="H340" s="7">
        <f t="shared" ca="1" si="657"/>
        <v>95054.744268107737</v>
      </c>
      <c r="I340" s="7">
        <f t="shared" ca="1" si="657"/>
        <v>97906.386596150973</v>
      </c>
      <c r="J340" s="7">
        <f t="shared" ca="1" si="657"/>
        <v>100843.57819403551</v>
      </c>
      <c r="K340" s="7">
        <f t="shared" ca="1" si="657"/>
        <v>103868.88553985658</v>
      </c>
      <c r="L340" s="7">
        <f t="shared" ca="1" si="657"/>
        <v>106984.95210605228</v>
      </c>
      <c r="M340" s="7">
        <f t="shared" ca="1" si="657"/>
        <v>110194.50066923385</v>
      </c>
      <c r="N340" s="7">
        <f t="shared" ca="1" si="657"/>
        <v>113500.33568931087</v>
      </c>
      <c r="O340" s="7">
        <f t="shared" ca="1" si="657"/>
        <v>116905.3457599902</v>
      </c>
      <c r="P340" s="7">
        <f t="shared" ca="1" si="657"/>
        <v>120412.50613278992</v>
      </c>
      <c r="Q340" s="7">
        <f t="shared" ca="1" si="657"/>
        <v>124024.88131677362</v>
      </c>
      <c r="R340" s="7">
        <f t="shared" ca="1" si="657"/>
        <v>127745.62775627684</v>
      </c>
      <c r="S340" s="7">
        <f t="shared" ca="1" si="657"/>
        <v>131577.99658896515</v>
      </c>
      <c r="T340" s="7">
        <f t="shared" ca="1" si="657"/>
        <v>135525.3364866341</v>
      </c>
      <c r="U340" s="7">
        <f t="shared" ca="1" si="657"/>
        <v>139591.09658123311</v>
      </c>
      <c r="V340" s="7">
        <f t="shared" ca="1" si="657"/>
        <v>143778.82947867012</v>
      </c>
      <c r="W340" s="7">
        <f t="shared" ca="1" si="657"/>
        <v>148092.19436303023</v>
      </c>
      <c r="X340" s="7">
        <f t="shared" ca="1" si="657"/>
        <v>152534.96019392114</v>
      </c>
      <c r="Y340" s="7">
        <f t="shared" ca="1" si="657"/>
        <v>157111.00899973878</v>
      </c>
      <c r="Z340" s="7">
        <f t="shared" ca="1" si="657"/>
        <v>161824.33926973096</v>
      </c>
      <c r="AA340" s="7">
        <f t="shared" ca="1" si="657"/>
        <v>166679.0694478229</v>
      </c>
      <c r="AB340" s="7">
        <f t="shared" ca="1" si="657"/>
        <v>171679.44153125759</v>
      </c>
      <c r="AC340" s="7">
        <f t="shared" ca="1" si="657"/>
        <v>176829.82477719532</v>
      </c>
      <c r="AD340" s="7">
        <f t="shared" ca="1" si="657"/>
        <v>182134.71952051119</v>
      </c>
      <c r="AE340" s="7">
        <f t="shared" ca="1" si="657"/>
        <v>187598.76110612653</v>
      </c>
      <c r="AF340" s="7">
        <f t="shared" ca="1" si="657"/>
        <v>193226.72393931032</v>
      </c>
      <c r="AG340" s="7">
        <f t="shared" ca="1" si="657"/>
        <v>199023.52565748963</v>
      </c>
      <c r="AH340" s="7">
        <f t="shared" ca="1" si="657"/>
        <v>204994.23142721434</v>
      </c>
      <c r="AI340" s="7">
        <f t="shared" ca="1" si="657"/>
        <v>211144.05837003078</v>
      </c>
      <c r="AJ340" s="7">
        <f t="shared" ca="1" si="657"/>
        <v>217478.38012113172</v>
      </c>
      <c r="AK340" s="7">
        <f t="shared" ca="1" si="657"/>
        <v>224002.73152476567</v>
      </c>
      <c r="AL340" s="7">
        <f t="shared" ca="1" si="657"/>
        <v>230722.81347050864</v>
      </c>
      <c r="AM340" s="7">
        <f t="shared" ca="1" si="657"/>
        <v>237644.49787462392</v>
      </c>
    </row>
    <row r="341" spans="1:39" x14ac:dyDescent="0.2">
      <c r="A341" s="17" t="str">
        <f t="shared" si="651"/>
        <v>Marsa</v>
      </c>
      <c r="C341" s="7">
        <f t="shared" ref="C341:AM341" ca="1" si="658">C302</f>
        <v>122992.58610458997</v>
      </c>
      <c r="D341" s="7">
        <f t="shared" ca="1" si="658"/>
        <v>126682.36368772767</v>
      </c>
      <c r="E341" s="7">
        <f t="shared" ca="1" si="658"/>
        <v>130482.83459835951</v>
      </c>
      <c r="F341" s="7">
        <f t="shared" ca="1" si="658"/>
        <v>134397.31963631031</v>
      </c>
      <c r="G341" s="7">
        <f t="shared" ca="1" si="658"/>
        <v>138429.23922539962</v>
      </c>
      <c r="H341" s="7">
        <f t="shared" ca="1" si="658"/>
        <v>142582.11640216163</v>
      </c>
      <c r="I341" s="7">
        <f t="shared" ca="1" si="658"/>
        <v>146859.57989422648</v>
      </c>
      <c r="J341" s="7">
        <f t="shared" ca="1" si="658"/>
        <v>151265.36729105329</v>
      </c>
      <c r="K341" s="7">
        <f t="shared" ca="1" si="658"/>
        <v>155803.32830978491</v>
      </c>
      <c r="L341" s="7">
        <f t="shared" ca="1" si="658"/>
        <v>160477.42815907847</v>
      </c>
      <c r="M341" s="7">
        <f t="shared" ca="1" si="658"/>
        <v>165291.75100385083</v>
      </c>
      <c r="N341" s="7">
        <f t="shared" ca="1" si="658"/>
        <v>170250.50353396637</v>
      </c>
      <c r="O341" s="7">
        <f t="shared" ca="1" si="658"/>
        <v>175358.01863998536</v>
      </c>
      <c r="P341" s="7">
        <f t="shared" ca="1" si="658"/>
        <v>180618.75919918492</v>
      </c>
      <c r="Q341" s="7">
        <f t="shared" ca="1" si="658"/>
        <v>186037.32197516048</v>
      </c>
      <c r="R341" s="7">
        <f t="shared" ca="1" si="658"/>
        <v>191618.4416344153</v>
      </c>
      <c r="S341" s="7">
        <f t="shared" ca="1" si="658"/>
        <v>197366.99488344777</v>
      </c>
      <c r="T341" s="7">
        <f t="shared" ca="1" si="658"/>
        <v>203288.00472995121</v>
      </c>
      <c r="U341" s="7">
        <f t="shared" ca="1" si="658"/>
        <v>209386.64487184974</v>
      </c>
      <c r="V341" s="7">
        <f t="shared" ca="1" si="658"/>
        <v>215668.24421800525</v>
      </c>
      <c r="W341" s="7">
        <f t="shared" ca="1" si="658"/>
        <v>222138.29154454541</v>
      </c>
      <c r="X341" s="7">
        <f t="shared" ca="1" si="658"/>
        <v>228802.44029088179</v>
      </c>
      <c r="Y341" s="7">
        <f t="shared" ca="1" si="658"/>
        <v>235666.51349960823</v>
      </c>
      <c r="Z341" s="7">
        <f t="shared" ca="1" si="658"/>
        <v>242736.5089045965</v>
      </c>
      <c r="AA341" s="7">
        <f t="shared" ca="1" si="658"/>
        <v>250018.60417173439</v>
      </c>
      <c r="AB341" s="7">
        <f t="shared" ca="1" si="658"/>
        <v>257519.16229688644</v>
      </c>
      <c r="AC341" s="7">
        <f t="shared" ca="1" si="658"/>
        <v>265244.73716579302</v>
      </c>
      <c r="AD341" s="7">
        <f t="shared" ca="1" si="658"/>
        <v>273202.07928076683</v>
      </c>
      <c r="AE341" s="7">
        <f t="shared" ca="1" si="658"/>
        <v>281398.14165918983</v>
      </c>
      <c r="AF341" s="7">
        <f t="shared" ca="1" si="658"/>
        <v>289840.08590896556</v>
      </c>
      <c r="AG341" s="7">
        <f t="shared" ca="1" si="658"/>
        <v>298535.28848623455</v>
      </c>
      <c r="AH341" s="7">
        <f t="shared" ca="1" si="658"/>
        <v>307491.34714082157</v>
      </c>
      <c r="AI341" s="7">
        <f t="shared" ca="1" si="658"/>
        <v>316716.08755504625</v>
      </c>
      <c r="AJ341" s="7">
        <f t="shared" ca="1" si="658"/>
        <v>326217.57018169767</v>
      </c>
      <c r="AK341" s="7">
        <f t="shared" ca="1" si="658"/>
        <v>336004.09728714859</v>
      </c>
      <c r="AL341" s="7">
        <f t="shared" ca="1" si="658"/>
        <v>346084.22020576306</v>
      </c>
      <c r="AM341" s="7">
        <f t="shared" ca="1" si="658"/>
        <v>356466.74681193597</v>
      </c>
    </row>
    <row r="342" spans="1:39" x14ac:dyDescent="0.2">
      <c r="A342" s="16" t="s">
        <v>194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x14ac:dyDescent="0.2">
      <c r="A343" s="17" t="str">
        <f>TEXT(Inputs!$B$87,"")</f>
        <v>Jewelry</v>
      </c>
      <c r="C343" s="7">
        <f ca="1">C303</f>
        <v>50831.955131348885</v>
      </c>
      <c r="D343" s="7">
        <f t="shared" ref="D343:AM347" ca="1" si="659">D303</f>
        <v>51848.594233975862</v>
      </c>
      <c r="E343" s="7">
        <f t="shared" ca="1" si="659"/>
        <v>52885.566118655377</v>
      </c>
      <c r="F343" s="7">
        <f t="shared" ca="1" si="659"/>
        <v>53943.277441028484</v>
      </c>
      <c r="G343" s="7">
        <f t="shared" ca="1" si="659"/>
        <v>55022.142989849053</v>
      </c>
      <c r="H343" s="7">
        <f t="shared" ca="1" si="659"/>
        <v>56122.585849646035</v>
      </c>
      <c r="I343" s="7">
        <f t="shared" ca="1" si="659"/>
        <v>57245.037566638959</v>
      </c>
      <c r="J343" s="7">
        <f t="shared" ca="1" si="659"/>
        <v>58389.938317971741</v>
      </c>
      <c r="K343" s="7">
        <f t="shared" ca="1" si="659"/>
        <v>59557.73708433118</v>
      </c>
      <c r="L343" s="7">
        <f t="shared" ca="1" si="659"/>
        <v>60748.891826017803</v>
      </c>
      <c r="M343" s="7">
        <f t="shared" ca="1" si="659"/>
        <v>61963.869662538164</v>
      </c>
      <c r="N343" s="7">
        <f t="shared" ca="1" si="659"/>
        <v>63203.147055788926</v>
      </c>
      <c r="O343" s="7">
        <f t="shared" ca="1" si="659"/>
        <v>64467.209996904705</v>
      </c>
      <c r="P343" s="7">
        <f t="shared" ca="1" si="659"/>
        <v>65756.554196842801</v>
      </c>
      <c r="Q343" s="7">
        <f t="shared" ca="1" si="659"/>
        <v>67071.685280779653</v>
      </c>
      <c r="R343" s="7">
        <f t="shared" ca="1" si="659"/>
        <v>68413.118986395246</v>
      </c>
      <c r="S343" s="7">
        <f t="shared" ca="1" si="659"/>
        <v>69781.381366123154</v>
      </c>
      <c r="T343" s="7">
        <f t="shared" ca="1" si="659"/>
        <v>71177.008993445619</v>
      </c>
      <c r="U343" s="7">
        <f t="shared" ca="1" si="659"/>
        <v>72600.549173314532</v>
      </c>
      <c r="V343" s="7">
        <f t="shared" ca="1" si="659"/>
        <v>74052.560156780819</v>
      </c>
      <c r="W343" s="7">
        <f t="shared" ca="1" si="659"/>
        <v>75533.611359916438</v>
      </c>
      <c r="X343" s="7">
        <f t="shared" ca="1" si="659"/>
        <v>77044.283587114769</v>
      </c>
      <c r="Y343" s="7">
        <f t="shared" ca="1" si="659"/>
        <v>78585.169258857059</v>
      </c>
      <c r="Z343" s="7">
        <f t="shared" ca="1" si="659"/>
        <v>80156.8726440342</v>
      </c>
      <c r="AA343" s="7">
        <f t="shared" ca="1" si="659"/>
        <v>81760.010096914892</v>
      </c>
      <c r="AB343" s="7">
        <f t="shared" ca="1" si="659"/>
        <v>83395.210298853184</v>
      </c>
      <c r="AC343" s="7">
        <f t="shared" ca="1" si="659"/>
        <v>85063.114504830242</v>
      </c>
      <c r="AD343" s="7">
        <f t="shared" ca="1" si="659"/>
        <v>86764.376794926851</v>
      </c>
      <c r="AE343" s="7">
        <f t="shared" ca="1" si="659"/>
        <v>88499.664330825384</v>
      </c>
      <c r="AF343" s="7">
        <f t="shared" ca="1" si="659"/>
        <v>90269.657617441888</v>
      </c>
      <c r="AG343" s="7">
        <f t="shared" ca="1" si="659"/>
        <v>92075.050769790731</v>
      </c>
      <c r="AH343" s="7">
        <f t="shared" ca="1" si="659"/>
        <v>93916.551785186544</v>
      </c>
      <c r="AI343" s="7">
        <f t="shared" ca="1" si="659"/>
        <v>95794.882820890271</v>
      </c>
      <c r="AJ343" s="7">
        <f t="shared" ca="1" si="659"/>
        <v>97710.780477308072</v>
      </c>
      <c r="AK343" s="7">
        <f t="shared" ca="1" si="659"/>
        <v>99664.99608685424</v>
      </c>
      <c r="AL343" s="7">
        <f t="shared" ca="1" si="659"/>
        <v>101658.29600859132</v>
      </c>
      <c r="AM343" s="7">
        <f t="shared" ca="1" si="659"/>
        <v>103691.46192876315</v>
      </c>
    </row>
    <row r="344" spans="1:39" x14ac:dyDescent="0.2">
      <c r="A344" s="17" t="str">
        <f>TEXT(Inputs!$B$92,"")</f>
        <v>Car</v>
      </c>
      <c r="C344" s="7">
        <f t="shared" ref="C344:R347" ca="1" si="660">C304</f>
        <v>38326.250080955608</v>
      </c>
      <c r="D344" s="7">
        <f t="shared" ca="1" si="660"/>
        <v>36409.937576907825</v>
      </c>
      <c r="E344" s="7">
        <f t="shared" ca="1" si="660"/>
        <v>34589.440698062434</v>
      </c>
      <c r="F344" s="7">
        <f t="shared" ca="1" si="660"/>
        <v>32859.968663159307</v>
      </c>
      <c r="G344" s="7">
        <f t="shared" ca="1" si="660"/>
        <v>31216.970230001341</v>
      </c>
      <c r="H344" s="7">
        <f t="shared" ca="1" si="660"/>
        <v>29656.121718501272</v>
      </c>
      <c r="I344" s="7">
        <f t="shared" ca="1" si="660"/>
        <v>28173.315632576207</v>
      </c>
      <c r="J344" s="7">
        <f t="shared" ca="1" si="660"/>
        <v>26764.649850947397</v>
      </c>
      <c r="K344" s="7">
        <f t="shared" ca="1" si="660"/>
        <v>25426.417358400027</v>
      </c>
      <c r="L344" s="7">
        <f t="shared" ca="1" si="660"/>
        <v>24155.096490480024</v>
      </c>
      <c r="M344" s="7">
        <f t="shared" ca="1" si="660"/>
        <v>22947.341665956021</v>
      </c>
      <c r="N344" s="7">
        <f t="shared" ca="1" si="660"/>
        <v>21799.974582658218</v>
      </c>
      <c r="O344" s="7">
        <f t="shared" ca="1" si="660"/>
        <v>20709.975853525306</v>
      </c>
      <c r="P344" s="7">
        <f t="shared" ca="1" si="660"/>
        <v>19674.47706084904</v>
      </c>
      <c r="Q344" s="7">
        <f t="shared" ca="1" si="660"/>
        <v>18690.753207806589</v>
      </c>
      <c r="R344" s="7">
        <f t="shared" ca="1" si="660"/>
        <v>17756.215547416257</v>
      </c>
      <c r="S344" s="7">
        <f t="shared" ca="1" si="659"/>
        <v>16868.404770045443</v>
      </c>
      <c r="T344" s="7">
        <f t="shared" ca="1" si="659"/>
        <v>16024.98453154317</v>
      </c>
      <c r="U344" s="7">
        <f t="shared" ca="1" si="659"/>
        <v>15223.735304966011</v>
      </c>
      <c r="V344" s="7">
        <f t="shared" ca="1" si="659"/>
        <v>14462.548539717709</v>
      </c>
      <c r="W344" s="7">
        <f t="shared" ca="1" si="659"/>
        <v>13739.421112731823</v>
      </c>
      <c r="X344" s="7">
        <f t="shared" ca="1" si="659"/>
        <v>13052.450057095231</v>
      </c>
      <c r="Y344" s="7">
        <f t="shared" ca="1" si="659"/>
        <v>12399.82755424047</v>
      </c>
      <c r="Z344" s="7">
        <f t="shared" ca="1" si="659"/>
        <v>11779.836176528446</v>
      </c>
      <c r="AA344" s="7">
        <f t="shared" ca="1" si="659"/>
        <v>11190.844367702024</v>
      </c>
      <c r="AB344" s="7">
        <f t="shared" ca="1" si="659"/>
        <v>10631.302149316922</v>
      </c>
      <c r="AC344" s="7">
        <f t="shared" ca="1" si="659"/>
        <v>10099.737041851075</v>
      </c>
      <c r="AD344" s="7">
        <f t="shared" ca="1" si="659"/>
        <v>9594.7501897585207</v>
      </c>
      <c r="AE344" s="7">
        <f t="shared" ca="1" si="659"/>
        <v>9115.0126802705945</v>
      </c>
      <c r="AF344" s="7">
        <f t="shared" ca="1" si="659"/>
        <v>8659.2620462570649</v>
      </c>
      <c r="AG344" s="7">
        <f t="shared" ca="1" si="659"/>
        <v>8226.2989439442117</v>
      </c>
      <c r="AH344" s="7">
        <f t="shared" ca="1" si="659"/>
        <v>7814.9839967470007</v>
      </c>
      <c r="AI344" s="7">
        <f t="shared" ca="1" si="659"/>
        <v>7424.23479690965</v>
      </c>
      <c r="AJ344" s="7">
        <f t="shared" ca="1" si="659"/>
        <v>7053.023057064167</v>
      </c>
      <c r="AK344" s="7">
        <f t="shared" ca="1" si="659"/>
        <v>6700.3719042109587</v>
      </c>
      <c r="AL344" s="7">
        <f t="shared" ca="1" si="659"/>
        <v>6365.3533090004103</v>
      </c>
      <c r="AM344" s="7">
        <f t="shared" ca="1" si="659"/>
        <v>6047.0856435503892</v>
      </c>
    </row>
    <row r="345" spans="1:39" x14ac:dyDescent="0.2">
      <c r="A345" s="17" t="str">
        <f>TEXT(Inputs!$B$97,"")</f>
        <v>Painting</v>
      </c>
      <c r="C345" s="7">
        <f t="shared" ca="1" si="660"/>
        <v>20498.764350764995</v>
      </c>
      <c r="D345" s="7">
        <f t="shared" ca="1" si="659"/>
        <v>21113.727281287946</v>
      </c>
      <c r="E345" s="7">
        <f t="shared" ca="1" si="659"/>
        <v>21747.139099726584</v>
      </c>
      <c r="F345" s="7">
        <f t="shared" ca="1" si="659"/>
        <v>22399.553272718382</v>
      </c>
      <c r="G345" s="7">
        <f t="shared" ca="1" si="659"/>
        <v>23071.539870899935</v>
      </c>
      <c r="H345" s="7">
        <f t="shared" ca="1" si="659"/>
        <v>23763.686067026934</v>
      </c>
      <c r="I345" s="7">
        <f t="shared" ca="1" si="659"/>
        <v>24476.596649037743</v>
      </c>
      <c r="J345" s="7">
        <f t="shared" ca="1" si="659"/>
        <v>25210.894548508877</v>
      </c>
      <c r="K345" s="7">
        <f t="shared" ca="1" si="659"/>
        <v>25967.221384964145</v>
      </c>
      <c r="L345" s="7">
        <f t="shared" ca="1" si="659"/>
        <v>26746.238026513071</v>
      </c>
      <c r="M345" s="7">
        <f t="shared" ca="1" si="659"/>
        <v>27548.625167308463</v>
      </c>
      <c r="N345" s="7">
        <f t="shared" ca="1" si="659"/>
        <v>28375.083922327718</v>
      </c>
      <c r="O345" s="7">
        <f t="shared" ca="1" si="659"/>
        <v>29226.336439997551</v>
      </c>
      <c r="P345" s="7">
        <f t="shared" ca="1" si="659"/>
        <v>30103.126533197479</v>
      </c>
      <c r="Q345" s="7">
        <f t="shared" ca="1" si="659"/>
        <v>31006.220329193406</v>
      </c>
      <c r="R345" s="7">
        <f t="shared" ca="1" si="659"/>
        <v>31936.406939069209</v>
      </c>
      <c r="S345" s="7">
        <f t="shared" ca="1" si="659"/>
        <v>32894.499147241288</v>
      </c>
      <c r="T345" s="7">
        <f t="shared" ca="1" si="659"/>
        <v>33881.334121658525</v>
      </c>
      <c r="U345" s="7">
        <f t="shared" ca="1" si="659"/>
        <v>34897.774145308278</v>
      </c>
      <c r="V345" s="7">
        <f t="shared" ca="1" si="659"/>
        <v>35944.707369667529</v>
      </c>
      <c r="W345" s="7">
        <f t="shared" ca="1" si="659"/>
        <v>37023.048590757557</v>
      </c>
      <c r="X345" s="7">
        <f t="shared" ca="1" si="659"/>
        <v>38133.740048480286</v>
      </c>
      <c r="Y345" s="7">
        <f t="shared" ca="1" si="659"/>
        <v>39277.752249934696</v>
      </c>
      <c r="Z345" s="7">
        <f t="shared" ca="1" si="659"/>
        <v>40456.08481743274</v>
      </c>
      <c r="AA345" s="7">
        <f t="shared" ca="1" si="659"/>
        <v>41669.767361955724</v>
      </c>
      <c r="AB345" s="7">
        <f t="shared" ca="1" si="659"/>
        <v>42919.860382814397</v>
      </c>
      <c r="AC345" s="7">
        <f t="shared" ca="1" si="659"/>
        <v>44207.456194298829</v>
      </c>
      <c r="AD345" s="7">
        <f t="shared" ca="1" si="659"/>
        <v>45533.679880127798</v>
      </c>
      <c r="AE345" s="7">
        <f t="shared" ca="1" si="659"/>
        <v>46899.690276531634</v>
      </c>
      <c r="AF345" s="7">
        <f t="shared" ca="1" si="659"/>
        <v>48306.680984827581</v>
      </c>
      <c r="AG345" s="7">
        <f t="shared" ca="1" si="659"/>
        <v>49755.881414372408</v>
      </c>
      <c r="AH345" s="7">
        <f t="shared" ca="1" si="659"/>
        <v>51248.557856803585</v>
      </c>
      <c r="AI345" s="7">
        <f t="shared" ca="1" si="659"/>
        <v>52786.014592507694</v>
      </c>
      <c r="AJ345" s="7">
        <f t="shared" ca="1" si="659"/>
        <v>54369.59503028293</v>
      </c>
      <c r="AK345" s="7">
        <f t="shared" ca="1" si="659"/>
        <v>56000.682881191417</v>
      </c>
      <c r="AL345" s="7">
        <f t="shared" ca="1" si="659"/>
        <v>57680.70336762716</v>
      </c>
      <c r="AM345" s="7">
        <f t="shared" ca="1" si="659"/>
        <v>59411.12446865598</v>
      </c>
    </row>
    <row r="346" spans="1:39" x14ac:dyDescent="0.2">
      <c r="A346" s="17" t="str">
        <f>TEXT(Inputs!$B$102,"")</f>
        <v>Boat</v>
      </c>
      <c r="C346" s="7">
        <f t="shared" ca="1" si="660"/>
        <v>172468.12536430024</v>
      </c>
      <c r="D346" s="7">
        <f t="shared" ca="1" si="659"/>
        <v>163844.71909608523</v>
      </c>
      <c r="E346" s="7">
        <f t="shared" ca="1" si="659"/>
        <v>155652.48314128097</v>
      </c>
      <c r="F346" s="7">
        <f t="shared" ca="1" si="659"/>
        <v>147869.85898421693</v>
      </c>
      <c r="G346" s="7">
        <f t="shared" ca="1" si="659"/>
        <v>140476.36603500607</v>
      </c>
      <c r="H346" s="7">
        <f t="shared" ca="1" si="659"/>
        <v>133452.54773325575</v>
      </c>
      <c r="I346" s="7">
        <f t="shared" ca="1" si="659"/>
        <v>126779.92034659296</v>
      </c>
      <c r="J346" s="7">
        <f t="shared" ca="1" si="659"/>
        <v>120440.9243292633</v>
      </c>
      <c r="K346" s="7">
        <f t="shared" ca="1" si="659"/>
        <v>114418.87811280013</v>
      </c>
      <c r="L346" s="7">
        <f t="shared" ca="1" si="659"/>
        <v>108697.93420716011</v>
      </c>
      <c r="M346" s="7">
        <f t="shared" ca="1" si="659"/>
        <v>103263.03749680211</v>
      </c>
      <c r="N346" s="7">
        <f t="shared" ca="1" si="659"/>
        <v>98099.885621961992</v>
      </c>
      <c r="O346" s="7">
        <f t="shared" ca="1" si="659"/>
        <v>93194.891340863891</v>
      </c>
      <c r="P346" s="7">
        <f t="shared" ca="1" si="659"/>
        <v>88535.146773820699</v>
      </c>
      <c r="Q346" s="7">
        <f t="shared" ca="1" si="659"/>
        <v>84108.389435129662</v>
      </c>
      <c r="R346" s="7">
        <f t="shared" ca="1" si="659"/>
        <v>79902.96996337318</v>
      </c>
      <c r="S346" s="7">
        <f t="shared" ca="1" si="659"/>
        <v>75907.821465204514</v>
      </c>
      <c r="T346" s="7">
        <f t="shared" ca="1" si="659"/>
        <v>72112.43039194429</v>
      </c>
      <c r="U346" s="7">
        <f t="shared" ca="1" si="659"/>
        <v>68506.808872347072</v>
      </c>
      <c r="V346" s="7">
        <f t="shared" ca="1" si="659"/>
        <v>65081.468428729713</v>
      </c>
      <c r="W346" s="7">
        <f t="shared" ca="1" si="659"/>
        <v>61827.395007293228</v>
      </c>
      <c r="X346" s="7">
        <f t="shared" ca="1" si="659"/>
        <v>58736.025256928566</v>
      </c>
      <c r="Y346" s="7">
        <f t="shared" ca="1" si="659"/>
        <v>55799.223994082138</v>
      </c>
      <c r="Z346" s="7">
        <f t="shared" ca="1" si="659"/>
        <v>53009.262794378032</v>
      </c>
      <c r="AA346" s="7">
        <f t="shared" ca="1" si="659"/>
        <v>50358.799654659131</v>
      </c>
      <c r="AB346" s="7">
        <f t="shared" ca="1" si="659"/>
        <v>47840.85967192617</v>
      </c>
      <c r="AC346" s="7">
        <f t="shared" ca="1" si="659"/>
        <v>45448.816688329862</v>
      </c>
      <c r="AD346" s="7">
        <f t="shared" ca="1" si="659"/>
        <v>43176.375853913363</v>
      </c>
      <c r="AE346" s="7">
        <f t="shared" ca="1" si="659"/>
        <v>41017.557061217696</v>
      </c>
      <c r="AF346" s="7">
        <f t="shared" ca="1" si="659"/>
        <v>38966.679208156813</v>
      </c>
      <c r="AG346" s="7">
        <f t="shared" ca="1" si="659"/>
        <v>37018.34524774897</v>
      </c>
      <c r="AH346" s="7">
        <f t="shared" ca="1" si="659"/>
        <v>35167.427985361523</v>
      </c>
      <c r="AI346" s="7">
        <f t="shared" ca="1" si="659"/>
        <v>33409.056586093444</v>
      </c>
      <c r="AJ346" s="7">
        <f t="shared" ca="1" si="659"/>
        <v>31738.603756788769</v>
      </c>
      <c r="AK346" s="7">
        <f t="shared" ca="1" si="659"/>
        <v>30151.673568949329</v>
      </c>
      <c r="AL346" s="7">
        <f t="shared" ca="1" si="659"/>
        <v>28644.089890501862</v>
      </c>
      <c r="AM346" s="7">
        <f t="shared" ca="1" si="659"/>
        <v>27211.885395976769</v>
      </c>
    </row>
    <row r="347" spans="1:39" x14ac:dyDescent="0.2">
      <c r="A347" s="17" t="str">
        <f>TEXT(Inputs!$B$107,"")</f>
        <v>Antiques</v>
      </c>
      <c r="C347" s="7">
        <f t="shared" ca="1" si="660"/>
        <v>83364.406415412173</v>
      </c>
      <c r="D347" s="7">
        <f t="shared" ca="1" si="659"/>
        <v>85031.694543720412</v>
      </c>
      <c r="E347" s="7">
        <f t="shared" ca="1" si="659"/>
        <v>86732.32843459482</v>
      </c>
      <c r="F347" s="7">
        <f t="shared" ca="1" si="659"/>
        <v>88466.975003286716</v>
      </c>
      <c r="G347" s="7">
        <f t="shared" ca="1" si="659"/>
        <v>90236.314503352449</v>
      </c>
      <c r="H347" s="7">
        <f t="shared" ca="1" si="659"/>
        <v>92041.040793419495</v>
      </c>
      <c r="I347" s="7">
        <f t="shared" ca="1" si="659"/>
        <v>93881.86160928788</v>
      </c>
      <c r="J347" s="7">
        <f t="shared" ca="1" si="659"/>
        <v>95759.498841473644</v>
      </c>
      <c r="K347" s="7">
        <f t="shared" ca="1" si="659"/>
        <v>97674.688818303111</v>
      </c>
      <c r="L347" s="7">
        <f t="shared" ca="1" si="659"/>
        <v>99628.182594669182</v>
      </c>
      <c r="M347" s="7">
        <f t="shared" ca="1" si="659"/>
        <v>101620.74624656257</v>
      </c>
      <c r="N347" s="7">
        <f t="shared" ca="1" si="659"/>
        <v>103653.16117149382</v>
      </c>
      <c r="O347" s="7">
        <f t="shared" ca="1" si="659"/>
        <v>105726.2243949237</v>
      </c>
      <c r="P347" s="7">
        <f t="shared" ca="1" si="659"/>
        <v>107840.74888282218</v>
      </c>
      <c r="Q347" s="7">
        <f t="shared" ca="1" si="659"/>
        <v>109997.56386047862</v>
      </c>
      <c r="R347" s="7">
        <f t="shared" ca="1" si="659"/>
        <v>112197.5151376882</v>
      </c>
      <c r="S347" s="7">
        <f t="shared" ca="1" si="659"/>
        <v>114441.46544044197</v>
      </c>
      <c r="T347" s="7">
        <f t="shared" ca="1" si="659"/>
        <v>116730.29474925081</v>
      </c>
      <c r="U347" s="7">
        <f t="shared" ca="1" si="659"/>
        <v>119064.90064423582</v>
      </c>
      <c r="V347" s="7">
        <f t="shared" ca="1" si="659"/>
        <v>121446.19865712053</v>
      </c>
      <c r="W347" s="7">
        <f t="shared" ca="1" si="659"/>
        <v>123875.12263026295</v>
      </c>
      <c r="X347" s="7">
        <f t="shared" ca="1" si="659"/>
        <v>126352.62508286821</v>
      </c>
      <c r="Y347" s="7">
        <f t="shared" ca="1" si="659"/>
        <v>128879.67758452558</v>
      </c>
      <c r="Z347" s="7">
        <f t="shared" ca="1" si="659"/>
        <v>131457.27113621609</v>
      </c>
      <c r="AA347" s="7">
        <f t="shared" ca="1" si="659"/>
        <v>134086.41655894043</v>
      </c>
      <c r="AB347" s="7">
        <f t="shared" ca="1" si="659"/>
        <v>136768.14489011923</v>
      </c>
      <c r="AC347" s="7">
        <f t="shared" ca="1" si="659"/>
        <v>139503.50778792161</v>
      </c>
      <c r="AD347" s="7">
        <f t="shared" ca="1" si="659"/>
        <v>142293.57794368005</v>
      </c>
      <c r="AE347" s="7">
        <f t="shared" ca="1" si="659"/>
        <v>145139.44950255365</v>
      </c>
      <c r="AF347" s="7">
        <f t="shared" ca="1" si="659"/>
        <v>148042.23849260472</v>
      </c>
      <c r="AG347" s="7">
        <f t="shared" ca="1" si="659"/>
        <v>151003.08326245681</v>
      </c>
      <c r="AH347" s="7">
        <f t="shared" ca="1" si="659"/>
        <v>154023.14492770596</v>
      </c>
      <c r="AI347" s="7">
        <f t="shared" ca="1" si="659"/>
        <v>157103.60782626009</v>
      </c>
      <c r="AJ347" s="7">
        <f t="shared" ca="1" si="659"/>
        <v>160245.67998278531</v>
      </c>
      <c r="AK347" s="7">
        <f t="shared" ca="1" si="659"/>
        <v>163450.59358244101</v>
      </c>
      <c r="AL347" s="7">
        <f t="shared" ca="1" si="659"/>
        <v>166719.60545408985</v>
      </c>
      <c r="AM347" s="7">
        <f t="shared" ca="1" si="659"/>
        <v>170053.99756317164</v>
      </c>
    </row>
    <row r="348" spans="1:39" x14ac:dyDescent="0.2">
      <c r="A348" s="16" t="str">
        <f t="shared" ref="A348:A355" si="661">A80</f>
        <v>Stock market equity investments</v>
      </c>
      <c r="C348" s="7">
        <f t="shared" ref="C348:AM348" ca="1" si="662">C105</f>
        <v>31987.064369139065</v>
      </c>
      <c r="D348" s="7">
        <f t="shared" ca="1" si="662"/>
        <v>27189.004713768205</v>
      </c>
      <c r="E348" s="7">
        <f t="shared" ca="1" si="662"/>
        <v>31987.064369139065</v>
      </c>
      <c r="F348" s="7">
        <f t="shared" ca="1" si="662"/>
        <v>34546.029518670191</v>
      </c>
      <c r="G348" s="7">
        <f t="shared" ca="1" si="662"/>
        <v>37309.711880163806</v>
      </c>
      <c r="H348" s="7">
        <f t="shared" ca="1" si="662"/>
        <v>40294.488830576913</v>
      </c>
      <c r="I348" s="7">
        <f t="shared" ca="1" si="662"/>
        <v>32235.591064461529</v>
      </c>
      <c r="J348" s="7">
        <f t="shared" ca="1" si="662"/>
        <v>34724.73782147887</v>
      </c>
      <c r="K348" s="7">
        <f t="shared" ca="1" si="662"/>
        <v>37406.089882428132</v>
      </c>
      <c r="L348" s="7">
        <f t="shared" ca="1" si="662"/>
        <v>40294.48883057692</v>
      </c>
      <c r="M348" s="7">
        <f t="shared" ca="1" si="662"/>
        <v>43518.047937023075</v>
      </c>
      <c r="N348" s="7">
        <f t="shared" ca="1" si="662"/>
        <v>40036.604102061232</v>
      </c>
      <c r="O348" s="7">
        <f t="shared" ca="1" si="662"/>
        <v>41164.984650000522</v>
      </c>
      <c r="P348" s="7">
        <f t="shared" ca="1" si="662"/>
        <v>42325.167162405181</v>
      </c>
      <c r="Q348" s="7">
        <f t="shared" ca="1" si="662"/>
        <v>43518.047937023082</v>
      </c>
      <c r="R348" s="7">
        <f t="shared" ca="1" si="662"/>
        <v>46999.491771984933</v>
      </c>
      <c r="S348" s="7">
        <f t="shared" ca="1" si="662"/>
        <v>50759.451113743729</v>
      </c>
      <c r="T348" s="7">
        <f t="shared" ca="1" si="662"/>
        <v>54820.20720284323</v>
      </c>
      <c r="U348" s="7">
        <f t="shared" ca="1" si="662"/>
        <v>59205.823779070692</v>
      </c>
      <c r="V348" s="7">
        <f t="shared" ca="1" si="662"/>
        <v>48548.775498837967</v>
      </c>
      <c r="W348" s="7">
        <f t="shared" ca="1" si="662"/>
        <v>53613.153674017958</v>
      </c>
      <c r="X348" s="7">
        <f t="shared" ca="1" si="662"/>
        <v>59205.823779070692</v>
      </c>
      <c r="Y348" s="7">
        <f t="shared" ca="1" si="662"/>
        <v>63942.289681396345</v>
      </c>
      <c r="Z348" s="7">
        <f t="shared" ca="1" si="662"/>
        <v>69057.672855908051</v>
      </c>
      <c r="AA348" s="7">
        <f t="shared" ca="1" si="662"/>
        <v>49721.524456253799</v>
      </c>
      <c r="AB348" s="7">
        <f t="shared" ca="1" si="662"/>
        <v>52519.71404997963</v>
      </c>
      <c r="AC348" s="7">
        <f t="shared" ca="1" si="662"/>
        <v>55475.377998887881</v>
      </c>
      <c r="AD348" s="7">
        <f t="shared" ca="1" si="662"/>
        <v>58597.378523249732</v>
      </c>
      <c r="AE348" s="7">
        <f t="shared" ca="1" si="662"/>
        <v>61895.076584531671</v>
      </c>
      <c r="AF348" s="7">
        <f t="shared" ca="1" si="662"/>
        <v>65378.359953167725</v>
      </c>
      <c r="AG348" s="7">
        <f t="shared" ca="1" si="662"/>
        <v>69057.672855908095</v>
      </c>
      <c r="AH348" s="7">
        <f t="shared" ca="1" si="662"/>
        <v>74582.286684380742</v>
      </c>
      <c r="AI348" s="7">
        <f t="shared" ca="1" si="662"/>
        <v>80548.869619131205</v>
      </c>
      <c r="AJ348" s="7">
        <f t="shared" ca="1" si="662"/>
        <v>86992.779188661705</v>
      </c>
      <c r="AK348" s="7">
        <f t="shared" ca="1" si="662"/>
        <v>93952.201523754644</v>
      </c>
      <c r="AL348" s="7">
        <f t="shared" ca="1" si="662"/>
        <v>101468.37764565501</v>
      </c>
      <c r="AM348" s="7">
        <f t="shared" ca="1" si="662"/>
        <v>109585.84785730741</v>
      </c>
    </row>
    <row r="349" spans="1:39" x14ac:dyDescent="0.2">
      <c r="A349" s="16" t="str">
        <f t="shared" si="661"/>
        <v>Home loan</v>
      </c>
      <c r="C349" s="7">
        <f t="shared" ref="C349:AM349" ca="1" si="663">C81</f>
        <v>-43173.554028497994</v>
      </c>
      <c r="D349" s="7">
        <f t="shared" ca="1" si="663"/>
        <v>-34753.61277530963</v>
      </c>
      <c r="E349" s="7">
        <f t="shared" ca="1" si="663"/>
        <v>-26077.570951749931</v>
      </c>
      <c r="F349" s="7">
        <f t="shared" ca="1" si="663"/>
        <v>-17137.639013905144</v>
      </c>
      <c r="G349" s="7">
        <f t="shared" ca="1" si="663"/>
        <v>-7925.7904914290921</v>
      </c>
      <c r="H349" s="7">
        <f t="shared" ca="1" si="663"/>
        <v>0</v>
      </c>
      <c r="I349" s="7">
        <f t="shared" ca="1" si="663"/>
        <v>0</v>
      </c>
      <c r="J349" s="7">
        <f t="shared" ca="1" si="663"/>
        <v>0</v>
      </c>
      <c r="K349" s="7">
        <f t="shared" ca="1" si="663"/>
        <v>0</v>
      </c>
      <c r="L349" s="7">
        <f t="shared" ca="1" si="663"/>
        <v>0</v>
      </c>
      <c r="M349" s="7">
        <f t="shared" ca="1" si="663"/>
        <v>0</v>
      </c>
      <c r="N349" s="7">
        <f t="shared" ca="1" si="663"/>
        <v>0</v>
      </c>
      <c r="O349" s="7">
        <f t="shared" ca="1" si="663"/>
        <v>0</v>
      </c>
      <c r="P349" s="7">
        <f t="shared" ca="1" si="663"/>
        <v>0</v>
      </c>
      <c r="Q349" s="7">
        <f t="shared" ca="1" si="663"/>
        <v>0</v>
      </c>
      <c r="R349" s="7">
        <f t="shared" ca="1" si="663"/>
        <v>0</v>
      </c>
      <c r="S349" s="7">
        <f t="shared" ca="1" si="663"/>
        <v>0</v>
      </c>
      <c r="T349" s="7">
        <f t="shared" ca="1" si="663"/>
        <v>0</v>
      </c>
      <c r="U349" s="7">
        <f t="shared" ca="1" si="663"/>
        <v>0</v>
      </c>
      <c r="V349" s="7">
        <f t="shared" ca="1" si="663"/>
        <v>0</v>
      </c>
      <c r="W349" s="7">
        <f t="shared" ca="1" si="663"/>
        <v>0</v>
      </c>
      <c r="X349" s="7">
        <f t="shared" ca="1" si="663"/>
        <v>0</v>
      </c>
      <c r="Y349" s="7">
        <f t="shared" ca="1" si="663"/>
        <v>0</v>
      </c>
      <c r="Z349" s="7">
        <f t="shared" ca="1" si="663"/>
        <v>0</v>
      </c>
      <c r="AA349" s="7">
        <f t="shared" ca="1" si="663"/>
        <v>0</v>
      </c>
      <c r="AB349" s="7">
        <f t="shared" ca="1" si="663"/>
        <v>0</v>
      </c>
      <c r="AC349" s="7">
        <f t="shared" ca="1" si="663"/>
        <v>0</v>
      </c>
      <c r="AD349" s="7">
        <f t="shared" ca="1" si="663"/>
        <v>0</v>
      </c>
      <c r="AE349" s="7">
        <f t="shared" ca="1" si="663"/>
        <v>0</v>
      </c>
      <c r="AF349" s="7">
        <f t="shared" ca="1" si="663"/>
        <v>0</v>
      </c>
      <c r="AG349" s="7">
        <f t="shared" ca="1" si="663"/>
        <v>0</v>
      </c>
      <c r="AH349" s="7">
        <f t="shared" ca="1" si="663"/>
        <v>0</v>
      </c>
      <c r="AI349" s="7">
        <f t="shared" ca="1" si="663"/>
        <v>0</v>
      </c>
      <c r="AJ349" s="7">
        <f t="shared" ca="1" si="663"/>
        <v>0</v>
      </c>
      <c r="AK349" s="7">
        <f t="shared" ca="1" si="663"/>
        <v>0</v>
      </c>
      <c r="AL349" s="7">
        <f t="shared" ca="1" si="663"/>
        <v>0</v>
      </c>
      <c r="AM349" s="7">
        <f t="shared" ca="1" si="663"/>
        <v>0</v>
      </c>
    </row>
    <row r="350" spans="1:39" x14ac:dyDescent="0.2">
      <c r="A350" s="16" t="str">
        <f t="shared" si="661"/>
        <v>Other asset loans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x14ac:dyDescent="0.2">
      <c r="A351" s="17" t="str">
        <f t="shared" si="661"/>
        <v>Sliema</v>
      </c>
      <c r="C351" s="7">
        <f t="shared" ref="C351:AM351" ca="1" si="664">C322</f>
        <v>-46207.530015832221</v>
      </c>
      <c r="D351" s="7">
        <f t="shared" ca="1" si="664"/>
        <v>-41529.784875172016</v>
      </c>
      <c r="E351" s="7">
        <f t="shared" ca="1" si="664"/>
        <v>-36709.76163986107</v>
      </c>
      <c r="F351" s="7">
        <f t="shared" ca="1" si="664"/>
        <v>-31743.132785502858</v>
      </c>
      <c r="G351" s="7">
        <f t="shared" ca="1" si="664"/>
        <v>-26625.439161905048</v>
      </c>
      <c r="H351" s="7">
        <f t="shared" ca="1" si="664"/>
        <v>-21352.085989555409</v>
      </c>
      <c r="I351" s="7">
        <f t="shared" ca="1" si="664"/>
        <v>-15918.338734325836</v>
      </c>
      <c r="J351" s="7">
        <f t="shared" ca="1" si="664"/>
        <v>-10319.318856702368</v>
      </c>
      <c r="K351" s="7">
        <f t="shared" ca="1" si="664"/>
        <v>-4549.9994317232195</v>
      </c>
      <c r="L351" s="7">
        <f t="shared" ca="1" si="664"/>
        <v>0</v>
      </c>
      <c r="M351" s="7">
        <f t="shared" ca="1" si="664"/>
        <v>0</v>
      </c>
      <c r="N351" s="7">
        <f t="shared" ca="1" si="664"/>
        <v>0</v>
      </c>
      <c r="O351" s="7">
        <f t="shared" ca="1" si="664"/>
        <v>0</v>
      </c>
      <c r="P351" s="7">
        <f t="shared" ca="1" si="664"/>
        <v>0</v>
      </c>
      <c r="Q351" s="7">
        <f t="shared" ca="1" si="664"/>
        <v>0</v>
      </c>
      <c r="R351" s="7">
        <f t="shared" ca="1" si="664"/>
        <v>0</v>
      </c>
      <c r="S351" s="7">
        <f t="shared" ca="1" si="664"/>
        <v>0</v>
      </c>
      <c r="T351" s="7">
        <f t="shared" ca="1" si="664"/>
        <v>0</v>
      </c>
      <c r="U351" s="7">
        <f t="shared" ca="1" si="664"/>
        <v>0</v>
      </c>
      <c r="V351" s="7">
        <f t="shared" ca="1" si="664"/>
        <v>0</v>
      </c>
      <c r="W351" s="7">
        <f t="shared" ca="1" si="664"/>
        <v>0</v>
      </c>
      <c r="X351" s="7">
        <f t="shared" ca="1" si="664"/>
        <v>0</v>
      </c>
      <c r="Y351" s="7">
        <f t="shared" ca="1" si="664"/>
        <v>0</v>
      </c>
      <c r="Z351" s="7">
        <f t="shared" ca="1" si="664"/>
        <v>0</v>
      </c>
      <c r="AA351" s="7">
        <f t="shared" ca="1" si="664"/>
        <v>0</v>
      </c>
      <c r="AB351" s="7">
        <f t="shared" ca="1" si="664"/>
        <v>0</v>
      </c>
      <c r="AC351" s="7">
        <f t="shared" ca="1" si="664"/>
        <v>0</v>
      </c>
      <c r="AD351" s="7">
        <f t="shared" ca="1" si="664"/>
        <v>0</v>
      </c>
      <c r="AE351" s="7">
        <f t="shared" ca="1" si="664"/>
        <v>0</v>
      </c>
      <c r="AF351" s="7">
        <f t="shared" ca="1" si="664"/>
        <v>0</v>
      </c>
      <c r="AG351" s="7">
        <f t="shared" ca="1" si="664"/>
        <v>0</v>
      </c>
      <c r="AH351" s="7">
        <f t="shared" ca="1" si="664"/>
        <v>0</v>
      </c>
      <c r="AI351" s="7">
        <f t="shared" ca="1" si="664"/>
        <v>0</v>
      </c>
      <c r="AJ351" s="7">
        <f t="shared" ca="1" si="664"/>
        <v>0</v>
      </c>
      <c r="AK351" s="7">
        <f t="shared" ca="1" si="664"/>
        <v>0</v>
      </c>
      <c r="AL351" s="7">
        <f t="shared" ca="1" si="664"/>
        <v>0</v>
      </c>
      <c r="AM351" s="7">
        <f t="shared" ca="1" si="664"/>
        <v>0</v>
      </c>
    </row>
    <row r="352" spans="1:39" x14ac:dyDescent="0.2">
      <c r="A352" s="17" t="str">
        <f t="shared" si="661"/>
        <v>Gzira</v>
      </c>
      <c r="C352" s="7">
        <f t="shared" ref="C352:AM352" ca="1" si="665">C323</f>
        <v>-6627.6670411890118</v>
      </c>
      <c r="D352" s="7">
        <f t="shared" ca="1" si="665"/>
        <v>-4339.3195483066884</v>
      </c>
      <c r="E352" s="7">
        <f t="shared" ca="1" si="665"/>
        <v>-2004.7832357051393</v>
      </c>
      <c r="F352" s="7">
        <f t="shared" ca="1" si="665"/>
        <v>0</v>
      </c>
      <c r="G352" s="7">
        <f t="shared" ca="1" si="665"/>
        <v>0</v>
      </c>
      <c r="H352" s="7">
        <f t="shared" ca="1" si="665"/>
        <v>0</v>
      </c>
      <c r="I352" s="7">
        <f t="shared" ca="1" si="665"/>
        <v>0</v>
      </c>
      <c r="J352" s="7">
        <f t="shared" ca="1" si="665"/>
        <v>0</v>
      </c>
      <c r="K352" s="7">
        <f t="shared" ca="1" si="665"/>
        <v>0</v>
      </c>
      <c r="L352" s="7">
        <f t="shared" ca="1" si="665"/>
        <v>0</v>
      </c>
      <c r="M352" s="7">
        <f t="shared" ca="1" si="665"/>
        <v>0</v>
      </c>
      <c r="N352" s="7">
        <f t="shared" ca="1" si="665"/>
        <v>0</v>
      </c>
      <c r="O352" s="7">
        <f t="shared" ca="1" si="665"/>
        <v>0</v>
      </c>
      <c r="P352" s="7">
        <f t="shared" ca="1" si="665"/>
        <v>0</v>
      </c>
      <c r="Q352" s="7">
        <f t="shared" ca="1" si="665"/>
        <v>0</v>
      </c>
      <c r="R352" s="7">
        <f t="shared" ca="1" si="665"/>
        <v>0</v>
      </c>
      <c r="S352" s="7">
        <f t="shared" ca="1" si="665"/>
        <v>0</v>
      </c>
      <c r="T352" s="7">
        <f t="shared" ca="1" si="665"/>
        <v>0</v>
      </c>
      <c r="U352" s="7">
        <f t="shared" ca="1" si="665"/>
        <v>0</v>
      </c>
      <c r="V352" s="7">
        <f t="shared" ca="1" si="665"/>
        <v>0</v>
      </c>
      <c r="W352" s="7">
        <f t="shared" ca="1" si="665"/>
        <v>0</v>
      </c>
      <c r="X352" s="7">
        <f t="shared" ca="1" si="665"/>
        <v>0</v>
      </c>
      <c r="Y352" s="7">
        <f t="shared" ca="1" si="665"/>
        <v>0</v>
      </c>
      <c r="Z352" s="7">
        <f t="shared" ca="1" si="665"/>
        <v>0</v>
      </c>
      <c r="AA352" s="7">
        <f t="shared" ca="1" si="665"/>
        <v>0</v>
      </c>
      <c r="AB352" s="7">
        <f t="shared" ca="1" si="665"/>
        <v>0</v>
      </c>
      <c r="AC352" s="7">
        <f t="shared" ca="1" si="665"/>
        <v>0</v>
      </c>
      <c r="AD352" s="7">
        <f t="shared" ca="1" si="665"/>
        <v>0</v>
      </c>
      <c r="AE352" s="7">
        <f t="shared" ca="1" si="665"/>
        <v>0</v>
      </c>
      <c r="AF352" s="7">
        <f t="shared" ca="1" si="665"/>
        <v>0</v>
      </c>
      <c r="AG352" s="7">
        <f t="shared" ca="1" si="665"/>
        <v>0</v>
      </c>
      <c r="AH352" s="7">
        <f t="shared" ca="1" si="665"/>
        <v>0</v>
      </c>
      <c r="AI352" s="7">
        <f t="shared" ca="1" si="665"/>
        <v>0</v>
      </c>
      <c r="AJ352" s="7">
        <f t="shared" ca="1" si="665"/>
        <v>0</v>
      </c>
      <c r="AK352" s="7">
        <f t="shared" ca="1" si="665"/>
        <v>0</v>
      </c>
      <c r="AL352" s="7">
        <f t="shared" ca="1" si="665"/>
        <v>0</v>
      </c>
      <c r="AM352" s="7">
        <f t="shared" ca="1" si="665"/>
        <v>0</v>
      </c>
    </row>
    <row r="353" spans="1:39" x14ac:dyDescent="0.2">
      <c r="A353" s="17" t="str">
        <f t="shared" si="661"/>
        <v>Qormi</v>
      </c>
      <c r="C353" s="7">
        <f t="shared" ref="C353:AM353" ca="1" si="666">C324</f>
        <v>-13089.450262401593</v>
      </c>
      <c r="D353" s="7">
        <f t="shared" ca="1" si="666"/>
        <v>-10689.417507150618</v>
      </c>
      <c r="E353" s="7">
        <f t="shared" ca="1" si="666"/>
        <v>-8166.5945211626622</v>
      </c>
      <c r="F353" s="7">
        <f t="shared" ca="1" si="666"/>
        <v>-5514.6991231919146</v>
      </c>
      <c r="G353" s="7">
        <f t="shared" ca="1" si="666"/>
        <v>-2727.1277236771257</v>
      </c>
      <c r="H353" s="7">
        <f t="shared" ca="1" si="666"/>
        <v>0</v>
      </c>
      <c r="I353" s="7">
        <f t="shared" ca="1" si="666"/>
        <v>0</v>
      </c>
      <c r="J353" s="7">
        <f t="shared" ca="1" si="666"/>
        <v>0</v>
      </c>
      <c r="K353" s="7">
        <f t="shared" ca="1" si="666"/>
        <v>0</v>
      </c>
      <c r="L353" s="7">
        <f t="shared" ca="1" si="666"/>
        <v>0</v>
      </c>
      <c r="M353" s="7">
        <f t="shared" ca="1" si="666"/>
        <v>0</v>
      </c>
      <c r="N353" s="7">
        <f t="shared" ca="1" si="666"/>
        <v>0</v>
      </c>
      <c r="O353" s="7">
        <f t="shared" ca="1" si="666"/>
        <v>0</v>
      </c>
      <c r="P353" s="7">
        <f t="shared" ca="1" si="666"/>
        <v>0</v>
      </c>
      <c r="Q353" s="7">
        <f t="shared" ca="1" si="666"/>
        <v>0</v>
      </c>
      <c r="R353" s="7">
        <f t="shared" ca="1" si="666"/>
        <v>0</v>
      </c>
      <c r="S353" s="7">
        <f t="shared" ca="1" si="666"/>
        <v>0</v>
      </c>
      <c r="T353" s="7">
        <f t="shared" ca="1" si="666"/>
        <v>0</v>
      </c>
      <c r="U353" s="7">
        <f t="shared" ca="1" si="666"/>
        <v>0</v>
      </c>
      <c r="V353" s="7">
        <f t="shared" ca="1" si="666"/>
        <v>0</v>
      </c>
      <c r="W353" s="7">
        <f t="shared" ca="1" si="666"/>
        <v>0</v>
      </c>
      <c r="X353" s="7">
        <f t="shared" ca="1" si="666"/>
        <v>0</v>
      </c>
      <c r="Y353" s="7">
        <f t="shared" ca="1" si="666"/>
        <v>0</v>
      </c>
      <c r="Z353" s="7">
        <f t="shared" ca="1" si="666"/>
        <v>0</v>
      </c>
      <c r="AA353" s="7">
        <f t="shared" ca="1" si="666"/>
        <v>0</v>
      </c>
      <c r="AB353" s="7">
        <f t="shared" ca="1" si="666"/>
        <v>0</v>
      </c>
      <c r="AC353" s="7">
        <f t="shared" ca="1" si="666"/>
        <v>0</v>
      </c>
      <c r="AD353" s="7">
        <f t="shared" ca="1" si="666"/>
        <v>0</v>
      </c>
      <c r="AE353" s="7">
        <f t="shared" ca="1" si="666"/>
        <v>0</v>
      </c>
      <c r="AF353" s="7">
        <f t="shared" ca="1" si="666"/>
        <v>0</v>
      </c>
      <c r="AG353" s="7">
        <f t="shared" ca="1" si="666"/>
        <v>0</v>
      </c>
      <c r="AH353" s="7">
        <f t="shared" ca="1" si="666"/>
        <v>0</v>
      </c>
      <c r="AI353" s="7">
        <f t="shared" ca="1" si="666"/>
        <v>0</v>
      </c>
      <c r="AJ353" s="7">
        <f t="shared" ca="1" si="666"/>
        <v>0</v>
      </c>
      <c r="AK353" s="7">
        <f t="shared" ca="1" si="666"/>
        <v>0</v>
      </c>
      <c r="AL353" s="7">
        <f t="shared" ca="1" si="666"/>
        <v>0</v>
      </c>
      <c r="AM353" s="7">
        <f t="shared" ca="1" si="666"/>
        <v>0</v>
      </c>
    </row>
    <row r="354" spans="1:39" x14ac:dyDescent="0.2">
      <c r="A354" s="17" t="str">
        <f t="shared" si="661"/>
        <v>Gudja</v>
      </c>
      <c r="C354" s="7">
        <f t="shared" ref="C354:AM354" ca="1" si="667">C325</f>
        <v>-3952.5608629982789</v>
      </c>
      <c r="D354" s="7">
        <f t="shared" ca="1" si="667"/>
        <v>-3063.4916845977205</v>
      </c>
      <c r="E354" s="7">
        <f t="shared" ca="1" si="667"/>
        <v>-2156.4772176748579</v>
      </c>
      <c r="F354" s="7">
        <f t="shared" ca="1" si="667"/>
        <v>-1231.15524814336</v>
      </c>
      <c r="G354" s="7">
        <f t="shared" ca="1" si="667"/>
        <v>-287.15625085893407</v>
      </c>
      <c r="H354" s="7">
        <f t="shared" ca="1" si="667"/>
        <v>0</v>
      </c>
      <c r="I354" s="7">
        <f t="shared" ca="1" si="667"/>
        <v>0</v>
      </c>
      <c r="J354" s="7">
        <f t="shared" ca="1" si="667"/>
        <v>0</v>
      </c>
      <c r="K354" s="7">
        <f t="shared" ca="1" si="667"/>
        <v>0</v>
      </c>
      <c r="L354" s="7">
        <f t="shared" ca="1" si="667"/>
        <v>0</v>
      </c>
      <c r="M354" s="7">
        <f t="shared" ca="1" si="667"/>
        <v>0</v>
      </c>
      <c r="N354" s="7">
        <f t="shared" ca="1" si="667"/>
        <v>0</v>
      </c>
      <c r="O354" s="7">
        <f t="shared" ca="1" si="667"/>
        <v>0</v>
      </c>
      <c r="P354" s="7">
        <f t="shared" ca="1" si="667"/>
        <v>0</v>
      </c>
      <c r="Q354" s="7">
        <f t="shared" ca="1" si="667"/>
        <v>0</v>
      </c>
      <c r="R354" s="7">
        <f t="shared" ca="1" si="667"/>
        <v>0</v>
      </c>
      <c r="S354" s="7">
        <f t="shared" ca="1" si="667"/>
        <v>0</v>
      </c>
      <c r="T354" s="7">
        <f t="shared" ca="1" si="667"/>
        <v>0</v>
      </c>
      <c r="U354" s="7">
        <f t="shared" ca="1" si="667"/>
        <v>0</v>
      </c>
      <c r="V354" s="7">
        <f t="shared" ca="1" si="667"/>
        <v>0</v>
      </c>
      <c r="W354" s="7">
        <f t="shared" ca="1" si="667"/>
        <v>0</v>
      </c>
      <c r="X354" s="7">
        <f t="shared" ca="1" si="667"/>
        <v>0</v>
      </c>
      <c r="Y354" s="7">
        <f t="shared" ca="1" si="667"/>
        <v>0</v>
      </c>
      <c r="Z354" s="7">
        <f t="shared" ca="1" si="667"/>
        <v>0</v>
      </c>
      <c r="AA354" s="7">
        <f t="shared" ca="1" si="667"/>
        <v>0</v>
      </c>
      <c r="AB354" s="7">
        <f t="shared" ca="1" si="667"/>
        <v>0</v>
      </c>
      <c r="AC354" s="7">
        <f t="shared" ca="1" si="667"/>
        <v>0</v>
      </c>
      <c r="AD354" s="7">
        <f t="shared" ca="1" si="667"/>
        <v>0</v>
      </c>
      <c r="AE354" s="7">
        <f t="shared" ca="1" si="667"/>
        <v>0</v>
      </c>
      <c r="AF354" s="7">
        <f t="shared" ca="1" si="667"/>
        <v>0</v>
      </c>
      <c r="AG354" s="7">
        <f t="shared" ca="1" si="667"/>
        <v>0</v>
      </c>
      <c r="AH354" s="7">
        <f t="shared" ca="1" si="667"/>
        <v>0</v>
      </c>
      <c r="AI354" s="7">
        <f t="shared" ca="1" si="667"/>
        <v>0</v>
      </c>
      <c r="AJ354" s="7">
        <f t="shared" ca="1" si="667"/>
        <v>0</v>
      </c>
      <c r="AK354" s="7">
        <f t="shared" ca="1" si="667"/>
        <v>0</v>
      </c>
      <c r="AL354" s="7">
        <f t="shared" ca="1" si="667"/>
        <v>0</v>
      </c>
      <c r="AM354" s="7">
        <f t="shared" ca="1" si="667"/>
        <v>0</v>
      </c>
    </row>
    <row r="355" spans="1:39" x14ac:dyDescent="0.2">
      <c r="A355" s="17" t="str">
        <f t="shared" si="661"/>
        <v>Marsa</v>
      </c>
      <c r="C355" s="7">
        <f t="shared" ref="C355:AM355" ca="1" si="668">C326</f>
        <v>-8551.2061659277369</v>
      </c>
      <c r="D355" s="7">
        <f t="shared" ca="1" si="668"/>
        <v>-7351.3333523807905</v>
      </c>
      <c r="E355" s="7">
        <f t="shared" ca="1" si="668"/>
        <v>-6114.965259035298</v>
      </c>
      <c r="F355" s="7">
        <f t="shared" ca="1" si="668"/>
        <v>-4840.9918470333869</v>
      </c>
      <c r="G355" s="7">
        <f t="shared" ca="1" si="668"/>
        <v>-3528.2693146230595</v>
      </c>
      <c r="H355" s="7">
        <f t="shared" ca="1" si="668"/>
        <v>-2175.6190702275599</v>
      </c>
      <c r="I355" s="7">
        <f t="shared" ca="1" si="668"/>
        <v>-781.82667427947126</v>
      </c>
      <c r="J355" s="7">
        <f t="shared" ca="1" si="668"/>
        <v>0</v>
      </c>
      <c r="K355" s="7">
        <f t="shared" ca="1" si="668"/>
        <v>0</v>
      </c>
      <c r="L355" s="7">
        <f t="shared" ca="1" si="668"/>
        <v>0</v>
      </c>
      <c r="M355" s="7">
        <f t="shared" ca="1" si="668"/>
        <v>0</v>
      </c>
      <c r="N355" s="7">
        <f t="shared" ca="1" si="668"/>
        <v>0</v>
      </c>
      <c r="O355" s="7">
        <f t="shared" ca="1" si="668"/>
        <v>0</v>
      </c>
      <c r="P355" s="7">
        <f t="shared" ca="1" si="668"/>
        <v>0</v>
      </c>
      <c r="Q355" s="7">
        <f t="shared" ca="1" si="668"/>
        <v>0</v>
      </c>
      <c r="R355" s="7">
        <f t="shared" ca="1" si="668"/>
        <v>0</v>
      </c>
      <c r="S355" s="7">
        <f t="shared" ca="1" si="668"/>
        <v>0</v>
      </c>
      <c r="T355" s="7">
        <f t="shared" ca="1" si="668"/>
        <v>0</v>
      </c>
      <c r="U355" s="7">
        <f t="shared" ca="1" si="668"/>
        <v>0</v>
      </c>
      <c r="V355" s="7">
        <f t="shared" ca="1" si="668"/>
        <v>0</v>
      </c>
      <c r="W355" s="7">
        <f t="shared" ca="1" si="668"/>
        <v>0</v>
      </c>
      <c r="X355" s="7">
        <f t="shared" ca="1" si="668"/>
        <v>0</v>
      </c>
      <c r="Y355" s="7">
        <f t="shared" ca="1" si="668"/>
        <v>0</v>
      </c>
      <c r="Z355" s="7">
        <f t="shared" ca="1" si="668"/>
        <v>0</v>
      </c>
      <c r="AA355" s="7">
        <f t="shared" ca="1" si="668"/>
        <v>0</v>
      </c>
      <c r="AB355" s="7">
        <f t="shared" ca="1" si="668"/>
        <v>0</v>
      </c>
      <c r="AC355" s="7">
        <f t="shared" ca="1" si="668"/>
        <v>0</v>
      </c>
      <c r="AD355" s="7">
        <f t="shared" ca="1" si="668"/>
        <v>0</v>
      </c>
      <c r="AE355" s="7">
        <f t="shared" ca="1" si="668"/>
        <v>0</v>
      </c>
      <c r="AF355" s="7">
        <f t="shared" ca="1" si="668"/>
        <v>0</v>
      </c>
      <c r="AG355" s="7">
        <f t="shared" ca="1" si="668"/>
        <v>0</v>
      </c>
      <c r="AH355" s="7">
        <f t="shared" ca="1" si="668"/>
        <v>0</v>
      </c>
      <c r="AI355" s="7">
        <f t="shared" ca="1" si="668"/>
        <v>0</v>
      </c>
      <c r="AJ355" s="7">
        <f t="shared" ca="1" si="668"/>
        <v>0</v>
      </c>
      <c r="AK355" s="7">
        <f t="shared" ca="1" si="668"/>
        <v>0</v>
      </c>
      <c r="AL355" s="7">
        <f t="shared" ca="1" si="668"/>
        <v>0</v>
      </c>
      <c r="AM355" s="7">
        <f t="shared" ca="1" si="668"/>
        <v>0</v>
      </c>
    </row>
    <row r="356" spans="1:39" x14ac:dyDescent="0.2">
      <c r="A356" s="17" t="str">
        <f>TEXT(Inputs!$B$87,"")</f>
        <v>Jewelry</v>
      </c>
      <c r="C356" s="7">
        <f t="shared" ref="C356:AM356" ca="1" si="669">C327</f>
        <v>-1804.7138362359074</v>
      </c>
      <c r="D356" s="7">
        <f t="shared" ca="1" si="669"/>
        <v>-947.12722711486958</v>
      </c>
      <c r="E356" s="7">
        <f t="shared" ca="1" si="669"/>
        <v>-63.456300641196776</v>
      </c>
      <c r="F356" s="7">
        <f t="shared" ca="1" si="669"/>
        <v>0</v>
      </c>
      <c r="G356" s="7">
        <f t="shared" ca="1" si="669"/>
        <v>0</v>
      </c>
      <c r="H356" s="7">
        <f t="shared" ca="1" si="669"/>
        <v>0</v>
      </c>
      <c r="I356" s="7">
        <f t="shared" ca="1" si="669"/>
        <v>0</v>
      </c>
      <c r="J356" s="7">
        <f t="shared" ca="1" si="669"/>
        <v>0</v>
      </c>
      <c r="K356" s="7">
        <f t="shared" ca="1" si="669"/>
        <v>0</v>
      </c>
      <c r="L356" s="7">
        <f t="shared" ca="1" si="669"/>
        <v>0</v>
      </c>
      <c r="M356" s="7">
        <f t="shared" ca="1" si="669"/>
        <v>0</v>
      </c>
      <c r="N356" s="7">
        <f t="shared" ca="1" si="669"/>
        <v>0</v>
      </c>
      <c r="O356" s="7">
        <f t="shared" ca="1" si="669"/>
        <v>0</v>
      </c>
      <c r="P356" s="7">
        <f t="shared" ca="1" si="669"/>
        <v>0</v>
      </c>
      <c r="Q356" s="7">
        <f t="shared" ca="1" si="669"/>
        <v>0</v>
      </c>
      <c r="R356" s="7">
        <f t="shared" ca="1" si="669"/>
        <v>0</v>
      </c>
      <c r="S356" s="7">
        <f t="shared" ca="1" si="669"/>
        <v>0</v>
      </c>
      <c r="T356" s="7">
        <f t="shared" ca="1" si="669"/>
        <v>0</v>
      </c>
      <c r="U356" s="7">
        <f t="shared" ca="1" si="669"/>
        <v>0</v>
      </c>
      <c r="V356" s="7">
        <f t="shared" ca="1" si="669"/>
        <v>0</v>
      </c>
      <c r="W356" s="7">
        <f t="shared" ca="1" si="669"/>
        <v>0</v>
      </c>
      <c r="X356" s="7">
        <f t="shared" ca="1" si="669"/>
        <v>0</v>
      </c>
      <c r="Y356" s="7">
        <f t="shared" ca="1" si="669"/>
        <v>0</v>
      </c>
      <c r="Z356" s="7">
        <f t="shared" ca="1" si="669"/>
        <v>0</v>
      </c>
      <c r="AA356" s="7">
        <f t="shared" ca="1" si="669"/>
        <v>0</v>
      </c>
      <c r="AB356" s="7">
        <f t="shared" ca="1" si="669"/>
        <v>0</v>
      </c>
      <c r="AC356" s="7">
        <f t="shared" ca="1" si="669"/>
        <v>0</v>
      </c>
      <c r="AD356" s="7">
        <f t="shared" ca="1" si="669"/>
        <v>0</v>
      </c>
      <c r="AE356" s="7">
        <f t="shared" ca="1" si="669"/>
        <v>0</v>
      </c>
      <c r="AF356" s="7">
        <f t="shared" ca="1" si="669"/>
        <v>0</v>
      </c>
      <c r="AG356" s="7">
        <f t="shared" ca="1" si="669"/>
        <v>0</v>
      </c>
      <c r="AH356" s="7">
        <f t="shared" ca="1" si="669"/>
        <v>0</v>
      </c>
      <c r="AI356" s="7">
        <f t="shared" ca="1" si="669"/>
        <v>0</v>
      </c>
      <c r="AJ356" s="7">
        <f t="shared" ca="1" si="669"/>
        <v>0</v>
      </c>
      <c r="AK356" s="7">
        <f t="shared" ca="1" si="669"/>
        <v>0</v>
      </c>
      <c r="AL356" s="7">
        <f t="shared" ca="1" si="669"/>
        <v>0</v>
      </c>
      <c r="AM356" s="7">
        <f t="shared" ca="1" si="669"/>
        <v>0</v>
      </c>
    </row>
    <row r="357" spans="1:39" x14ac:dyDescent="0.2">
      <c r="A357" s="17" t="str">
        <f>TEXT(Inputs!$B$92,"")</f>
        <v>Car</v>
      </c>
      <c r="C357" s="7">
        <f t="shared" ref="C357:AM357" ca="1" si="670">C328</f>
        <v>-5234.2745926297666</v>
      </c>
      <c r="D357" s="7">
        <f t="shared" ca="1" si="670"/>
        <v>-4298.4122995765474</v>
      </c>
      <c r="E357" s="7">
        <f t="shared" ca="1" si="670"/>
        <v>-3343.6602291314293</v>
      </c>
      <c r="F357" s="7">
        <f t="shared" ca="1" si="670"/>
        <v>-2369.6371033087999</v>
      </c>
      <c r="G357" s="7">
        <f t="shared" ca="1" si="670"/>
        <v>-1375.9539482725622</v>
      </c>
      <c r="H357" s="7">
        <f t="shared" ca="1" si="670"/>
        <v>-362.21393900035582</v>
      </c>
      <c r="I357" s="7">
        <f t="shared" ca="1" si="670"/>
        <v>0</v>
      </c>
      <c r="J357" s="7">
        <f t="shared" ca="1" si="670"/>
        <v>0</v>
      </c>
      <c r="K357" s="7">
        <f t="shared" ca="1" si="670"/>
        <v>0</v>
      </c>
      <c r="L357" s="7">
        <f t="shared" ca="1" si="670"/>
        <v>0</v>
      </c>
      <c r="M357" s="7">
        <f t="shared" ca="1" si="670"/>
        <v>0</v>
      </c>
      <c r="N357" s="7">
        <f t="shared" ca="1" si="670"/>
        <v>0</v>
      </c>
      <c r="O357" s="7">
        <f t="shared" ca="1" si="670"/>
        <v>0</v>
      </c>
      <c r="P357" s="7">
        <f t="shared" ca="1" si="670"/>
        <v>0</v>
      </c>
      <c r="Q357" s="7">
        <f t="shared" ca="1" si="670"/>
        <v>0</v>
      </c>
      <c r="R357" s="7">
        <f t="shared" ca="1" si="670"/>
        <v>0</v>
      </c>
      <c r="S357" s="7">
        <f t="shared" ca="1" si="670"/>
        <v>0</v>
      </c>
      <c r="T357" s="7">
        <f t="shared" ca="1" si="670"/>
        <v>0</v>
      </c>
      <c r="U357" s="7">
        <f t="shared" ca="1" si="670"/>
        <v>0</v>
      </c>
      <c r="V357" s="7">
        <f t="shared" ca="1" si="670"/>
        <v>0</v>
      </c>
      <c r="W357" s="7">
        <f t="shared" ca="1" si="670"/>
        <v>0</v>
      </c>
      <c r="X357" s="7">
        <f t="shared" ca="1" si="670"/>
        <v>0</v>
      </c>
      <c r="Y357" s="7">
        <f t="shared" ca="1" si="670"/>
        <v>0</v>
      </c>
      <c r="Z357" s="7">
        <f t="shared" ca="1" si="670"/>
        <v>0</v>
      </c>
      <c r="AA357" s="7">
        <f t="shared" ca="1" si="670"/>
        <v>0</v>
      </c>
      <c r="AB357" s="7">
        <f t="shared" ca="1" si="670"/>
        <v>0</v>
      </c>
      <c r="AC357" s="7">
        <f t="shared" ca="1" si="670"/>
        <v>0</v>
      </c>
      <c r="AD357" s="7">
        <f t="shared" ca="1" si="670"/>
        <v>0</v>
      </c>
      <c r="AE357" s="7">
        <f t="shared" ca="1" si="670"/>
        <v>0</v>
      </c>
      <c r="AF357" s="7">
        <f t="shared" ca="1" si="670"/>
        <v>0</v>
      </c>
      <c r="AG357" s="7">
        <f t="shared" ca="1" si="670"/>
        <v>0</v>
      </c>
      <c r="AH357" s="7">
        <f t="shared" ca="1" si="670"/>
        <v>0</v>
      </c>
      <c r="AI357" s="7">
        <f t="shared" ca="1" si="670"/>
        <v>0</v>
      </c>
      <c r="AJ357" s="7">
        <f t="shared" ca="1" si="670"/>
        <v>0</v>
      </c>
      <c r="AK357" s="7">
        <f t="shared" ca="1" si="670"/>
        <v>0</v>
      </c>
      <c r="AL357" s="7">
        <f t="shared" ca="1" si="670"/>
        <v>0</v>
      </c>
      <c r="AM357" s="7">
        <f t="shared" ca="1" si="670"/>
        <v>0</v>
      </c>
    </row>
    <row r="358" spans="1:39" x14ac:dyDescent="0.2">
      <c r="A358" s="17" t="str">
        <f>TEXT(Inputs!$B$97,"")</f>
        <v>Painting</v>
      </c>
      <c r="C358" s="7">
        <f t="shared" ref="C358:AM358" ca="1" si="671">C329</f>
        <v>-6544.7251312007966</v>
      </c>
      <c r="D358" s="7">
        <f t="shared" ca="1" si="671"/>
        <v>-5344.7087535753089</v>
      </c>
      <c r="E358" s="7">
        <f t="shared" ca="1" si="671"/>
        <v>-4083.2972605813311</v>
      </c>
      <c r="F358" s="7">
        <f t="shared" ca="1" si="671"/>
        <v>-2757.3495615959573</v>
      </c>
      <c r="G358" s="7">
        <f t="shared" ca="1" si="671"/>
        <v>-1363.5638618385628</v>
      </c>
      <c r="H358" s="7">
        <f t="shared" ca="1" si="671"/>
        <v>0</v>
      </c>
      <c r="I358" s="7">
        <f t="shared" ca="1" si="671"/>
        <v>0</v>
      </c>
      <c r="J358" s="7">
        <f t="shared" ca="1" si="671"/>
        <v>0</v>
      </c>
      <c r="K358" s="7">
        <f t="shared" ca="1" si="671"/>
        <v>0</v>
      </c>
      <c r="L358" s="7">
        <f t="shared" ca="1" si="671"/>
        <v>0</v>
      </c>
      <c r="M358" s="7">
        <f t="shared" ca="1" si="671"/>
        <v>0</v>
      </c>
      <c r="N358" s="7">
        <f t="shared" ca="1" si="671"/>
        <v>0</v>
      </c>
      <c r="O358" s="7">
        <f t="shared" ca="1" si="671"/>
        <v>0</v>
      </c>
      <c r="P358" s="7">
        <f t="shared" ca="1" si="671"/>
        <v>0</v>
      </c>
      <c r="Q358" s="7">
        <f t="shared" ca="1" si="671"/>
        <v>0</v>
      </c>
      <c r="R358" s="7">
        <f t="shared" ca="1" si="671"/>
        <v>0</v>
      </c>
      <c r="S358" s="7">
        <f t="shared" ca="1" si="671"/>
        <v>0</v>
      </c>
      <c r="T358" s="7">
        <f t="shared" ca="1" si="671"/>
        <v>0</v>
      </c>
      <c r="U358" s="7">
        <f t="shared" ca="1" si="671"/>
        <v>0</v>
      </c>
      <c r="V358" s="7">
        <f t="shared" ca="1" si="671"/>
        <v>0</v>
      </c>
      <c r="W358" s="7">
        <f t="shared" ca="1" si="671"/>
        <v>0</v>
      </c>
      <c r="X358" s="7">
        <f t="shared" ca="1" si="671"/>
        <v>0</v>
      </c>
      <c r="Y358" s="7">
        <f t="shared" ca="1" si="671"/>
        <v>0</v>
      </c>
      <c r="Z358" s="7">
        <f t="shared" ca="1" si="671"/>
        <v>0</v>
      </c>
      <c r="AA358" s="7">
        <f t="shared" ca="1" si="671"/>
        <v>0</v>
      </c>
      <c r="AB358" s="7">
        <f t="shared" ca="1" si="671"/>
        <v>0</v>
      </c>
      <c r="AC358" s="7">
        <f t="shared" ca="1" si="671"/>
        <v>0</v>
      </c>
      <c r="AD358" s="7">
        <f t="shared" ca="1" si="671"/>
        <v>0</v>
      </c>
      <c r="AE358" s="7">
        <f t="shared" ca="1" si="671"/>
        <v>0</v>
      </c>
      <c r="AF358" s="7">
        <f t="shared" ca="1" si="671"/>
        <v>0</v>
      </c>
      <c r="AG358" s="7">
        <f t="shared" ca="1" si="671"/>
        <v>0</v>
      </c>
      <c r="AH358" s="7">
        <f t="shared" ca="1" si="671"/>
        <v>0</v>
      </c>
      <c r="AI358" s="7">
        <f t="shared" ca="1" si="671"/>
        <v>0</v>
      </c>
      <c r="AJ358" s="7">
        <f t="shared" ca="1" si="671"/>
        <v>0</v>
      </c>
      <c r="AK358" s="7">
        <f t="shared" ca="1" si="671"/>
        <v>0</v>
      </c>
      <c r="AL358" s="7">
        <f t="shared" ca="1" si="671"/>
        <v>0</v>
      </c>
      <c r="AM358" s="7">
        <f t="shared" ca="1" si="671"/>
        <v>0</v>
      </c>
    </row>
    <row r="359" spans="1:39" x14ac:dyDescent="0.2">
      <c r="A359" s="17" t="str">
        <f>TEXT(Inputs!$B$102,"")</f>
        <v>Boat</v>
      </c>
      <c r="C359" s="7">
        <f t="shared" ref="C359:AM359" ca="1" si="672">C330</f>
        <v>-35663.316802941074</v>
      </c>
      <c r="D359" s="7">
        <f t="shared" ca="1" si="672"/>
        <v>-30165.561226487567</v>
      </c>
      <c r="E359" s="7">
        <f t="shared" ca="1" si="672"/>
        <v>-24328.716115912546</v>
      </c>
      <c r="F359" s="7">
        <f t="shared" ca="1" si="672"/>
        <v>-18131.867170725258</v>
      </c>
      <c r="G359" s="7">
        <f t="shared" ca="1" si="672"/>
        <v>-11552.810142144008</v>
      </c>
      <c r="H359" s="7">
        <f t="shared" ca="1" si="672"/>
        <v>-4567.971271908129</v>
      </c>
      <c r="I359" s="7">
        <f t="shared" ca="1" si="672"/>
        <v>0</v>
      </c>
      <c r="J359" s="7">
        <f t="shared" ca="1" si="672"/>
        <v>0</v>
      </c>
      <c r="K359" s="7">
        <f t="shared" ca="1" si="672"/>
        <v>0</v>
      </c>
      <c r="L359" s="7">
        <f t="shared" ca="1" si="672"/>
        <v>0</v>
      </c>
      <c r="M359" s="7">
        <f t="shared" ca="1" si="672"/>
        <v>0</v>
      </c>
      <c r="N359" s="7">
        <f t="shared" ca="1" si="672"/>
        <v>0</v>
      </c>
      <c r="O359" s="7">
        <f t="shared" ca="1" si="672"/>
        <v>0</v>
      </c>
      <c r="P359" s="7">
        <f t="shared" ca="1" si="672"/>
        <v>0</v>
      </c>
      <c r="Q359" s="7">
        <f t="shared" ca="1" si="672"/>
        <v>0</v>
      </c>
      <c r="R359" s="7">
        <f t="shared" ca="1" si="672"/>
        <v>0</v>
      </c>
      <c r="S359" s="7">
        <f t="shared" ca="1" si="672"/>
        <v>0</v>
      </c>
      <c r="T359" s="7">
        <f t="shared" ca="1" si="672"/>
        <v>0</v>
      </c>
      <c r="U359" s="7">
        <f t="shared" ca="1" si="672"/>
        <v>0</v>
      </c>
      <c r="V359" s="7">
        <f t="shared" ca="1" si="672"/>
        <v>0</v>
      </c>
      <c r="W359" s="7">
        <f t="shared" ca="1" si="672"/>
        <v>0</v>
      </c>
      <c r="X359" s="7">
        <f t="shared" ca="1" si="672"/>
        <v>0</v>
      </c>
      <c r="Y359" s="7">
        <f t="shared" ca="1" si="672"/>
        <v>0</v>
      </c>
      <c r="Z359" s="7">
        <f t="shared" ca="1" si="672"/>
        <v>0</v>
      </c>
      <c r="AA359" s="7">
        <f t="shared" ca="1" si="672"/>
        <v>0</v>
      </c>
      <c r="AB359" s="7">
        <f t="shared" ca="1" si="672"/>
        <v>0</v>
      </c>
      <c r="AC359" s="7">
        <f t="shared" ca="1" si="672"/>
        <v>0</v>
      </c>
      <c r="AD359" s="7">
        <f t="shared" ca="1" si="672"/>
        <v>0</v>
      </c>
      <c r="AE359" s="7">
        <f t="shared" ca="1" si="672"/>
        <v>0</v>
      </c>
      <c r="AF359" s="7">
        <f t="shared" ca="1" si="672"/>
        <v>0</v>
      </c>
      <c r="AG359" s="7">
        <f t="shared" ca="1" si="672"/>
        <v>0</v>
      </c>
      <c r="AH359" s="7">
        <f t="shared" ca="1" si="672"/>
        <v>0</v>
      </c>
      <c r="AI359" s="7">
        <f t="shared" ca="1" si="672"/>
        <v>0</v>
      </c>
      <c r="AJ359" s="7">
        <f t="shared" ca="1" si="672"/>
        <v>0</v>
      </c>
      <c r="AK359" s="7">
        <f t="shared" ca="1" si="672"/>
        <v>0</v>
      </c>
      <c r="AL359" s="7">
        <f t="shared" ca="1" si="672"/>
        <v>0</v>
      </c>
      <c r="AM359" s="7">
        <f t="shared" ca="1" si="672"/>
        <v>0</v>
      </c>
    </row>
    <row r="360" spans="1:39" x14ac:dyDescent="0.2">
      <c r="A360" s="17" t="str">
        <f>TEXT(Inputs!$B$107,"")</f>
        <v>Antiques</v>
      </c>
      <c r="C360" s="7">
        <f t="shared" ref="C360:AM360" ca="1" si="673">C331</f>
        <v>-2783.6180442430355</v>
      </c>
      <c r="D360" s="7">
        <f t="shared" ca="1" si="673"/>
        <v>-1529.9823465461</v>
      </c>
      <c r="E360" s="7">
        <f t="shared" ca="1" si="673"/>
        <v>-238.21611948276723</v>
      </c>
      <c r="F360" s="7">
        <f t="shared" ca="1" si="673"/>
        <v>0</v>
      </c>
      <c r="G360" s="7">
        <f t="shared" ca="1" si="673"/>
        <v>0</v>
      </c>
      <c r="H360" s="7">
        <f t="shared" ca="1" si="673"/>
        <v>0</v>
      </c>
      <c r="I360" s="7">
        <f t="shared" ca="1" si="673"/>
        <v>0</v>
      </c>
      <c r="J360" s="7">
        <f t="shared" ca="1" si="673"/>
        <v>0</v>
      </c>
      <c r="K360" s="7">
        <f t="shared" ca="1" si="673"/>
        <v>0</v>
      </c>
      <c r="L360" s="7">
        <f t="shared" ca="1" si="673"/>
        <v>0</v>
      </c>
      <c r="M360" s="7">
        <f t="shared" ca="1" si="673"/>
        <v>0</v>
      </c>
      <c r="N360" s="7">
        <f t="shared" ca="1" si="673"/>
        <v>0</v>
      </c>
      <c r="O360" s="7">
        <f t="shared" ca="1" si="673"/>
        <v>0</v>
      </c>
      <c r="P360" s="7">
        <f t="shared" ca="1" si="673"/>
        <v>0</v>
      </c>
      <c r="Q360" s="7">
        <f t="shared" ca="1" si="673"/>
        <v>0</v>
      </c>
      <c r="R360" s="7">
        <f t="shared" ca="1" si="673"/>
        <v>0</v>
      </c>
      <c r="S360" s="7">
        <f t="shared" ca="1" si="673"/>
        <v>0</v>
      </c>
      <c r="T360" s="7">
        <f t="shared" ca="1" si="673"/>
        <v>0</v>
      </c>
      <c r="U360" s="7">
        <f t="shared" ca="1" si="673"/>
        <v>0</v>
      </c>
      <c r="V360" s="7">
        <f t="shared" ca="1" si="673"/>
        <v>0</v>
      </c>
      <c r="W360" s="7">
        <f t="shared" ca="1" si="673"/>
        <v>0</v>
      </c>
      <c r="X360" s="7">
        <f t="shared" ca="1" si="673"/>
        <v>0</v>
      </c>
      <c r="Y360" s="7">
        <f t="shared" ca="1" si="673"/>
        <v>0</v>
      </c>
      <c r="Z360" s="7">
        <f t="shared" ca="1" si="673"/>
        <v>0</v>
      </c>
      <c r="AA360" s="7">
        <f t="shared" ca="1" si="673"/>
        <v>0</v>
      </c>
      <c r="AB360" s="7">
        <f t="shared" ca="1" si="673"/>
        <v>0</v>
      </c>
      <c r="AC360" s="7">
        <f t="shared" ca="1" si="673"/>
        <v>0</v>
      </c>
      <c r="AD360" s="7">
        <f t="shared" ca="1" si="673"/>
        <v>0</v>
      </c>
      <c r="AE360" s="7">
        <f t="shared" ca="1" si="673"/>
        <v>0</v>
      </c>
      <c r="AF360" s="7">
        <f t="shared" ca="1" si="673"/>
        <v>0</v>
      </c>
      <c r="AG360" s="7">
        <f t="shared" ca="1" si="673"/>
        <v>0</v>
      </c>
      <c r="AH360" s="7">
        <f t="shared" ca="1" si="673"/>
        <v>0</v>
      </c>
      <c r="AI360" s="7">
        <f t="shared" ca="1" si="673"/>
        <v>0</v>
      </c>
      <c r="AJ360" s="7">
        <f t="shared" ca="1" si="673"/>
        <v>0</v>
      </c>
      <c r="AK360" s="7">
        <f t="shared" ca="1" si="673"/>
        <v>0</v>
      </c>
      <c r="AL360" s="7">
        <f t="shared" ca="1" si="673"/>
        <v>0</v>
      </c>
      <c r="AM360" s="7">
        <f t="shared" ca="1" si="673"/>
        <v>0</v>
      </c>
    </row>
    <row r="361" spans="1:39" x14ac:dyDescent="0.2">
      <c r="A361" s="16" t="str">
        <f>A93</f>
        <v>Other loan</v>
      </c>
      <c r="C361" s="7">
        <f t="shared" ref="C361:AM361" ca="1" si="674">C93</f>
        <v>-3693.1592077552655</v>
      </c>
      <c r="D361" s="7">
        <f t="shared" ca="1" si="674"/>
        <v>-3304.1670679118561</v>
      </c>
      <c r="E361" s="7">
        <f t="shared" ca="1" si="674"/>
        <v>-2891.1827440504157</v>
      </c>
      <c r="F361" s="7">
        <f t="shared" ca="1" si="674"/>
        <v>-2452.7264507588625</v>
      </c>
      <c r="G361" s="7">
        <f t="shared" ca="1" si="674"/>
        <v>-1987.2271326988684</v>
      </c>
      <c r="H361" s="7">
        <f t="shared" ca="1" si="674"/>
        <v>-1493.0168352765186</v>
      </c>
      <c r="I361" s="7">
        <f t="shared" ca="1" si="674"/>
        <v>-968.32472810825493</v>
      </c>
      <c r="J361" s="7">
        <f t="shared" ca="1" si="674"/>
        <v>-411.2707598672805</v>
      </c>
      <c r="K361" s="7">
        <f t="shared" ca="1" si="674"/>
        <v>0</v>
      </c>
      <c r="L361" s="7">
        <f t="shared" ca="1" si="674"/>
        <v>0</v>
      </c>
      <c r="M361" s="7">
        <f t="shared" ca="1" si="674"/>
        <v>0</v>
      </c>
      <c r="N361" s="7">
        <f t="shared" ca="1" si="674"/>
        <v>0</v>
      </c>
      <c r="O361" s="7">
        <f t="shared" ca="1" si="674"/>
        <v>0</v>
      </c>
      <c r="P361" s="7">
        <f t="shared" ca="1" si="674"/>
        <v>0</v>
      </c>
      <c r="Q361" s="7">
        <f t="shared" ca="1" si="674"/>
        <v>0</v>
      </c>
      <c r="R361" s="7">
        <f t="shared" ca="1" si="674"/>
        <v>0</v>
      </c>
      <c r="S361" s="7">
        <f t="shared" ca="1" si="674"/>
        <v>0</v>
      </c>
      <c r="T361" s="7">
        <f t="shared" ca="1" si="674"/>
        <v>0</v>
      </c>
      <c r="U361" s="7">
        <f t="shared" ca="1" si="674"/>
        <v>0</v>
      </c>
      <c r="V361" s="7">
        <f t="shared" ca="1" si="674"/>
        <v>0</v>
      </c>
      <c r="W361" s="7">
        <f t="shared" ca="1" si="674"/>
        <v>0</v>
      </c>
      <c r="X361" s="7">
        <f t="shared" ca="1" si="674"/>
        <v>0</v>
      </c>
      <c r="Y361" s="7">
        <f t="shared" ca="1" si="674"/>
        <v>0</v>
      </c>
      <c r="Z361" s="7">
        <f t="shared" ca="1" si="674"/>
        <v>0</v>
      </c>
      <c r="AA361" s="7">
        <f t="shared" ca="1" si="674"/>
        <v>0</v>
      </c>
      <c r="AB361" s="7">
        <f t="shared" ca="1" si="674"/>
        <v>0</v>
      </c>
      <c r="AC361" s="7">
        <f t="shared" ca="1" si="674"/>
        <v>0</v>
      </c>
      <c r="AD361" s="7">
        <f t="shared" ca="1" si="674"/>
        <v>0</v>
      </c>
      <c r="AE361" s="7">
        <f t="shared" ca="1" si="674"/>
        <v>0</v>
      </c>
      <c r="AF361" s="7">
        <f t="shared" ca="1" si="674"/>
        <v>0</v>
      </c>
      <c r="AG361" s="7">
        <f t="shared" ca="1" si="674"/>
        <v>0</v>
      </c>
      <c r="AH361" s="7">
        <f t="shared" ca="1" si="674"/>
        <v>0</v>
      </c>
      <c r="AI361" s="7">
        <f t="shared" ca="1" si="674"/>
        <v>0</v>
      </c>
      <c r="AJ361" s="7">
        <f t="shared" ca="1" si="674"/>
        <v>0</v>
      </c>
      <c r="AK361" s="7">
        <f t="shared" ca="1" si="674"/>
        <v>0</v>
      </c>
      <c r="AL361" s="7">
        <f t="shared" ca="1" si="674"/>
        <v>0</v>
      </c>
      <c r="AM361" s="7">
        <f t="shared" ca="1" si="674"/>
        <v>0</v>
      </c>
    </row>
    <row r="362" spans="1:39" x14ac:dyDescent="0.2">
      <c r="A362" s="4"/>
      <c r="C362" s="9">
        <f t="shared" ref="C362:AM362" ca="1" si="675">SUM(C333:C361)</f>
        <v>1789619.3445012956</v>
      </c>
      <c r="D362" s="9">
        <f t="shared" ca="1" si="675"/>
        <v>1864141.9295812796</v>
      </c>
      <c r="E362" s="9">
        <f t="shared" ca="1" si="675"/>
        <v>1957643.3432369996</v>
      </c>
      <c r="F362" s="9">
        <f t="shared" ca="1" si="675"/>
        <v>2032077.1987812216</v>
      </c>
      <c r="G362" s="9">
        <f t="shared" ca="1" si="675"/>
        <v>2139242.5151703316</v>
      </c>
      <c r="H362" s="9">
        <f t="shared" ca="1" si="675"/>
        <v>2253956.2554487754</v>
      </c>
      <c r="I362" s="9">
        <f t="shared" ca="1" si="675"/>
        <v>2373212.3213679679</v>
      </c>
      <c r="J362" s="9">
        <f t="shared" ca="1" si="675"/>
        <v>2503743.3040799322</v>
      </c>
      <c r="K362" s="9">
        <f t="shared" ca="1" si="675"/>
        <v>2622587.507788036</v>
      </c>
      <c r="L362" s="9">
        <f t="shared" ca="1" si="675"/>
        <v>2829759.799733527</v>
      </c>
      <c r="M362" s="9">
        <f t="shared" ca="1" si="675"/>
        <v>2946369.0396144441</v>
      </c>
      <c r="N362" s="9">
        <f t="shared" ca="1" si="675"/>
        <v>3112262.378018612</v>
      </c>
      <c r="O362" s="9">
        <f t="shared" ca="1" si="675"/>
        <v>3290988.2941486929</v>
      </c>
      <c r="P362" s="9">
        <f t="shared" ca="1" si="675"/>
        <v>3478264.257330751</v>
      </c>
      <c r="Q362" s="9">
        <f t="shared" ca="1" si="675"/>
        <v>3674398.8362885136</v>
      </c>
      <c r="R362" s="9">
        <f t="shared" ca="1" si="675"/>
        <v>3881968.1076357253</v>
      </c>
      <c r="S362" s="9">
        <f t="shared" ca="1" si="675"/>
        <v>4099295.1491844193</v>
      </c>
      <c r="T362" s="9">
        <f t="shared" ca="1" si="675"/>
        <v>4217518.2286675833</v>
      </c>
      <c r="U362" s="9">
        <f t="shared" ca="1" si="675"/>
        <v>4348016.8375674505</v>
      </c>
      <c r="V362" s="9">
        <f t="shared" ca="1" si="675"/>
        <v>4468038.3783782618</v>
      </c>
      <c r="W362" s="9">
        <f t="shared" ca="1" si="675"/>
        <v>4608482.5418189578</v>
      </c>
      <c r="X362" s="9">
        <f t="shared" ca="1" si="675"/>
        <v>4754297.2856014045</v>
      </c>
      <c r="Y362" s="9">
        <f t="shared" ca="1" si="675"/>
        <v>4883327.7438893924</v>
      </c>
      <c r="Z362" s="9">
        <f t="shared" ca="1" si="675"/>
        <v>5016832.7738845395</v>
      </c>
      <c r="AA362" s="9">
        <f t="shared" ca="1" si="675"/>
        <v>5130101.1316632601</v>
      </c>
      <c r="AB362" s="9">
        <f t="shared" ca="1" si="675"/>
        <v>5269842.6695800861</v>
      </c>
      <c r="AC362" s="9">
        <f t="shared" ca="1" si="675"/>
        <v>5414209.4095778381</v>
      </c>
      <c r="AD362" s="9">
        <f t="shared" ca="1" si="675"/>
        <v>5563344.1332958816</v>
      </c>
      <c r="AE362" s="9">
        <f t="shared" ca="1" si="675"/>
        <v>5727502.5482548792</v>
      </c>
      <c r="AF362" s="9">
        <f t="shared" ca="1" si="675"/>
        <v>5897237.0542436279</v>
      </c>
      <c r="AG362" s="9">
        <f t="shared" ca="1" si="675"/>
        <v>6072726.9166537076</v>
      </c>
      <c r="AH362" s="9">
        <f t="shared" ca="1" si="675"/>
        <v>6255796.4812535867</v>
      </c>
      <c r="AI362" s="9">
        <f t="shared" ca="1" si="675"/>
        <v>6445223.9270062102</v>
      </c>
      <c r="AJ362" s="9">
        <f t="shared" ca="1" si="675"/>
        <v>6641232.7493223129</v>
      </c>
      <c r="AK362" s="9">
        <f t="shared" ca="1" si="675"/>
        <v>6844056.0976893194</v>
      </c>
      <c r="AL362" s="9">
        <f t="shared" ca="1" si="675"/>
        <v>7053937.2082032925</v>
      </c>
      <c r="AM362" s="9">
        <f t="shared" ca="1" si="675"/>
        <v>7271129.8622714318</v>
      </c>
    </row>
    <row r="363" spans="1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9" x14ac:dyDescent="0.25">
      <c r="A364" s="25" t="s">
        <v>72</v>
      </c>
      <c r="B364" s="2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x14ac:dyDescent="0.2">
      <c r="A366" s="15" t="s">
        <v>61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x14ac:dyDescent="0.2">
      <c r="A367" s="3" t="s">
        <v>9</v>
      </c>
      <c r="C367" s="7">
        <f t="shared" ref="C367:AM367" ca="1" si="676">C66</f>
        <v>62809.375000000015</v>
      </c>
      <c r="D367" s="7">
        <f t="shared" ca="1" si="676"/>
        <v>74162.215625000026</v>
      </c>
      <c r="E367" s="7">
        <f t="shared" ca="1" si="676"/>
        <v>91813.279140625047</v>
      </c>
      <c r="F367" s="7">
        <f t="shared" ca="1" si="676"/>
        <v>91803.568657505195</v>
      </c>
      <c r="G367" s="7">
        <f t="shared" ca="1" si="676"/>
        <v>123524.62717736079</v>
      </c>
      <c r="H367" s="7">
        <f t="shared" ca="1" si="676"/>
        <v>161945.76563583669</v>
      </c>
      <c r="I367" s="7">
        <f t="shared" ca="1" si="676"/>
        <v>229058.63493181192</v>
      </c>
      <c r="J367" s="7">
        <f t="shared" ca="1" si="676"/>
        <v>300182.50067145552</v>
      </c>
      <c r="K367" s="7">
        <f t="shared" ca="1" si="676"/>
        <v>358095.70278366783</v>
      </c>
      <c r="L367" s="7">
        <f t="shared" ca="1" si="676"/>
        <v>503640.47280939861</v>
      </c>
      <c r="M367" s="7">
        <f t="shared" ca="1" si="676"/>
        <v>560683.42164108111</v>
      </c>
      <c r="N367" s="7">
        <f t="shared" ca="1" si="676"/>
        <v>671525.85327123245</v>
      </c>
      <c r="O367" s="7">
        <f t="shared" ca="1" si="676"/>
        <v>788362.94313265686</v>
      </c>
      <c r="P367" s="7">
        <f t="shared" ca="1" si="676"/>
        <v>911449.23653079802</v>
      </c>
      <c r="Q367" s="7">
        <f t="shared" ca="1" si="676"/>
        <v>1041048.9820423867</v>
      </c>
      <c r="R367" s="7">
        <f t="shared" ca="1" si="676"/>
        <v>1177436.4792682112</v>
      </c>
      <c r="S367" s="7">
        <f t="shared" ca="1" si="676"/>
        <v>1320896.4385593834</v>
      </c>
      <c r="T367" s="7">
        <f t="shared" ca="1" si="676"/>
        <v>1362493.9107349962</v>
      </c>
      <c r="U367" s="7">
        <f t="shared" ca="1" si="676"/>
        <v>1413530.8459680481</v>
      </c>
      <c r="V367" s="7">
        <f t="shared" ca="1" si="676"/>
        <v>1466566.1280568431</v>
      </c>
      <c r="W367" s="7">
        <f t="shared" ca="1" si="676"/>
        <v>1521676.7180232967</v>
      </c>
      <c r="X367" s="7">
        <f t="shared" ca="1" si="676"/>
        <v>1578942.4442265448</v>
      </c>
      <c r="Y367" s="7">
        <f t="shared" ca="1" si="676"/>
        <v>1617529.0131961552</v>
      </c>
      <c r="Z367" s="7">
        <f t="shared" ca="1" si="676"/>
        <v>1657393.5393787338</v>
      </c>
      <c r="AA367" s="7">
        <f t="shared" ca="1" si="676"/>
        <v>1698585.8680630873</v>
      </c>
      <c r="AB367" s="7">
        <f t="shared" ca="1" si="676"/>
        <v>1741157.8400002168</v>
      </c>
      <c r="AC367" s="7">
        <f t="shared" ca="1" si="676"/>
        <v>1785163.3690807538</v>
      </c>
      <c r="AD367" s="7">
        <f t="shared" ca="1" si="676"/>
        <v>1830658.5229208304</v>
      </c>
      <c r="AE367" s="7">
        <f t="shared" ca="1" si="676"/>
        <v>1887808.8624938719</v>
      </c>
      <c r="AF367" s="7">
        <f t="shared" ca="1" si="676"/>
        <v>1947073.1235563438</v>
      </c>
      <c r="AG367" s="7">
        <f t="shared" ca="1" si="676"/>
        <v>2008533.3002031124</v>
      </c>
      <c r="AH367" s="7">
        <f t="shared" ca="1" si="676"/>
        <v>2072274.5255423354</v>
      </c>
      <c r="AI367" s="7">
        <f t="shared" ca="1" si="676"/>
        <v>2138385.1882151016</v>
      </c>
      <c r="AJ367" s="7">
        <f t="shared" ca="1" si="676"/>
        <v>2206957.0531036272</v>
      </c>
      <c r="AK367" s="7">
        <f t="shared" ca="1" si="676"/>
        <v>2278085.3863743474</v>
      </c>
      <c r="AL367" s="7">
        <f t="shared" ca="1" si="676"/>
        <v>2351869.0850072289</v>
      </c>
      <c r="AM367" s="7">
        <f t="shared" ca="1" si="676"/>
        <v>2428410.8109677895</v>
      </c>
    </row>
    <row r="368" spans="1:39" x14ac:dyDescent="0.2">
      <c r="A368" s="3" t="s">
        <v>28</v>
      </c>
      <c r="C368" s="7">
        <f t="shared" ref="C368:AM368" ca="1" si="677">C94</f>
        <v>1789619.3445012956</v>
      </c>
      <c r="D368" s="7">
        <f t="shared" ca="1" si="677"/>
        <v>1864141.9295812796</v>
      </c>
      <c r="E368" s="7">
        <f t="shared" ca="1" si="677"/>
        <v>1957643.3432369996</v>
      </c>
      <c r="F368" s="7">
        <f t="shared" ca="1" si="677"/>
        <v>2032077.1987812216</v>
      </c>
      <c r="G368" s="7">
        <f t="shared" ca="1" si="677"/>
        <v>2139242.5151703316</v>
      </c>
      <c r="H368" s="7">
        <f t="shared" ca="1" si="677"/>
        <v>2253956.2554487754</v>
      </c>
      <c r="I368" s="7">
        <f t="shared" ca="1" si="677"/>
        <v>2373212.3213679679</v>
      </c>
      <c r="J368" s="7">
        <f t="shared" ca="1" si="677"/>
        <v>2503743.3040799322</v>
      </c>
      <c r="K368" s="7">
        <f t="shared" ca="1" si="677"/>
        <v>2622587.507788036</v>
      </c>
      <c r="L368" s="7">
        <f t="shared" ca="1" si="677"/>
        <v>2829759.799733527</v>
      </c>
      <c r="M368" s="7">
        <f t="shared" ca="1" si="677"/>
        <v>2946369.0396144441</v>
      </c>
      <c r="N368" s="7">
        <f t="shared" ca="1" si="677"/>
        <v>3112262.378018612</v>
      </c>
      <c r="O368" s="7">
        <f t="shared" ca="1" si="677"/>
        <v>3290988.2941486929</v>
      </c>
      <c r="P368" s="7">
        <f t="shared" ca="1" si="677"/>
        <v>3478264.257330751</v>
      </c>
      <c r="Q368" s="7">
        <f t="shared" ca="1" si="677"/>
        <v>3674398.8362885136</v>
      </c>
      <c r="R368" s="7">
        <f t="shared" ca="1" si="677"/>
        <v>3881968.1076357253</v>
      </c>
      <c r="S368" s="7">
        <f t="shared" ca="1" si="677"/>
        <v>4099295.1491844193</v>
      </c>
      <c r="T368" s="7">
        <f t="shared" ca="1" si="677"/>
        <v>4217518.2286675833</v>
      </c>
      <c r="U368" s="7">
        <f t="shared" ca="1" si="677"/>
        <v>4348016.8375674505</v>
      </c>
      <c r="V368" s="7">
        <f t="shared" ca="1" si="677"/>
        <v>4468038.3783782618</v>
      </c>
      <c r="W368" s="7">
        <f t="shared" ca="1" si="677"/>
        <v>4608482.5418189578</v>
      </c>
      <c r="X368" s="7">
        <f t="shared" ca="1" si="677"/>
        <v>4754297.2856014045</v>
      </c>
      <c r="Y368" s="7">
        <f t="shared" ca="1" si="677"/>
        <v>4883327.7438893924</v>
      </c>
      <c r="Z368" s="7">
        <f t="shared" ca="1" si="677"/>
        <v>5016832.7738845395</v>
      </c>
      <c r="AA368" s="7">
        <f t="shared" ca="1" si="677"/>
        <v>5130101.1316632601</v>
      </c>
      <c r="AB368" s="7">
        <f t="shared" ca="1" si="677"/>
        <v>5269842.6695800861</v>
      </c>
      <c r="AC368" s="7">
        <f t="shared" ca="1" si="677"/>
        <v>5414209.4095778381</v>
      </c>
      <c r="AD368" s="7">
        <f t="shared" ca="1" si="677"/>
        <v>5563344.1332958816</v>
      </c>
      <c r="AE368" s="7">
        <f t="shared" ca="1" si="677"/>
        <v>5727502.5482548792</v>
      </c>
      <c r="AF368" s="7">
        <f t="shared" ca="1" si="677"/>
        <v>5897237.0542436279</v>
      </c>
      <c r="AG368" s="7">
        <f t="shared" ca="1" si="677"/>
        <v>6072726.9166537076</v>
      </c>
      <c r="AH368" s="7">
        <f t="shared" ca="1" si="677"/>
        <v>6255796.4812535867</v>
      </c>
      <c r="AI368" s="7">
        <f t="shared" ca="1" si="677"/>
        <v>6445223.9270062102</v>
      </c>
      <c r="AJ368" s="7">
        <f t="shared" ca="1" si="677"/>
        <v>6641232.7493223129</v>
      </c>
      <c r="AK368" s="7">
        <f t="shared" ca="1" si="677"/>
        <v>6844056.0976893194</v>
      </c>
      <c r="AL368" s="7">
        <f t="shared" ca="1" si="677"/>
        <v>7053937.2082032925</v>
      </c>
      <c r="AM368" s="7">
        <f t="shared" ca="1" si="677"/>
        <v>7271129.8622714318</v>
      </c>
    </row>
    <row r="369" spans="1:39" x14ac:dyDescent="0.2">
      <c r="A369" s="3"/>
      <c r="C369" s="1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x14ac:dyDescent="0.2">
      <c r="A370" s="15" t="s">
        <v>62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x14ac:dyDescent="0.2">
      <c r="A371" s="3" t="s">
        <v>9</v>
      </c>
      <c r="C371" s="7">
        <f t="shared" ref="C371:AM371" ca="1" si="678">C334</f>
        <v>62809.375000000015</v>
      </c>
      <c r="D371" s="7">
        <f t="shared" ca="1" si="678"/>
        <v>74162.215625000026</v>
      </c>
      <c r="E371" s="7">
        <f t="shared" ca="1" si="678"/>
        <v>91813.279140625047</v>
      </c>
      <c r="F371" s="7">
        <f t="shared" ca="1" si="678"/>
        <v>91803.568657505195</v>
      </c>
      <c r="G371" s="7">
        <f t="shared" ca="1" si="678"/>
        <v>123524.62717736079</v>
      </c>
      <c r="H371" s="7">
        <f t="shared" ca="1" si="678"/>
        <v>161945.76563583669</v>
      </c>
      <c r="I371" s="7">
        <f t="shared" ca="1" si="678"/>
        <v>229058.63493181192</v>
      </c>
      <c r="J371" s="7">
        <f t="shared" ca="1" si="678"/>
        <v>300182.50067145552</v>
      </c>
      <c r="K371" s="7">
        <f t="shared" ca="1" si="678"/>
        <v>358095.70278366783</v>
      </c>
      <c r="L371" s="7">
        <f t="shared" ca="1" si="678"/>
        <v>503640.47280939861</v>
      </c>
      <c r="M371" s="7">
        <f t="shared" ca="1" si="678"/>
        <v>560683.42164108111</v>
      </c>
      <c r="N371" s="7">
        <f t="shared" ca="1" si="678"/>
        <v>671525.85327123245</v>
      </c>
      <c r="O371" s="7">
        <f t="shared" ca="1" si="678"/>
        <v>788362.94313265686</v>
      </c>
      <c r="P371" s="7">
        <f t="shared" ca="1" si="678"/>
        <v>911449.23653079802</v>
      </c>
      <c r="Q371" s="7">
        <f t="shared" ca="1" si="678"/>
        <v>1041048.9820423867</v>
      </c>
      <c r="R371" s="7">
        <f t="shared" ca="1" si="678"/>
        <v>1177436.4792682112</v>
      </c>
      <c r="S371" s="7">
        <f t="shared" ca="1" si="678"/>
        <v>1320896.4385593834</v>
      </c>
      <c r="T371" s="7">
        <f t="shared" ca="1" si="678"/>
        <v>1362493.9107349962</v>
      </c>
      <c r="U371" s="7">
        <f t="shared" ca="1" si="678"/>
        <v>1413530.8459680481</v>
      </c>
      <c r="V371" s="7">
        <f t="shared" ca="1" si="678"/>
        <v>1466566.1280568431</v>
      </c>
      <c r="W371" s="7">
        <f t="shared" ca="1" si="678"/>
        <v>1521676.7180232967</v>
      </c>
      <c r="X371" s="7">
        <f t="shared" ca="1" si="678"/>
        <v>1578942.4442265448</v>
      </c>
      <c r="Y371" s="7">
        <f t="shared" ca="1" si="678"/>
        <v>1617529.0131961552</v>
      </c>
      <c r="Z371" s="7">
        <f t="shared" ca="1" si="678"/>
        <v>1657393.5393787338</v>
      </c>
      <c r="AA371" s="7">
        <f t="shared" ca="1" si="678"/>
        <v>1698585.8680630873</v>
      </c>
      <c r="AB371" s="7">
        <f t="shared" ca="1" si="678"/>
        <v>1741157.8400002168</v>
      </c>
      <c r="AC371" s="7">
        <f t="shared" ca="1" si="678"/>
        <v>1785163.3690807538</v>
      </c>
      <c r="AD371" s="7">
        <f t="shared" ca="1" si="678"/>
        <v>1830658.5229208304</v>
      </c>
      <c r="AE371" s="7">
        <f t="shared" ca="1" si="678"/>
        <v>1887808.8624938719</v>
      </c>
      <c r="AF371" s="7">
        <f t="shared" ca="1" si="678"/>
        <v>1947073.1235563438</v>
      </c>
      <c r="AG371" s="7">
        <f t="shared" ca="1" si="678"/>
        <v>2008533.3002031124</v>
      </c>
      <c r="AH371" s="7">
        <f t="shared" ca="1" si="678"/>
        <v>2072274.5255423354</v>
      </c>
      <c r="AI371" s="7">
        <f t="shared" ca="1" si="678"/>
        <v>2138385.1882151016</v>
      </c>
      <c r="AJ371" s="7">
        <f t="shared" ca="1" si="678"/>
        <v>2206957.0531036272</v>
      </c>
      <c r="AK371" s="7">
        <f t="shared" ca="1" si="678"/>
        <v>2278085.3863743474</v>
      </c>
      <c r="AL371" s="7">
        <f t="shared" ca="1" si="678"/>
        <v>2351869.0850072289</v>
      </c>
      <c r="AM371" s="7">
        <f t="shared" ca="1" si="678"/>
        <v>2428410.8109677895</v>
      </c>
    </row>
    <row r="372" spans="1:39" x14ac:dyDescent="0.2">
      <c r="A372" s="3" t="s">
        <v>28</v>
      </c>
      <c r="C372" s="7">
        <f t="shared" ref="C372:AM372" ca="1" si="679">C362</f>
        <v>1789619.3445012956</v>
      </c>
      <c r="D372" s="7">
        <f t="shared" ca="1" si="679"/>
        <v>1864141.9295812796</v>
      </c>
      <c r="E372" s="7">
        <f t="shared" ca="1" si="679"/>
        <v>1957643.3432369996</v>
      </c>
      <c r="F372" s="7">
        <f t="shared" ca="1" si="679"/>
        <v>2032077.1987812216</v>
      </c>
      <c r="G372" s="7">
        <f t="shared" ca="1" si="679"/>
        <v>2139242.5151703316</v>
      </c>
      <c r="H372" s="7">
        <f t="shared" ca="1" si="679"/>
        <v>2253956.2554487754</v>
      </c>
      <c r="I372" s="7">
        <f t="shared" ca="1" si="679"/>
        <v>2373212.3213679679</v>
      </c>
      <c r="J372" s="7">
        <f t="shared" ca="1" si="679"/>
        <v>2503743.3040799322</v>
      </c>
      <c r="K372" s="7">
        <f t="shared" ca="1" si="679"/>
        <v>2622587.507788036</v>
      </c>
      <c r="L372" s="7">
        <f t="shared" ca="1" si="679"/>
        <v>2829759.799733527</v>
      </c>
      <c r="M372" s="7">
        <f t="shared" ca="1" si="679"/>
        <v>2946369.0396144441</v>
      </c>
      <c r="N372" s="7">
        <f t="shared" ca="1" si="679"/>
        <v>3112262.378018612</v>
      </c>
      <c r="O372" s="7">
        <f t="shared" ca="1" si="679"/>
        <v>3290988.2941486929</v>
      </c>
      <c r="P372" s="7">
        <f t="shared" ca="1" si="679"/>
        <v>3478264.257330751</v>
      </c>
      <c r="Q372" s="7">
        <f t="shared" ca="1" si="679"/>
        <v>3674398.8362885136</v>
      </c>
      <c r="R372" s="7">
        <f t="shared" ca="1" si="679"/>
        <v>3881968.1076357253</v>
      </c>
      <c r="S372" s="7">
        <f t="shared" ca="1" si="679"/>
        <v>4099295.1491844193</v>
      </c>
      <c r="T372" s="7">
        <f t="shared" ca="1" si="679"/>
        <v>4217518.2286675833</v>
      </c>
      <c r="U372" s="7">
        <f t="shared" ca="1" si="679"/>
        <v>4348016.8375674505</v>
      </c>
      <c r="V372" s="7">
        <f t="shared" ca="1" si="679"/>
        <v>4468038.3783782618</v>
      </c>
      <c r="W372" s="7">
        <f t="shared" ca="1" si="679"/>
        <v>4608482.5418189578</v>
      </c>
      <c r="X372" s="7">
        <f t="shared" ca="1" si="679"/>
        <v>4754297.2856014045</v>
      </c>
      <c r="Y372" s="7">
        <f t="shared" ca="1" si="679"/>
        <v>4883327.7438893924</v>
      </c>
      <c r="Z372" s="7">
        <f t="shared" ca="1" si="679"/>
        <v>5016832.7738845395</v>
      </c>
      <c r="AA372" s="7">
        <f t="shared" ca="1" si="679"/>
        <v>5130101.1316632601</v>
      </c>
      <c r="AB372" s="7">
        <f t="shared" ca="1" si="679"/>
        <v>5269842.6695800861</v>
      </c>
      <c r="AC372" s="7">
        <f t="shared" ca="1" si="679"/>
        <v>5414209.4095778381</v>
      </c>
      <c r="AD372" s="7">
        <f t="shared" ca="1" si="679"/>
        <v>5563344.1332958816</v>
      </c>
      <c r="AE372" s="7">
        <f t="shared" ca="1" si="679"/>
        <v>5727502.5482548792</v>
      </c>
      <c r="AF372" s="7">
        <f t="shared" ca="1" si="679"/>
        <v>5897237.0542436279</v>
      </c>
      <c r="AG372" s="7">
        <f t="shared" ca="1" si="679"/>
        <v>6072726.9166537076</v>
      </c>
      <c r="AH372" s="7">
        <f t="shared" ca="1" si="679"/>
        <v>6255796.4812535867</v>
      </c>
      <c r="AI372" s="7">
        <f t="shared" ca="1" si="679"/>
        <v>6445223.9270062102</v>
      </c>
      <c r="AJ372" s="7">
        <f t="shared" ca="1" si="679"/>
        <v>6641232.7493223129</v>
      </c>
      <c r="AK372" s="7">
        <f t="shared" ca="1" si="679"/>
        <v>6844056.0976893194</v>
      </c>
      <c r="AL372" s="7">
        <f t="shared" ca="1" si="679"/>
        <v>7053937.2082032925</v>
      </c>
      <c r="AM372" s="7">
        <f t="shared" ca="1" si="679"/>
        <v>7271129.8622714318</v>
      </c>
    </row>
    <row r="373" spans="1:39" x14ac:dyDescent="0.2">
      <c r="A373" s="3"/>
      <c r="C373" s="7"/>
      <c r="D373" s="7"/>
      <c r="E373" s="2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x14ac:dyDescent="0.2">
      <c r="A374" s="15" t="s">
        <v>63</v>
      </c>
      <c r="B374" s="2" t="s">
        <v>1</v>
      </c>
      <c r="C374" s="7">
        <f t="shared" ref="C374:AM374" si="680">C3</f>
        <v>48</v>
      </c>
      <c r="D374" s="7">
        <f t="shared" si="680"/>
        <v>49</v>
      </c>
      <c r="E374" s="7">
        <f t="shared" si="680"/>
        <v>50</v>
      </c>
      <c r="F374" s="7">
        <f t="shared" si="680"/>
        <v>51</v>
      </c>
      <c r="G374" s="7">
        <f t="shared" si="680"/>
        <v>52</v>
      </c>
      <c r="H374" s="7">
        <f t="shared" si="680"/>
        <v>53</v>
      </c>
      <c r="I374" s="7">
        <f t="shared" si="680"/>
        <v>54</v>
      </c>
      <c r="J374" s="7">
        <f t="shared" si="680"/>
        <v>55</v>
      </c>
      <c r="K374" s="7">
        <f t="shared" si="680"/>
        <v>56</v>
      </c>
      <c r="L374" s="7">
        <f t="shared" si="680"/>
        <v>57</v>
      </c>
      <c r="M374" s="7">
        <f t="shared" si="680"/>
        <v>58</v>
      </c>
      <c r="N374" s="7">
        <f t="shared" si="680"/>
        <v>59</v>
      </c>
      <c r="O374" s="7">
        <f t="shared" si="680"/>
        <v>60</v>
      </c>
      <c r="P374" s="7">
        <f t="shared" si="680"/>
        <v>61</v>
      </c>
      <c r="Q374" s="7">
        <f t="shared" si="680"/>
        <v>62</v>
      </c>
      <c r="R374" s="7">
        <f t="shared" si="680"/>
        <v>63</v>
      </c>
      <c r="S374" s="7">
        <f t="shared" si="680"/>
        <v>64</v>
      </c>
      <c r="T374" s="7">
        <f t="shared" si="680"/>
        <v>65</v>
      </c>
      <c r="U374" s="7">
        <f t="shared" si="680"/>
        <v>66</v>
      </c>
      <c r="V374" s="7">
        <f t="shared" si="680"/>
        <v>67</v>
      </c>
      <c r="W374" s="7">
        <f t="shared" si="680"/>
        <v>68</v>
      </c>
      <c r="X374" s="7">
        <f t="shared" si="680"/>
        <v>69</v>
      </c>
      <c r="Y374" s="7">
        <f t="shared" si="680"/>
        <v>70</v>
      </c>
      <c r="Z374" s="7">
        <f t="shared" si="680"/>
        <v>71</v>
      </c>
      <c r="AA374" s="7">
        <f t="shared" si="680"/>
        <v>72</v>
      </c>
      <c r="AB374" s="7">
        <f t="shared" si="680"/>
        <v>73</v>
      </c>
      <c r="AC374" s="7">
        <f t="shared" si="680"/>
        <v>74</v>
      </c>
      <c r="AD374" s="7">
        <f t="shared" si="680"/>
        <v>75</v>
      </c>
      <c r="AE374" s="7">
        <f t="shared" si="680"/>
        <v>76</v>
      </c>
      <c r="AF374" s="7">
        <f t="shared" si="680"/>
        <v>77</v>
      </c>
      <c r="AG374" s="7">
        <f t="shared" si="680"/>
        <v>78</v>
      </c>
      <c r="AH374" s="7">
        <f t="shared" si="680"/>
        <v>79</v>
      </c>
      <c r="AI374" s="7">
        <f t="shared" si="680"/>
        <v>80</v>
      </c>
      <c r="AJ374" s="7">
        <f t="shared" si="680"/>
        <v>81</v>
      </c>
      <c r="AK374" s="7">
        <f t="shared" si="680"/>
        <v>82</v>
      </c>
      <c r="AL374" s="7">
        <f t="shared" si="680"/>
        <v>83</v>
      </c>
      <c r="AM374" s="7">
        <f t="shared" si="680"/>
        <v>84</v>
      </c>
    </row>
    <row r="375" spans="1:39" x14ac:dyDescent="0.2">
      <c r="A375" s="3" t="s">
        <v>61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3" t="s">
        <v>9</v>
      </c>
      <c r="C376" s="7">
        <f t="shared" ref="C376:AM376" ca="1" si="681">C367</f>
        <v>62809.375000000015</v>
      </c>
      <c r="D376" s="7">
        <f t="shared" ca="1" si="681"/>
        <v>74162.215625000026</v>
      </c>
      <c r="E376" s="7">
        <f t="shared" ca="1" si="681"/>
        <v>91813.279140625047</v>
      </c>
      <c r="F376" s="7">
        <f t="shared" ca="1" si="681"/>
        <v>91803.568657505195</v>
      </c>
      <c r="G376" s="7">
        <f t="shared" ca="1" si="681"/>
        <v>123524.62717736079</v>
      </c>
      <c r="H376" s="7">
        <f t="shared" ca="1" si="681"/>
        <v>161945.76563583669</v>
      </c>
      <c r="I376" s="7">
        <f t="shared" ca="1" si="681"/>
        <v>229058.63493181192</v>
      </c>
      <c r="J376" s="7">
        <f t="shared" ca="1" si="681"/>
        <v>300182.50067145552</v>
      </c>
      <c r="K376" s="7">
        <f t="shared" ca="1" si="681"/>
        <v>358095.70278366783</v>
      </c>
      <c r="L376" s="7">
        <f t="shared" ca="1" si="681"/>
        <v>503640.47280939861</v>
      </c>
      <c r="M376" s="7">
        <f t="shared" ca="1" si="681"/>
        <v>560683.42164108111</v>
      </c>
      <c r="N376" s="7">
        <f t="shared" ca="1" si="681"/>
        <v>671525.85327123245</v>
      </c>
      <c r="O376" s="7">
        <f t="shared" ca="1" si="681"/>
        <v>788362.94313265686</v>
      </c>
      <c r="P376" s="7">
        <f t="shared" ca="1" si="681"/>
        <v>911449.23653079802</v>
      </c>
      <c r="Q376" s="7">
        <f t="shared" ca="1" si="681"/>
        <v>1041048.9820423867</v>
      </c>
      <c r="R376" s="7">
        <f t="shared" ca="1" si="681"/>
        <v>1177436.4792682112</v>
      </c>
      <c r="S376" s="7">
        <f t="shared" ca="1" si="681"/>
        <v>1320896.4385593834</v>
      </c>
      <c r="T376" s="7">
        <f t="shared" ca="1" si="681"/>
        <v>1362493.9107349962</v>
      </c>
      <c r="U376" s="7">
        <f t="shared" ca="1" si="681"/>
        <v>1413530.8459680481</v>
      </c>
      <c r="V376" s="7">
        <f t="shared" ca="1" si="681"/>
        <v>1466566.1280568431</v>
      </c>
      <c r="W376" s="7">
        <f t="shared" ca="1" si="681"/>
        <v>1521676.7180232967</v>
      </c>
      <c r="X376" s="7">
        <f t="shared" ca="1" si="681"/>
        <v>1578942.4442265448</v>
      </c>
      <c r="Y376" s="7">
        <f t="shared" ca="1" si="681"/>
        <v>1617529.0131961552</v>
      </c>
      <c r="Z376" s="7">
        <f t="shared" ca="1" si="681"/>
        <v>1657393.5393787338</v>
      </c>
      <c r="AA376" s="7">
        <f t="shared" ca="1" si="681"/>
        <v>1698585.8680630873</v>
      </c>
      <c r="AB376" s="7">
        <f t="shared" ca="1" si="681"/>
        <v>1741157.8400002168</v>
      </c>
      <c r="AC376" s="7">
        <f t="shared" ca="1" si="681"/>
        <v>1785163.3690807538</v>
      </c>
      <c r="AD376" s="7">
        <f t="shared" ca="1" si="681"/>
        <v>1830658.5229208304</v>
      </c>
      <c r="AE376" s="7">
        <f t="shared" ca="1" si="681"/>
        <v>1887808.8624938719</v>
      </c>
      <c r="AF376" s="7">
        <f t="shared" ca="1" si="681"/>
        <v>1947073.1235563438</v>
      </c>
      <c r="AG376" s="7">
        <f t="shared" ca="1" si="681"/>
        <v>2008533.3002031124</v>
      </c>
      <c r="AH376" s="7">
        <f t="shared" ca="1" si="681"/>
        <v>2072274.5255423354</v>
      </c>
      <c r="AI376" s="7">
        <f t="shared" ca="1" si="681"/>
        <v>2138385.1882151016</v>
      </c>
      <c r="AJ376" s="7">
        <f t="shared" ca="1" si="681"/>
        <v>2206957.0531036272</v>
      </c>
      <c r="AK376" s="7">
        <f t="shared" ca="1" si="681"/>
        <v>2278085.3863743474</v>
      </c>
      <c r="AL376" s="7">
        <f t="shared" ca="1" si="681"/>
        <v>2351869.0850072289</v>
      </c>
      <c r="AM376" s="7">
        <f t="shared" ca="1" si="681"/>
        <v>2428410.8109677895</v>
      </c>
    </row>
    <row r="377" spans="1:39" x14ac:dyDescent="0.2">
      <c r="A377" s="3" t="s">
        <v>28</v>
      </c>
      <c r="C377" s="7">
        <f t="shared" ref="C377:AM377" ca="1" si="682">C368</f>
        <v>1789619.3445012956</v>
      </c>
      <c r="D377" s="7">
        <f t="shared" ca="1" si="682"/>
        <v>1864141.9295812796</v>
      </c>
      <c r="E377" s="7">
        <f t="shared" ca="1" si="682"/>
        <v>1957643.3432369996</v>
      </c>
      <c r="F377" s="7">
        <f t="shared" ca="1" si="682"/>
        <v>2032077.1987812216</v>
      </c>
      <c r="G377" s="7">
        <f t="shared" ca="1" si="682"/>
        <v>2139242.5151703316</v>
      </c>
      <c r="H377" s="7">
        <f t="shared" ca="1" si="682"/>
        <v>2253956.2554487754</v>
      </c>
      <c r="I377" s="7">
        <f t="shared" ca="1" si="682"/>
        <v>2373212.3213679679</v>
      </c>
      <c r="J377" s="7">
        <f t="shared" ca="1" si="682"/>
        <v>2503743.3040799322</v>
      </c>
      <c r="K377" s="7">
        <f t="shared" ca="1" si="682"/>
        <v>2622587.507788036</v>
      </c>
      <c r="L377" s="7">
        <f t="shared" ca="1" si="682"/>
        <v>2829759.799733527</v>
      </c>
      <c r="M377" s="7">
        <f t="shared" ca="1" si="682"/>
        <v>2946369.0396144441</v>
      </c>
      <c r="N377" s="7">
        <f t="shared" ca="1" si="682"/>
        <v>3112262.378018612</v>
      </c>
      <c r="O377" s="7">
        <f t="shared" ca="1" si="682"/>
        <v>3290988.2941486929</v>
      </c>
      <c r="P377" s="7">
        <f t="shared" ca="1" si="682"/>
        <v>3478264.257330751</v>
      </c>
      <c r="Q377" s="7">
        <f t="shared" ca="1" si="682"/>
        <v>3674398.8362885136</v>
      </c>
      <c r="R377" s="7">
        <f t="shared" ca="1" si="682"/>
        <v>3881968.1076357253</v>
      </c>
      <c r="S377" s="7">
        <f t="shared" ca="1" si="682"/>
        <v>4099295.1491844193</v>
      </c>
      <c r="T377" s="7">
        <f t="shared" ca="1" si="682"/>
        <v>4217518.2286675833</v>
      </c>
      <c r="U377" s="7">
        <f t="shared" ca="1" si="682"/>
        <v>4348016.8375674505</v>
      </c>
      <c r="V377" s="7">
        <f t="shared" ca="1" si="682"/>
        <v>4468038.3783782618</v>
      </c>
      <c r="W377" s="7">
        <f t="shared" ca="1" si="682"/>
        <v>4608482.5418189578</v>
      </c>
      <c r="X377" s="7">
        <f t="shared" ca="1" si="682"/>
        <v>4754297.2856014045</v>
      </c>
      <c r="Y377" s="7">
        <f t="shared" ca="1" si="682"/>
        <v>4883327.7438893924</v>
      </c>
      <c r="Z377" s="7">
        <f t="shared" ca="1" si="682"/>
        <v>5016832.7738845395</v>
      </c>
      <c r="AA377" s="7">
        <f t="shared" ca="1" si="682"/>
        <v>5130101.1316632601</v>
      </c>
      <c r="AB377" s="7">
        <f t="shared" ca="1" si="682"/>
        <v>5269842.6695800861</v>
      </c>
      <c r="AC377" s="7">
        <f t="shared" ca="1" si="682"/>
        <v>5414209.4095778381</v>
      </c>
      <c r="AD377" s="7">
        <f t="shared" ca="1" si="682"/>
        <v>5563344.1332958816</v>
      </c>
      <c r="AE377" s="7">
        <f t="shared" ca="1" si="682"/>
        <v>5727502.5482548792</v>
      </c>
      <c r="AF377" s="7">
        <f t="shared" ca="1" si="682"/>
        <v>5897237.0542436279</v>
      </c>
      <c r="AG377" s="7">
        <f t="shared" ca="1" si="682"/>
        <v>6072726.9166537076</v>
      </c>
      <c r="AH377" s="7">
        <f t="shared" ca="1" si="682"/>
        <v>6255796.4812535867</v>
      </c>
      <c r="AI377" s="7">
        <f t="shared" ca="1" si="682"/>
        <v>6445223.9270062102</v>
      </c>
      <c r="AJ377" s="7">
        <f t="shared" ca="1" si="682"/>
        <v>6641232.7493223129</v>
      </c>
      <c r="AK377" s="7">
        <f t="shared" ca="1" si="682"/>
        <v>6844056.0976893194</v>
      </c>
      <c r="AL377" s="7">
        <f t="shared" ca="1" si="682"/>
        <v>7053937.2082032925</v>
      </c>
      <c r="AM377" s="7">
        <f t="shared" ca="1" si="682"/>
        <v>7271129.8622714318</v>
      </c>
    </row>
    <row r="378" spans="1:39" x14ac:dyDescent="0.2">
      <c r="A378" s="3" t="s">
        <v>62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x14ac:dyDescent="0.2">
      <c r="A379" s="16" t="s">
        <v>9</v>
      </c>
      <c r="C379" s="7">
        <f ca="1">C371</f>
        <v>62809.375000000015</v>
      </c>
      <c r="D379" s="7">
        <f t="shared" ref="D379:G379" ca="1" si="683">D371</f>
        <v>74162.215625000026</v>
      </c>
      <c r="E379" s="7">
        <f t="shared" ca="1" si="683"/>
        <v>91813.279140625047</v>
      </c>
      <c r="F379" s="7">
        <f t="shared" ca="1" si="683"/>
        <v>91803.568657505195</v>
      </c>
      <c r="G379" s="7">
        <f t="shared" ca="1" si="683"/>
        <v>123524.62717736079</v>
      </c>
      <c r="H379" s="7">
        <f t="shared" ref="H379:I379" ca="1" si="684">H371</f>
        <v>161945.76563583669</v>
      </c>
      <c r="I379" s="7">
        <f t="shared" ca="1" si="684"/>
        <v>229058.63493181192</v>
      </c>
      <c r="J379" s="7">
        <f t="shared" ref="J379:AM379" ca="1" si="685">J371</f>
        <v>300182.50067145552</v>
      </c>
      <c r="K379" s="7">
        <f t="shared" ca="1" si="685"/>
        <v>358095.70278366783</v>
      </c>
      <c r="L379" s="7">
        <f t="shared" ca="1" si="685"/>
        <v>503640.47280939861</v>
      </c>
      <c r="M379" s="7">
        <f t="shared" ca="1" si="685"/>
        <v>560683.42164108111</v>
      </c>
      <c r="N379" s="7">
        <f t="shared" ca="1" si="685"/>
        <v>671525.85327123245</v>
      </c>
      <c r="O379" s="7">
        <f t="shared" ca="1" si="685"/>
        <v>788362.94313265686</v>
      </c>
      <c r="P379" s="7">
        <f t="shared" ca="1" si="685"/>
        <v>911449.23653079802</v>
      </c>
      <c r="Q379" s="7">
        <f t="shared" ca="1" si="685"/>
        <v>1041048.9820423867</v>
      </c>
      <c r="R379" s="7">
        <f t="shared" ca="1" si="685"/>
        <v>1177436.4792682112</v>
      </c>
      <c r="S379" s="7">
        <f t="shared" ca="1" si="685"/>
        <v>1320896.4385593834</v>
      </c>
      <c r="T379" s="7">
        <f t="shared" ca="1" si="685"/>
        <v>1362493.9107349962</v>
      </c>
      <c r="U379" s="7">
        <f t="shared" ca="1" si="685"/>
        <v>1413530.8459680481</v>
      </c>
      <c r="V379" s="7">
        <f t="shared" ca="1" si="685"/>
        <v>1466566.1280568431</v>
      </c>
      <c r="W379" s="7">
        <f t="shared" ca="1" si="685"/>
        <v>1521676.7180232967</v>
      </c>
      <c r="X379" s="7">
        <f t="shared" ca="1" si="685"/>
        <v>1578942.4442265448</v>
      </c>
      <c r="Y379" s="7">
        <f t="shared" ca="1" si="685"/>
        <v>1617529.0131961552</v>
      </c>
      <c r="Z379" s="7">
        <f t="shared" ca="1" si="685"/>
        <v>1657393.5393787338</v>
      </c>
      <c r="AA379" s="7">
        <f t="shared" ca="1" si="685"/>
        <v>1698585.8680630873</v>
      </c>
      <c r="AB379" s="7">
        <f t="shared" ca="1" si="685"/>
        <v>1741157.8400002168</v>
      </c>
      <c r="AC379" s="7">
        <f t="shared" ca="1" si="685"/>
        <v>1785163.3690807538</v>
      </c>
      <c r="AD379" s="7">
        <f t="shared" ca="1" si="685"/>
        <v>1830658.5229208304</v>
      </c>
      <c r="AE379" s="7">
        <f t="shared" ca="1" si="685"/>
        <v>1887808.8624938719</v>
      </c>
      <c r="AF379" s="7">
        <f t="shared" ca="1" si="685"/>
        <v>1947073.1235563438</v>
      </c>
      <c r="AG379" s="7">
        <f t="shared" ca="1" si="685"/>
        <v>2008533.3002031124</v>
      </c>
      <c r="AH379" s="7">
        <f t="shared" ca="1" si="685"/>
        <v>2072274.5255423354</v>
      </c>
      <c r="AI379" s="7">
        <f t="shared" ca="1" si="685"/>
        <v>2138385.1882151016</v>
      </c>
      <c r="AJ379" s="7">
        <f t="shared" ca="1" si="685"/>
        <v>2206957.0531036272</v>
      </c>
      <c r="AK379" s="7">
        <f t="shared" ca="1" si="685"/>
        <v>2278085.3863743474</v>
      </c>
      <c r="AL379" s="7">
        <f t="shared" ca="1" si="685"/>
        <v>2351869.0850072289</v>
      </c>
      <c r="AM379" s="7">
        <f t="shared" ca="1" si="685"/>
        <v>2428410.8109677895</v>
      </c>
    </row>
    <row r="380" spans="1:39" x14ac:dyDescent="0.2">
      <c r="A380" s="16" t="s">
        <v>28</v>
      </c>
      <c r="C380" s="7">
        <f ca="1">C372</f>
        <v>1789619.3445012956</v>
      </c>
      <c r="D380" s="7">
        <f t="shared" ref="D380:G380" ca="1" si="686">D372</f>
        <v>1864141.9295812796</v>
      </c>
      <c r="E380" s="7">
        <f t="shared" ca="1" si="686"/>
        <v>1957643.3432369996</v>
      </c>
      <c r="F380" s="7">
        <f t="shared" ca="1" si="686"/>
        <v>2032077.1987812216</v>
      </c>
      <c r="G380" s="7">
        <f t="shared" ca="1" si="686"/>
        <v>2139242.5151703316</v>
      </c>
      <c r="H380" s="7">
        <f t="shared" ref="H380:I380" ca="1" si="687">H372</f>
        <v>2253956.2554487754</v>
      </c>
      <c r="I380" s="7">
        <f t="shared" ca="1" si="687"/>
        <v>2373212.3213679679</v>
      </c>
      <c r="J380" s="7">
        <f t="shared" ref="J380:AM380" ca="1" si="688">J372</f>
        <v>2503743.3040799322</v>
      </c>
      <c r="K380" s="7">
        <f t="shared" ca="1" si="688"/>
        <v>2622587.507788036</v>
      </c>
      <c r="L380" s="7">
        <f t="shared" ca="1" si="688"/>
        <v>2829759.799733527</v>
      </c>
      <c r="M380" s="7">
        <f t="shared" ca="1" si="688"/>
        <v>2946369.0396144441</v>
      </c>
      <c r="N380" s="7">
        <f t="shared" ca="1" si="688"/>
        <v>3112262.378018612</v>
      </c>
      <c r="O380" s="7">
        <f t="shared" ca="1" si="688"/>
        <v>3290988.2941486929</v>
      </c>
      <c r="P380" s="7">
        <f t="shared" ca="1" si="688"/>
        <v>3478264.257330751</v>
      </c>
      <c r="Q380" s="7">
        <f t="shared" ca="1" si="688"/>
        <v>3674398.8362885136</v>
      </c>
      <c r="R380" s="7">
        <f t="shared" ca="1" si="688"/>
        <v>3881968.1076357253</v>
      </c>
      <c r="S380" s="7">
        <f t="shared" ca="1" si="688"/>
        <v>4099295.1491844193</v>
      </c>
      <c r="T380" s="7">
        <f t="shared" ca="1" si="688"/>
        <v>4217518.2286675833</v>
      </c>
      <c r="U380" s="7">
        <f t="shared" ca="1" si="688"/>
        <v>4348016.8375674505</v>
      </c>
      <c r="V380" s="7">
        <f t="shared" ca="1" si="688"/>
        <v>4468038.3783782618</v>
      </c>
      <c r="W380" s="7">
        <f t="shared" ca="1" si="688"/>
        <v>4608482.5418189578</v>
      </c>
      <c r="X380" s="7">
        <f t="shared" ca="1" si="688"/>
        <v>4754297.2856014045</v>
      </c>
      <c r="Y380" s="7">
        <f t="shared" ca="1" si="688"/>
        <v>4883327.7438893924</v>
      </c>
      <c r="Z380" s="7">
        <f t="shared" ca="1" si="688"/>
        <v>5016832.7738845395</v>
      </c>
      <c r="AA380" s="7">
        <f t="shared" ca="1" si="688"/>
        <v>5130101.1316632601</v>
      </c>
      <c r="AB380" s="7">
        <f t="shared" ca="1" si="688"/>
        <v>5269842.6695800861</v>
      </c>
      <c r="AC380" s="7">
        <f t="shared" ca="1" si="688"/>
        <v>5414209.4095778381</v>
      </c>
      <c r="AD380" s="7">
        <f t="shared" ca="1" si="688"/>
        <v>5563344.1332958816</v>
      </c>
      <c r="AE380" s="7">
        <f t="shared" ca="1" si="688"/>
        <v>5727502.5482548792</v>
      </c>
      <c r="AF380" s="7">
        <f t="shared" ca="1" si="688"/>
        <v>5897237.0542436279</v>
      </c>
      <c r="AG380" s="7">
        <f t="shared" ca="1" si="688"/>
        <v>6072726.9166537076</v>
      </c>
      <c r="AH380" s="7">
        <f t="shared" ca="1" si="688"/>
        <v>6255796.4812535867</v>
      </c>
      <c r="AI380" s="7">
        <f t="shared" ca="1" si="688"/>
        <v>6445223.9270062102</v>
      </c>
      <c r="AJ380" s="7">
        <f t="shared" ca="1" si="688"/>
        <v>6641232.7493223129</v>
      </c>
      <c r="AK380" s="7">
        <f t="shared" ca="1" si="688"/>
        <v>6844056.0976893194</v>
      </c>
      <c r="AL380" s="7">
        <f t="shared" ca="1" si="688"/>
        <v>7053937.2082032925</v>
      </c>
      <c r="AM380" s="7">
        <f t="shared" ca="1" si="688"/>
        <v>7271129.8622714318</v>
      </c>
    </row>
    <row r="381" spans="1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x14ac:dyDescent="0.2">
      <c r="A382" s="16" t="s">
        <v>178</v>
      </c>
      <c r="C382" s="7">
        <f t="shared" ref="C382:AM382" si="689">buffer</f>
        <v>50000</v>
      </c>
      <c r="D382" s="7">
        <f t="shared" si="689"/>
        <v>50000</v>
      </c>
      <c r="E382" s="7">
        <f t="shared" si="689"/>
        <v>50000</v>
      </c>
      <c r="F382" s="7">
        <f t="shared" si="689"/>
        <v>50000</v>
      </c>
      <c r="G382" s="7">
        <f t="shared" si="689"/>
        <v>50000</v>
      </c>
      <c r="H382" s="7">
        <f t="shared" si="689"/>
        <v>50000</v>
      </c>
      <c r="I382" s="7">
        <f t="shared" si="689"/>
        <v>50000</v>
      </c>
      <c r="J382" s="7">
        <f t="shared" si="689"/>
        <v>50000</v>
      </c>
      <c r="K382" s="7">
        <f t="shared" si="689"/>
        <v>50000</v>
      </c>
      <c r="L382" s="7">
        <f t="shared" si="689"/>
        <v>50000</v>
      </c>
      <c r="M382" s="7">
        <f t="shared" si="689"/>
        <v>50000</v>
      </c>
      <c r="N382" s="7">
        <f t="shared" si="689"/>
        <v>50000</v>
      </c>
      <c r="O382" s="7">
        <f t="shared" si="689"/>
        <v>50000</v>
      </c>
      <c r="P382" s="7">
        <f t="shared" si="689"/>
        <v>50000</v>
      </c>
      <c r="Q382" s="7">
        <f t="shared" si="689"/>
        <v>50000</v>
      </c>
      <c r="R382" s="7">
        <f t="shared" si="689"/>
        <v>50000</v>
      </c>
      <c r="S382" s="7">
        <f t="shared" si="689"/>
        <v>50000</v>
      </c>
      <c r="T382" s="7">
        <f t="shared" si="689"/>
        <v>50000</v>
      </c>
      <c r="U382" s="7">
        <f t="shared" si="689"/>
        <v>50000</v>
      </c>
      <c r="V382" s="7">
        <f t="shared" si="689"/>
        <v>50000</v>
      </c>
      <c r="W382" s="7">
        <f t="shared" si="689"/>
        <v>50000</v>
      </c>
      <c r="X382" s="7">
        <f t="shared" si="689"/>
        <v>50000</v>
      </c>
      <c r="Y382" s="7">
        <f t="shared" si="689"/>
        <v>50000</v>
      </c>
      <c r="Z382" s="7">
        <f t="shared" si="689"/>
        <v>50000</v>
      </c>
      <c r="AA382" s="7">
        <f t="shared" si="689"/>
        <v>50000</v>
      </c>
      <c r="AB382" s="7">
        <f t="shared" si="689"/>
        <v>50000</v>
      </c>
      <c r="AC382" s="7">
        <f t="shared" si="689"/>
        <v>50000</v>
      </c>
      <c r="AD382" s="7">
        <f t="shared" si="689"/>
        <v>50000</v>
      </c>
      <c r="AE382" s="7">
        <f t="shared" si="689"/>
        <v>50000</v>
      </c>
      <c r="AF382" s="7">
        <f t="shared" si="689"/>
        <v>50000</v>
      </c>
      <c r="AG382" s="7">
        <f t="shared" si="689"/>
        <v>50000</v>
      </c>
      <c r="AH382" s="7">
        <f t="shared" si="689"/>
        <v>50000</v>
      </c>
      <c r="AI382" s="7">
        <f t="shared" si="689"/>
        <v>50000</v>
      </c>
      <c r="AJ382" s="7">
        <f t="shared" si="689"/>
        <v>50000</v>
      </c>
      <c r="AK382" s="7">
        <f t="shared" si="689"/>
        <v>50000</v>
      </c>
      <c r="AL382" s="7">
        <f t="shared" si="689"/>
        <v>50000</v>
      </c>
      <c r="AM382" s="7">
        <f t="shared" si="689"/>
        <v>50000</v>
      </c>
    </row>
    <row r="383" spans="1:39" x14ac:dyDescent="0.2">
      <c r="A383" s="16" t="s">
        <v>176</v>
      </c>
      <c r="C383" s="7">
        <f t="shared" ref="C383:AM383" si="690">legacy</f>
        <v>1000000</v>
      </c>
      <c r="D383" s="7">
        <f t="shared" si="690"/>
        <v>1000000</v>
      </c>
      <c r="E383" s="7">
        <f t="shared" si="690"/>
        <v>1000000</v>
      </c>
      <c r="F383" s="7">
        <f t="shared" si="690"/>
        <v>1000000</v>
      </c>
      <c r="G383" s="7">
        <f t="shared" si="690"/>
        <v>1000000</v>
      </c>
      <c r="H383" s="7">
        <f t="shared" si="690"/>
        <v>1000000</v>
      </c>
      <c r="I383" s="7">
        <f t="shared" si="690"/>
        <v>1000000</v>
      </c>
      <c r="J383" s="7">
        <f t="shared" si="690"/>
        <v>1000000</v>
      </c>
      <c r="K383" s="7">
        <f t="shared" si="690"/>
        <v>1000000</v>
      </c>
      <c r="L383" s="7">
        <f t="shared" si="690"/>
        <v>1000000</v>
      </c>
      <c r="M383" s="7">
        <f t="shared" si="690"/>
        <v>1000000</v>
      </c>
      <c r="N383" s="7">
        <f t="shared" si="690"/>
        <v>1000000</v>
      </c>
      <c r="O383" s="7">
        <f t="shared" si="690"/>
        <v>1000000</v>
      </c>
      <c r="P383" s="7">
        <f t="shared" si="690"/>
        <v>1000000</v>
      </c>
      <c r="Q383" s="7">
        <f t="shared" si="690"/>
        <v>1000000</v>
      </c>
      <c r="R383" s="7">
        <f t="shared" si="690"/>
        <v>1000000</v>
      </c>
      <c r="S383" s="7">
        <f t="shared" si="690"/>
        <v>1000000</v>
      </c>
      <c r="T383" s="7">
        <f t="shared" si="690"/>
        <v>1000000</v>
      </c>
      <c r="U383" s="7">
        <f t="shared" si="690"/>
        <v>1000000</v>
      </c>
      <c r="V383" s="7">
        <f t="shared" si="690"/>
        <v>1000000</v>
      </c>
      <c r="W383" s="7">
        <f t="shared" si="690"/>
        <v>1000000</v>
      </c>
      <c r="X383" s="7">
        <f t="shared" si="690"/>
        <v>1000000</v>
      </c>
      <c r="Y383" s="7">
        <f t="shared" si="690"/>
        <v>1000000</v>
      </c>
      <c r="Z383" s="7">
        <f t="shared" si="690"/>
        <v>1000000</v>
      </c>
      <c r="AA383" s="7">
        <f t="shared" si="690"/>
        <v>1000000</v>
      </c>
      <c r="AB383" s="7">
        <f t="shared" si="690"/>
        <v>1000000</v>
      </c>
      <c r="AC383" s="7">
        <f t="shared" si="690"/>
        <v>1000000</v>
      </c>
      <c r="AD383" s="7">
        <f t="shared" si="690"/>
        <v>1000000</v>
      </c>
      <c r="AE383" s="7">
        <f t="shared" si="690"/>
        <v>1000000</v>
      </c>
      <c r="AF383" s="7">
        <f t="shared" si="690"/>
        <v>1000000</v>
      </c>
      <c r="AG383" s="7">
        <f t="shared" si="690"/>
        <v>1000000</v>
      </c>
      <c r="AH383" s="7">
        <f t="shared" si="690"/>
        <v>1000000</v>
      </c>
      <c r="AI383" s="7">
        <f t="shared" si="690"/>
        <v>1000000</v>
      </c>
      <c r="AJ383" s="7">
        <f t="shared" si="690"/>
        <v>1000000</v>
      </c>
      <c r="AK383" s="7">
        <f t="shared" si="690"/>
        <v>1000000</v>
      </c>
      <c r="AL383" s="7">
        <f t="shared" si="690"/>
        <v>1000000</v>
      </c>
      <c r="AM383" s="7">
        <f t="shared" si="690"/>
        <v>1000000</v>
      </c>
    </row>
    <row r="384" spans="1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3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3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3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3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3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3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4D0C-8E54-FD49-9F91-8069ED82671C}">
  <sheetPr codeName="Sheet5"/>
  <dimension ref="A1:AM525"/>
  <sheetViews>
    <sheetView tabSelected="1" zoomScale="120" zoomScaleNormal="120" workbookViewId="0">
      <pane xSplit="1" ySplit="3" topLeftCell="V368" activePane="bottomRight" state="frozen"/>
      <selection activeCell="A381" sqref="A381:XFD381"/>
      <selection pane="topRight" activeCell="A381" sqref="A381:XFD381"/>
      <selection pane="bottomLeft" activeCell="A381" sqref="A381:XFD381"/>
      <selection pane="bottomRight" activeCell="AM379" sqref="AM379"/>
    </sheetView>
  </sheetViews>
  <sheetFormatPr baseColWidth="10" defaultRowHeight="16" x14ac:dyDescent="0.2"/>
  <cols>
    <col min="1" max="1" width="39.33203125" style="2" customWidth="1"/>
    <col min="2" max="2" width="4.33203125" style="6" customWidth="1"/>
    <col min="3" max="39" width="11.83203125" style="2" customWidth="1"/>
    <col min="40" max="78" width="11.83203125" customWidth="1"/>
  </cols>
  <sheetData>
    <row r="1" spans="1:39" x14ac:dyDescent="0.2">
      <c r="B1" s="5">
        <v>0</v>
      </c>
      <c r="C1" s="2">
        <v>1</v>
      </c>
      <c r="D1" s="2">
        <f>C1+1</f>
        <v>2</v>
      </c>
      <c r="E1" s="2">
        <f t="shared" ref="E1:H3" si="0">D1+1</f>
        <v>3</v>
      </c>
      <c r="F1" s="2">
        <f t="shared" si="0"/>
        <v>4</v>
      </c>
      <c r="G1" s="2">
        <f t="shared" si="0"/>
        <v>5</v>
      </c>
      <c r="H1" s="2">
        <f t="shared" si="0"/>
        <v>6</v>
      </c>
      <c r="I1" s="2">
        <f t="shared" ref="I1:I3" si="1">H1+1</f>
        <v>7</v>
      </c>
      <c r="J1" s="2">
        <f t="shared" ref="J1:J3" si="2">I1+1</f>
        <v>8</v>
      </c>
      <c r="K1" s="2">
        <f t="shared" ref="K1:K3" si="3">J1+1</f>
        <v>9</v>
      </c>
      <c r="L1" s="2">
        <f t="shared" ref="L1:L3" si="4">K1+1</f>
        <v>10</v>
      </c>
      <c r="M1" s="2">
        <f t="shared" ref="M1:M3" si="5">L1+1</f>
        <v>11</v>
      </c>
      <c r="N1" s="2">
        <f t="shared" ref="N1:N3" si="6">M1+1</f>
        <v>12</v>
      </c>
      <c r="O1" s="2">
        <f t="shared" ref="O1:O3" si="7">N1+1</f>
        <v>13</v>
      </c>
      <c r="P1" s="2">
        <f t="shared" ref="P1:P3" si="8">O1+1</f>
        <v>14</v>
      </c>
      <c r="Q1" s="2">
        <f t="shared" ref="Q1:Q3" si="9">P1+1</f>
        <v>15</v>
      </c>
      <c r="R1" s="2">
        <f t="shared" ref="R1:R3" si="10">Q1+1</f>
        <v>16</v>
      </c>
      <c r="S1" s="2">
        <f t="shared" ref="S1:S3" si="11">R1+1</f>
        <v>17</v>
      </c>
      <c r="T1" s="2">
        <f t="shared" ref="T1:T3" si="12">S1+1</f>
        <v>18</v>
      </c>
      <c r="U1" s="2">
        <f t="shared" ref="U1:U3" si="13">T1+1</f>
        <v>19</v>
      </c>
      <c r="V1" s="2">
        <f t="shared" ref="V1:V3" si="14">U1+1</f>
        <v>20</v>
      </c>
      <c r="W1" s="2">
        <f t="shared" ref="W1:W3" si="15">V1+1</f>
        <v>21</v>
      </c>
      <c r="X1" s="2">
        <f t="shared" ref="X1:X3" si="16">W1+1</f>
        <v>22</v>
      </c>
      <c r="Y1" s="2">
        <f t="shared" ref="Y1:Y3" si="17">X1+1</f>
        <v>23</v>
      </c>
      <c r="Z1" s="2">
        <f t="shared" ref="Z1:Z3" si="18">Y1+1</f>
        <v>24</v>
      </c>
      <c r="AA1" s="2">
        <f t="shared" ref="AA1:AA3" si="19">Z1+1</f>
        <v>25</v>
      </c>
      <c r="AB1" s="2">
        <f t="shared" ref="AB1:AB3" si="20">AA1+1</f>
        <v>26</v>
      </c>
      <c r="AC1" s="2">
        <f t="shared" ref="AC1:AC3" si="21">AB1+1</f>
        <v>27</v>
      </c>
      <c r="AD1" s="2">
        <f t="shared" ref="AD1:AD3" si="22">AC1+1</f>
        <v>28</v>
      </c>
      <c r="AE1" s="2">
        <f t="shared" ref="AE1:AE3" si="23">AD1+1</f>
        <v>29</v>
      </c>
      <c r="AF1" s="2">
        <f t="shared" ref="AF1:AF3" si="24">AE1+1</f>
        <v>30</v>
      </c>
      <c r="AG1" s="2">
        <f t="shared" ref="AG1:AG3" si="25">AF1+1</f>
        <v>31</v>
      </c>
      <c r="AH1" s="2">
        <f t="shared" ref="AH1:AH3" si="26">AG1+1</f>
        <v>32</v>
      </c>
      <c r="AI1" s="2">
        <f t="shared" ref="AI1:AI3" si="27">AH1+1</f>
        <v>33</v>
      </c>
      <c r="AJ1" s="2">
        <f t="shared" ref="AJ1:AJ3" si="28">AI1+1</f>
        <v>34</v>
      </c>
      <c r="AK1" s="2">
        <f t="shared" ref="AK1:AK3" si="29">AJ1+1</f>
        <v>35</v>
      </c>
      <c r="AL1" s="2">
        <f t="shared" ref="AL1:AL3" si="30">AK1+1</f>
        <v>36</v>
      </c>
      <c r="AM1" s="2">
        <f t="shared" ref="AM1:AM3" si="31">AL1+1</f>
        <v>37</v>
      </c>
    </row>
    <row r="2" spans="1:39" x14ac:dyDescent="0.2">
      <c r="A2" s="10"/>
      <c r="B2" s="5" t="s">
        <v>6</v>
      </c>
      <c r="C2" s="2">
        <f ca="1">YEAR(TODAY())</f>
        <v>2026</v>
      </c>
      <c r="D2" s="2">
        <f ca="1">C2+1</f>
        <v>2027</v>
      </c>
      <c r="E2" s="2">
        <f t="shared" ca="1" si="0"/>
        <v>2028</v>
      </c>
      <c r="F2" s="2">
        <f t="shared" ca="1" si="0"/>
        <v>2029</v>
      </c>
      <c r="G2" s="2">
        <f t="shared" ca="1" si="0"/>
        <v>2030</v>
      </c>
      <c r="H2" s="2">
        <f t="shared" ca="1" si="0"/>
        <v>2031</v>
      </c>
      <c r="I2" s="2">
        <f t="shared" ca="1" si="1"/>
        <v>2032</v>
      </c>
      <c r="J2" s="2">
        <f t="shared" ca="1" si="2"/>
        <v>2033</v>
      </c>
      <c r="K2" s="2">
        <f t="shared" ca="1" si="3"/>
        <v>2034</v>
      </c>
      <c r="L2" s="2">
        <f t="shared" ca="1" si="4"/>
        <v>2035</v>
      </c>
      <c r="M2" s="2">
        <f t="shared" ca="1" si="5"/>
        <v>2036</v>
      </c>
      <c r="N2" s="2">
        <f t="shared" ca="1" si="6"/>
        <v>2037</v>
      </c>
      <c r="O2" s="2">
        <f t="shared" ca="1" si="7"/>
        <v>2038</v>
      </c>
      <c r="P2" s="2">
        <f t="shared" ca="1" si="8"/>
        <v>2039</v>
      </c>
      <c r="Q2" s="2">
        <f t="shared" ca="1" si="9"/>
        <v>2040</v>
      </c>
      <c r="R2" s="2">
        <f t="shared" ca="1" si="10"/>
        <v>2041</v>
      </c>
      <c r="S2" s="2">
        <f t="shared" ca="1" si="11"/>
        <v>2042</v>
      </c>
      <c r="T2" s="2">
        <f t="shared" ca="1" si="12"/>
        <v>2043</v>
      </c>
      <c r="U2" s="2">
        <f t="shared" ca="1" si="13"/>
        <v>2044</v>
      </c>
      <c r="V2" s="2">
        <f t="shared" ca="1" si="14"/>
        <v>2045</v>
      </c>
      <c r="W2" s="2">
        <f t="shared" ca="1" si="15"/>
        <v>2046</v>
      </c>
      <c r="X2" s="2">
        <f t="shared" ca="1" si="16"/>
        <v>2047</v>
      </c>
      <c r="Y2" s="2">
        <f t="shared" ca="1" si="17"/>
        <v>2048</v>
      </c>
      <c r="Z2" s="2">
        <f t="shared" ca="1" si="18"/>
        <v>2049</v>
      </c>
      <c r="AA2" s="2">
        <f t="shared" ca="1" si="19"/>
        <v>2050</v>
      </c>
      <c r="AB2" s="2">
        <f t="shared" ca="1" si="20"/>
        <v>2051</v>
      </c>
      <c r="AC2" s="2">
        <f t="shared" ca="1" si="21"/>
        <v>2052</v>
      </c>
      <c r="AD2" s="2">
        <f t="shared" ca="1" si="22"/>
        <v>2053</v>
      </c>
      <c r="AE2" s="2">
        <f t="shared" ca="1" si="23"/>
        <v>2054</v>
      </c>
      <c r="AF2" s="2">
        <f t="shared" ca="1" si="24"/>
        <v>2055</v>
      </c>
      <c r="AG2" s="2">
        <f t="shared" ca="1" si="25"/>
        <v>2056</v>
      </c>
      <c r="AH2" s="2">
        <f t="shared" ca="1" si="26"/>
        <v>2057</v>
      </c>
      <c r="AI2" s="2">
        <f t="shared" ca="1" si="27"/>
        <v>2058</v>
      </c>
      <c r="AJ2" s="2">
        <f t="shared" ca="1" si="28"/>
        <v>2059</v>
      </c>
      <c r="AK2" s="2">
        <f t="shared" ca="1" si="29"/>
        <v>2060</v>
      </c>
      <c r="AL2" s="2">
        <f t="shared" ca="1" si="30"/>
        <v>2061</v>
      </c>
      <c r="AM2" s="2">
        <f t="shared" ca="1" si="31"/>
        <v>2062</v>
      </c>
    </row>
    <row r="3" spans="1:39" x14ac:dyDescent="0.2">
      <c r="A3" s="31"/>
      <c r="B3" s="32">
        <v>51</v>
      </c>
      <c r="C3" s="2">
        <f>Inputs!B4</f>
        <v>48</v>
      </c>
      <c r="D3" s="2">
        <f>C3+1</f>
        <v>49</v>
      </c>
      <c r="E3" s="2">
        <f t="shared" si="0"/>
        <v>50</v>
      </c>
      <c r="F3" s="2">
        <f t="shared" si="0"/>
        <v>51</v>
      </c>
      <c r="G3" s="2">
        <f t="shared" si="0"/>
        <v>52</v>
      </c>
      <c r="H3" s="2">
        <f t="shared" si="0"/>
        <v>53</v>
      </c>
      <c r="I3" s="2">
        <f t="shared" si="1"/>
        <v>54</v>
      </c>
      <c r="J3" s="2">
        <f t="shared" si="2"/>
        <v>55</v>
      </c>
      <c r="K3" s="2">
        <f t="shared" si="3"/>
        <v>56</v>
      </c>
      <c r="L3" s="2">
        <f t="shared" si="4"/>
        <v>57</v>
      </c>
      <c r="M3" s="2">
        <f t="shared" si="5"/>
        <v>58</v>
      </c>
      <c r="N3" s="2">
        <f t="shared" si="6"/>
        <v>59</v>
      </c>
      <c r="O3" s="2">
        <f t="shared" si="7"/>
        <v>60</v>
      </c>
      <c r="P3" s="2">
        <f t="shared" si="8"/>
        <v>61</v>
      </c>
      <c r="Q3" s="2">
        <f t="shared" si="9"/>
        <v>62</v>
      </c>
      <c r="R3" s="2">
        <f t="shared" si="10"/>
        <v>63</v>
      </c>
      <c r="S3" s="2">
        <f t="shared" si="11"/>
        <v>64</v>
      </c>
      <c r="T3" s="2">
        <f t="shared" si="12"/>
        <v>65</v>
      </c>
      <c r="U3" s="2">
        <f t="shared" si="13"/>
        <v>66</v>
      </c>
      <c r="V3" s="2">
        <f t="shared" si="14"/>
        <v>67</v>
      </c>
      <c r="W3" s="2">
        <f t="shared" si="15"/>
        <v>68</v>
      </c>
      <c r="X3" s="2">
        <f t="shared" si="16"/>
        <v>69</v>
      </c>
      <c r="Y3" s="2">
        <f t="shared" si="17"/>
        <v>70</v>
      </c>
      <c r="Z3" s="2">
        <f t="shared" si="18"/>
        <v>71</v>
      </c>
      <c r="AA3" s="2">
        <f t="shared" si="19"/>
        <v>72</v>
      </c>
      <c r="AB3" s="2">
        <f t="shared" si="20"/>
        <v>73</v>
      </c>
      <c r="AC3" s="2">
        <f t="shared" si="21"/>
        <v>74</v>
      </c>
      <c r="AD3" s="2">
        <f t="shared" si="22"/>
        <v>75</v>
      </c>
      <c r="AE3" s="2">
        <f t="shared" si="23"/>
        <v>76</v>
      </c>
      <c r="AF3" s="2">
        <f t="shared" si="24"/>
        <v>77</v>
      </c>
      <c r="AG3" s="2">
        <f t="shared" si="25"/>
        <v>78</v>
      </c>
      <c r="AH3" s="2">
        <f t="shared" si="26"/>
        <v>79</v>
      </c>
      <c r="AI3" s="2">
        <f t="shared" si="27"/>
        <v>80</v>
      </c>
      <c r="AJ3" s="2">
        <f t="shared" si="28"/>
        <v>81</v>
      </c>
      <c r="AK3" s="2">
        <f t="shared" si="29"/>
        <v>82</v>
      </c>
      <c r="AL3" s="2">
        <f t="shared" si="30"/>
        <v>83</v>
      </c>
      <c r="AM3" s="2">
        <f t="shared" si="31"/>
        <v>84</v>
      </c>
    </row>
    <row r="4" spans="1:39" ht="19" x14ac:dyDescent="0.25">
      <c r="A4" s="12" t="s">
        <v>17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">
      <c r="A5" s="4" t="s">
        <v>47</v>
      </c>
      <c r="B5" s="8"/>
      <c r="C5" s="7">
        <f ca="1">IF(AND(Inputs!$B$19&gt;C3,$B$3&gt;C3),Inputs!$B$6*(1+sincr)^B1,0)*ProRate</f>
        <v>66666.666666666672</v>
      </c>
      <c r="D5" s="7">
        <f>IF(AND(Inputs!$B$19&gt;D3,$B$3&gt;D3),Inputs!$B$6*(1+sincr)^C1,0)</f>
        <v>82400</v>
      </c>
      <c r="E5" s="7">
        <f>IF(AND(Inputs!$B$19&gt;E3,$B$3&gt;E3),Inputs!$B$6*(1+sincr)^D1,0)</f>
        <v>84872</v>
      </c>
      <c r="F5" s="7">
        <f>IF(AND(Inputs!$B$19&gt;F3,$B$3&gt;F3),Inputs!$B$6*(1+sincr)^E1,0)</f>
        <v>0</v>
      </c>
      <c r="G5" s="7">
        <f>IF(AND(Inputs!$B$19&gt;G3,$B$3&gt;G3),Inputs!$B$6*(1+sincr)^F1,0)</f>
        <v>0</v>
      </c>
      <c r="H5" s="7">
        <f>IF(AND(Inputs!$B$19&gt;H3,$B$3&gt;H3),Inputs!$B$6*(1+sincr)^G1,0)</f>
        <v>0</v>
      </c>
      <c r="I5" s="7">
        <f>IF(AND(Inputs!$B$19&gt;I3,$B$3&gt;I3),Inputs!$B$6*(1+sincr)^H1,0)</f>
        <v>0</v>
      </c>
      <c r="J5" s="7">
        <f>IF(AND(Inputs!$B$19&gt;J3,$B$3&gt;J3),Inputs!$B$6*(1+sincr)^I1,0)</f>
        <v>0</v>
      </c>
      <c r="K5" s="7">
        <f>IF(AND(Inputs!$B$19&gt;K3,$B$3&gt;K3),Inputs!$B$6*(1+sincr)^J1,0)</f>
        <v>0</v>
      </c>
      <c r="L5" s="7">
        <f>IF(AND(Inputs!$B$19&gt;L3,$B$3&gt;L3),Inputs!$B$6*(1+sincr)^K1,0)</f>
        <v>0</v>
      </c>
      <c r="M5" s="7">
        <f>IF(AND(Inputs!$B$19&gt;M3,$B$3&gt;M3),Inputs!$B$6*(1+sincr)^L1,0)</f>
        <v>0</v>
      </c>
      <c r="N5" s="7">
        <f>IF(AND(Inputs!$B$19&gt;N3,$B$3&gt;N3),Inputs!$B$6*(1+sincr)^M1,0)</f>
        <v>0</v>
      </c>
      <c r="O5" s="7">
        <f>IF(AND(Inputs!$B$19&gt;O3,$B$3&gt;O3),Inputs!$B$6*(1+sincr)^N1,0)</f>
        <v>0</v>
      </c>
      <c r="P5" s="7">
        <f>IF(AND(Inputs!$B$19&gt;P3,$B$3&gt;P3),Inputs!$B$6*(1+sincr)^O1,0)</f>
        <v>0</v>
      </c>
      <c r="Q5" s="7">
        <f>IF(AND(Inputs!$B$19&gt;Q3,$B$3&gt;Q3),Inputs!$B$6*(1+sincr)^P1,0)</f>
        <v>0</v>
      </c>
      <c r="R5" s="7">
        <f>IF(AND(Inputs!$B$19&gt;R3,$B$3&gt;R3),Inputs!$B$6*(1+sincr)^Q1,0)</f>
        <v>0</v>
      </c>
      <c r="S5" s="7">
        <f>IF(AND(Inputs!$B$19&gt;S3,$B$3&gt;S3),Inputs!$B$6*(1+sincr)^R1,0)</f>
        <v>0</v>
      </c>
      <c r="T5" s="7">
        <f>IF(AND(Inputs!$B$19&gt;T3,$B$3&gt;T3),Inputs!$B$6*(1+sincr)^S1,0)</f>
        <v>0</v>
      </c>
      <c r="U5" s="7">
        <f>IF(AND(Inputs!$B$19&gt;U3,$B$3&gt;U3),Inputs!$B$6*(1+sincr)^T1,0)</f>
        <v>0</v>
      </c>
      <c r="V5" s="7">
        <f>IF(AND(Inputs!$B$19&gt;V3,$B$3&gt;V3),Inputs!$B$6*(1+sincr)^U1,0)</f>
        <v>0</v>
      </c>
      <c r="W5" s="7">
        <f>IF(AND(Inputs!$B$19&gt;W3,$B$3&gt;W3),Inputs!$B$6*(1+sincr)^V1,0)</f>
        <v>0</v>
      </c>
      <c r="X5" s="7">
        <f>IF(AND(Inputs!$B$19&gt;X3,$B$3&gt;X3),Inputs!$B$6*(1+sincr)^W1,0)</f>
        <v>0</v>
      </c>
      <c r="Y5" s="7">
        <f>IF(AND(Inputs!$B$19&gt;Y3,$B$3&gt;Y3),Inputs!$B$6*(1+sincr)^X1,0)</f>
        <v>0</v>
      </c>
      <c r="Z5" s="7">
        <f>IF(AND(Inputs!$B$19&gt;Z3,$B$3&gt;Z3),Inputs!$B$6*(1+sincr)^Y1,0)</f>
        <v>0</v>
      </c>
      <c r="AA5" s="7">
        <f>IF(AND(Inputs!$B$19&gt;AA3,$B$3&gt;AA3),Inputs!$B$6*(1+sincr)^Z1,0)</f>
        <v>0</v>
      </c>
      <c r="AB5" s="7">
        <f>IF(AND(Inputs!$B$19&gt;AB3,$B$3&gt;AB3),Inputs!$B$6*(1+sincr)^AA1,0)</f>
        <v>0</v>
      </c>
      <c r="AC5" s="7">
        <f>IF(AND(Inputs!$B$19&gt;AC3,$B$3&gt;AC3),Inputs!$B$6*(1+sincr)^AB1,0)</f>
        <v>0</v>
      </c>
      <c r="AD5" s="7">
        <f>IF(AND(Inputs!$B$19&gt;AD3,$B$3&gt;AD3),Inputs!$B$6*(1+sincr)^AC1,0)</f>
        <v>0</v>
      </c>
      <c r="AE5" s="7">
        <f>IF(AND(Inputs!$B$19&gt;AE3,$B$3&gt;AE3),Inputs!$B$6*(1+sincr)^AD1,0)</f>
        <v>0</v>
      </c>
      <c r="AF5" s="7">
        <f>IF(AND(Inputs!$B$19&gt;AF3,$B$3&gt;AF3),Inputs!$B$6*(1+sincr)^AE1,0)</f>
        <v>0</v>
      </c>
      <c r="AG5" s="7">
        <f>IF(AND(Inputs!$B$19&gt;AG3,$B$3&gt;AG3),Inputs!$B$6*(1+sincr)^AF1,0)</f>
        <v>0</v>
      </c>
      <c r="AH5" s="7">
        <f>IF(AND(Inputs!$B$19&gt;AH3,$B$3&gt;AH3),Inputs!$B$6*(1+sincr)^AG1,0)</f>
        <v>0</v>
      </c>
      <c r="AI5" s="7">
        <f>IF(AND(Inputs!$B$19&gt;AI3,$B$3&gt;AI3),Inputs!$B$6*(1+sincr)^AH1,0)</f>
        <v>0</v>
      </c>
      <c r="AJ5" s="7">
        <f>IF(AND(Inputs!$B$19&gt;AJ3,$B$3&gt;AJ3),Inputs!$B$6*(1+sincr)^AI1,0)</f>
        <v>0</v>
      </c>
      <c r="AK5" s="7">
        <f>IF(AND(Inputs!$B$19&gt;AK3,$B$3&gt;AK3),Inputs!$B$6*(1+sincr)^AJ1,0)</f>
        <v>0</v>
      </c>
      <c r="AL5" s="7">
        <f>IF(AND(Inputs!$B$19&gt;AL3,$B$3&gt;AL3),Inputs!$B$6*(1+sincr)^AK1,0)</f>
        <v>0</v>
      </c>
      <c r="AM5" s="7">
        <f>IF(AND(Inputs!$B$19&gt;AM3,$B$3&gt;AM3),Inputs!$B$6*(1+sincr)^AL1,0)</f>
        <v>0</v>
      </c>
    </row>
    <row r="6" spans="1:39" x14ac:dyDescent="0.2">
      <c r="A6" s="4" t="s">
        <v>14</v>
      </c>
      <c r="B6" s="8"/>
      <c r="C6" s="7">
        <f ca="1">IF(C$3&lt;=Inputs!$B$120,Inputs!$B$119,0)*(1+inf)^B$1*ProRate</f>
        <v>1666.6666666666667</v>
      </c>
      <c r="D6" s="7">
        <f>IF(D$3&lt;=Inputs!$B$120,Inputs!$B$119,0)*(1+inf)^C$1</f>
        <v>2050</v>
      </c>
      <c r="E6" s="7">
        <f>IF(E$3&lt;=Inputs!$B$120,Inputs!$B$119,0)*(1+inf)^D$1</f>
        <v>2101.25</v>
      </c>
      <c r="F6" s="7">
        <f>IF(F$3&lt;=Inputs!$B$120,Inputs!$B$119,0)*(1+inf)^E$1</f>
        <v>2153.7812499999995</v>
      </c>
      <c r="G6" s="7">
        <f>IF(G$3&lt;=Inputs!$B$120,Inputs!$B$119,0)*(1+inf)^F$1</f>
        <v>2207.6257812499994</v>
      </c>
      <c r="H6" s="7">
        <f>IF(H$3&lt;=Inputs!$B$120,Inputs!$B$119,0)*(1+inf)^G$1</f>
        <v>2262.8164257812491</v>
      </c>
      <c r="I6" s="7">
        <f>IF(I$3&lt;=Inputs!$B$120,Inputs!$B$119,0)*(1+inf)^H$1</f>
        <v>2319.3868364257805</v>
      </c>
      <c r="J6" s="7">
        <f>IF(J$3&lt;=Inputs!$B$120,Inputs!$B$119,0)*(1+inf)^I$1</f>
        <v>2377.3715073364251</v>
      </c>
      <c r="K6" s="7">
        <f>IF(K$3&lt;=Inputs!$B$120,Inputs!$B$119,0)*(1+inf)^J$1</f>
        <v>2436.8057950198354</v>
      </c>
      <c r="L6" s="7">
        <f>IF(L$3&lt;=Inputs!$B$120,Inputs!$B$119,0)*(1+inf)^K$1</f>
        <v>2497.7259398953311</v>
      </c>
      <c r="M6" s="7">
        <f>IF(M$3&lt;=Inputs!$B$120,Inputs!$B$119,0)*(1+inf)^L$1</f>
        <v>2560.169088392714</v>
      </c>
      <c r="N6" s="7">
        <f>IF(N$3&lt;=Inputs!$B$120,Inputs!$B$119,0)*(1+inf)^M$1</f>
        <v>0</v>
      </c>
      <c r="O6" s="7">
        <f>IF(O$3&lt;=Inputs!$B$120,Inputs!$B$119,0)*(1+inf)^N$1</f>
        <v>0</v>
      </c>
      <c r="P6" s="7">
        <f>IF(P$3&lt;=Inputs!$B$120,Inputs!$B$119,0)*(1+inf)^O$1</f>
        <v>0</v>
      </c>
      <c r="Q6" s="7">
        <f>IF(Q$3&lt;=Inputs!$B$120,Inputs!$B$119,0)*(1+inf)^P$1</f>
        <v>0</v>
      </c>
      <c r="R6" s="7">
        <f>IF(R$3&lt;=Inputs!$B$120,Inputs!$B$119,0)*(1+inf)^Q$1</f>
        <v>0</v>
      </c>
      <c r="S6" s="7">
        <f>IF(S$3&lt;=Inputs!$B$120,Inputs!$B$119,0)*(1+inf)^R$1</f>
        <v>0</v>
      </c>
      <c r="T6" s="7">
        <f>IF(T$3&lt;=Inputs!$B$120,Inputs!$B$119,0)*(1+inf)^S$1</f>
        <v>0</v>
      </c>
      <c r="U6" s="7">
        <f>IF(U$3&lt;=Inputs!$B$120,Inputs!$B$119,0)*(1+inf)^T$1</f>
        <v>0</v>
      </c>
      <c r="V6" s="7">
        <f>IF(V$3&lt;=Inputs!$B$120,Inputs!$B$119,0)*(1+inf)^U$1</f>
        <v>0</v>
      </c>
      <c r="W6" s="7">
        <f>IF(W$3&lt;=Inputs!$B$120,Inputs!$B$119,0)*(1+inf)^V$1</f>
        <v>0</v>
      </c>
      <c r="X6" s="7">
        <f>IF(X$3&lt;=Inputs!$B$120,Inputs!$B$119,0)*(1+inf)^W$1</f>
        <v>0</v>
      </c>
      <c r="Y6" s="7">
        <f>IF(Y$3&lt;=Inputs!$B$120,Inputs!$B$119,0)*(1+inf)^X$1</f>
        <v>0</v>
      </c>
      <c r="Z6" s="7">
        <f>IF(Z$3&lt;=Inputs!$B$120,Inputs!$B$119,0)*(1+inf)^Y$1</f>
        <v>0</v>
      </c>
      <c r="AA6" s="7">
        <f>IF(AA$3&lt;=Inputs!$B$120,Inputs!$B$119,0)*(1+inf)^Z$1</f>
        <v>0</v>
      </c>
      <c r="AB6" s="7">
        <f>IF(AB$3&lt;=Inputs!$B$120,Inputs!$B$119,0)*(1+inf)^AA$1</f>
        <v>0</v>
      </c>
      <c r="AC6" s="7">
        <f>IF(AC$3&lt;=Inputs!$B$120,Inputs!$B$119,0)*(1+inf)^AB$1</f>
        <v>0</v>
      </c>
      <c r="AD6" s="7">
        <f>IF(AD$3&lt;=Inputs!$B$120,Inputs!$B$119,0)*(1+inf)^AC$1</f>
        <v>0</v>
      </c>
      <c r="AE6" s="7">
        <f>IF(AE$3&lt;=Inputs!$B$120,Inputs!$B$119,0)*(1+inf)^AD$1</f>
        <v>0</v>
      </c>
      <c r="AF6" s="7">
        <f>IF(AF$3&lt;=Inputs!$B$120,Inputs!$B$119,0)*(1+inf)^AE$1</f>
        <v>0</v>
      </c>
      <c r="AG6" s="7">
        <f>IF(AG$3&lt;=Inputs!$B$120,Inputs!$B$119,0)*(1+inf)^AF$1</f>
        <v>0</v>
      </c>
      <c r="AH6" s="7">
        <f>IF(AH$3&lt;=Inputs!$B$120,Inputs!$B$119,0)*(1+inf)^AG$1</f>
        <v>0</v>
      </c>
      <c r="AI6" s="7">
        <f>IF(AI$3&lt;=Inputs!$B$120,Inputs!$B$119,0)*(1+inf)^AH$1</f>
        <v>0</v>
      </c>
      <c r="AJ6" s="7">
        <f>IF(AJ$3&lt;=Inputs!$B$120,Inputs!$B$119,0)*(1+inf)^AI$1</f>
        <v>0</v>
      </c>
      <c r="AK6" s="7">
        <f>IF(AK$3&lt;=Inputs!$B$120,Inputs!$B$119,0)*(1+inf)^AJ$1</f>
        <v>0</v>
      </c>
      <c r="AL6" s="7">
        <f>IF(AL$3&lt;=Inputs!$B$120,Inputs!$B$119,0)*(1+inf)^AK$1</f>
        <v>0</v>
      </c>
      <c r="AM6" s="7">
        <f>IF(AM$3&lt;=Inputs!$B$120,Inputs!$B$119,0)*(1+inf)^AL$1</f>
        <v>0</v>
      </c>
    </row>
    <row r="7" spans="1:39" x14ac:dyDescent="0.2">
      <c r="A7" s="4" t="s">
        <v>64</v>
      </c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">
      <c r="A8" s="3" t="str">
        <f>TEXT(Inputs!$B$60,"")</f>
        <v>Sliema</v>
      </c>
      <c r="C8" s="7">
        <f ca="1">Inputs!B113*ProRate</f>
        <v>10000</v>
      </c>
      <c r="D8" s="7">
        <f t="shared" ref="D8:S12" ca="1" si="32">C8*(1+rinc)</f>
        <v>10300</v>
      </c>
      <c r="E8" s="7">
        <f t="shared" ca="1" si="32"/>
        <v>10609</v>
      </c>
      <c r="F8" s="7">
        <f t="shared" ca="1" si="32"/>
        <v>10927.27</v>
      </c>
      <c r="G8" s="7">
        <f t="shared" ca="1" si="32"/>
        <v>11255.088100000001</v>
      </c>
      <c r="H8" s="7">
        <f t="shared" ca="1" si="32"/>
        <v>11592.740743</v>
      </c>
      <c r="I8" s="7">
        <f t="shared" ca="1" si="32"/>
        <v>11940.52296529</v>
      </c>
      <c r="J8" s="7">
        <f t="shared" ca="1" si="32"/>
        <v>12298.7386542487</v>
      </c>
      <c r="K8" s="7">
        <f t="shared" ca="1" si="32"/>
        <v>12667.700813876161</v>
      </c>
      <c r="L8" s="7">
        <f t="shared" ca="1" si="32"/>
        <v>13047.731838292446</v>
      </c>
      <c r="M8" s="7">
        <f t="shared" ca="1" si="32"/>
        <v>13439.163793441219</v>
      </c>
      <c r="N8" s="7">
        <f t="shared" ca="1" si="32"/>
        <v>13842.338707244457</v>
      </c>
      <c r="O8" s="7">
        <f t="shared" ca="1" si="32"/>
        <v>14257.60886846179</v>
      </c>
      <c r="P8" s="7">
        <f t="shared" ca="1" si="32"/>
        <v>14685.337134515645</v>
      </c>
      <c r="Q8" s="7">
        <f t="shared" ca="1" si="32"/>
        <v>15125.897248551115</v>
      </c>
      <c r="R8" s="7">
        <f t="shared" ca="1" si="32"/>
        <v>15579.67416600765</v>
      </c>
      <c r="S8" s="7">
        <f t="shared" ca="1" si="32"/>
        <v>16047.06439098788</v>
      </c>
      <c r="T8" s="7">
        <f t="shared" ref="T8:AI12" ca="1" si="33">S8*(1+rinc)</f>
        <v>16528.476322717517</v>
      </c>
      <c r="U8" s="7">
        <f t="shared" ca="1" si="33"/>
        <v>17024.330612399044</v>
      </c>
      <c r="V8" s="7">
        <f t="shared" ca="1" si="33"/>
        <v>17535.060530771018</v>
      </c>
      <c r="W8" s="7">
        <f t="shared" ca="1" si="33"/>
        <v>18061.11234669415</v>
      </c>
      <c r="X8" s="7">
        <f t="shared" ca="1" si="33"/>
        <v>18602.945717094975</v>
      </c>
      <c r="Y8" s="7">
        <f t="shared" ca="1" si="33"/>
        <v>19161.034088607827</v>
      </c>
      <c r="Z8" s="7">
        <f t="shared" ca="1" si="33"/>
        <v>19735.865111266063</v>
      </c>
      <c r="AA8" s="7">
        <f t="shared" ca="1" si="33"/>
        <v>20327.941064604045</v>
      </c>
      <c r="AB8" s="7">
        <f t="shared" ca="1" si="33"/>
        <v>20937.779296542169</v>
      </c>
      <c r="AC8" s="7">
        <f t="shared" ca="1" si="33"/>
        <v>21565.912675438434</v>
      </c>
      <c r="AD8" s="7">
        <f t="shared" ca="1" si="33"/>
        <v>22212.890055701588</v>
      </c>
      <c r="AE8" s="7">
        <f t="shared" ca="1" si="33"/>
        <v>22879.276757372634</v>
      </c>
      <c r="AF8" s="7">
        <f t="shared" ca="1" si="33"/>
        <v>23565.655060093814</v>
      </c>
      <c r="AG8" s="7">
        <f t="shared" ca="1" si="33"/>
        <v>24272.624711896628</v>
      </c>
      <c r="AH8" s="7">
        <f t="shared" ca="1" si="33"/>
        <v>25000.803453253528</v>
      </c>
      <c r="AI8" s="7">
        <f t="shared" ca="1" si="33"/>
        <v>25750.827556851134</v>
      </c>
      <c r="AJ8" s="7">
        <f t="shared" ref="AJ8:AM12" ca="1" si="34">AI8*(1+rinc)</f>
        <v>26523.35238355667</v>
      </c>
      <c r="AK8" s="7">
        <f t="shared" ca="1" si="34"/>
        <v>27319.052955063373</v>
      </c>
      <c r="AL8" s="7">
        <f t="shared" ca="1" si="34"/>
        <v>28138.624543715276</v>
      </c>
      <c r="AM8" s="7">
        <f t="shared" ca="1" si="34"/>
        <v>28982.783280026735</v>
      </c>
    </row>
    <row r="9" spans="1:39" x14ac:dyDescent="0.2">
      <c r="A9" s="3" t="str">
        <f>TEXT(Inputs!$B$65,"")</f>
        <v>Gzira</v>
      </c>
      <c r="C9" s="7">
        <f ca="1">Inputs!B114*ProRate</f>
        <v>8333.3333333333339</v>
      </c>
      <c r="D9" s="7">
        <f t="shared" ca="1" si="32"/>
        <v>8583.3333333333339</v>
      </c>
      <c r="E9" s="7">
        <f t="shared" ca="1" si="32"/>
        <v>8840.8333333333339</v>
      </c>
      <c r="F9" s="7">
        <f t="shared" ca="1" si="32"/>
        <v>9106.0583333333343</v>
      </c>
      <c r="G9" s="7">
        <f t="shared" ca="1" si="32"/>
        <v>9379.240083333334</v>
      </c>
      <c r="H9" s="7">
        <f t="shared" ca="1" si="32"/>
        <v>9660.6172858333339</v>
      </c>
      <c r="I9" s="7">
        <f t="shared" ca="1" si="32"/>
        <v>9950.4358044083347</v>
      </c>
      <c r="J9" s="7">
        <f t="shared" ca="1" si="32"/>
        <v>10248.948878540585</v>
      </c>
      <c r="K9" s="7">
        <f t="shared" ca="1" si="32"/>
        <v>10556.417344896803</v>
      </c>
      <c r="L9" s="7">
        <f t="shared" ca="1" si="32"/>
        <v>10873.109865243707</v>
      </c>
      <c r="M9" s="7">
        <f t="shared" ca="1" si="32"/>
        <v>11199.303161201018</v>
      </c>
      <c r="N9" s="7">
        <f t="shared" ca="1" si="32"/>
        <v>11535.28225603705</v>
      </c>
      <c r="O9" s="7">
        <f t="shared" ca="1" si="32"/>
        <v>11881.340723718162</v>
      </c>
      <c r="P9" s="7">
        <f t="shared" ca="1" si="32"/>
        <v>12237.780945429708</v>
      </c>
      <c r="Q9" s="7">
        <f t="shared" ca="1" si="32"/>
        <v>12604.914373792599</v>
      </c>
      <c r="R9" s="7">
        <f t="shared" ca="1" si="32"/>
        <v>12983.061805006377</v>
      </c>
      <c r="S9" s="7">
        <f t="shared" ca="1" si="32"/>
        <v>13372.553659156569</v>
      </c>
      <c r="T9" s="7">
        <f t="shared" ca="1" si="33"/>
        <v>13773.730268931266</v>
      </c>
      <c r="U9" s="7">
        <f t="shared" ca="1" si="33"/>
        <v>14186.942176999204</v>
      </c>
      <c r="V9" s="7">
        <f t="shared" ca="1" si="33"/>
        <v>14612.550442309181</v>
      </c>
      <c r="W9" s="7">
        <f t="shared" ca="1" si="33"/>
        <v>15050.926955578456</v>
      </c>
      <c r="X9" s="7">
        <f t="shared" ca="1" si="33"/>
        <v>15502.454764245809</v>
      </c>
      <c r="Y9" s="7">
        <f t="shared" ca="1" si="33"/>
        <v>15967.528407173184</v>
      </c>
      <c r="Z9" s="7">
        <f t="shared" ca="1" si="33"/>
        <v>16446.55425938838</v>
      </c>
      <c r="AA9" s="7">
        <f t="shared" ca="1" si="33"/>
        <v>16939.950887170031</v>
      </c>
      <c r="AB9" s="7">
        <f t="shared" ca="1" si="33"/>
        <v>17448.149413785133</v>
      </c>
      <c r="AC9" s="7">
        <f t="shared" ca="1" si="33"/>
        <v>17971.593896198687</v>
      </c>
      <c r="AD9" s="7">
        <f t="shared" ca="1" si="33"/>
        <v>18510.741713084648</v>
      </c>
      <c r="AE9" s="7">
        <f t="shared" ca="1" si="33"/>
        <v>19066.063964477187</v>
      </c>
      <c r="AF9" s="7">
        <f t="shared" ca="1" si="33"/>
        <v>19638.045883411502</v>
      </c>
      <c r="AG9" s="7">
        <f t="shared" ca="1" si="33"/>
        <v>20227.187259913848</v>
      </c>
      <c r="AH9" s="7">
        <f t="shared" ca="1" si="33"/>
        <v>20834.002877711264</v>
      </c>
      <c r="AI9" s="7">
        <f t="shared" ca="1" si="33"/>
        <v>21459.022964042604</v>
      </c>
      <c r="AJ9" s="7">
        <f t="shared" ca="1" si="34"/>
        <v>22102.793652963883</v>
      </c>
      <c r="AK9" s="7">
        <f t="shared" ca="1" si="34"/>
        <v>22765.877462552799</v>
      </c>
      <c r="AL9" s="7">
        <f t="shared" ca="1" si="34"/>
        <v>23448.853786429383</v>
      </c>
      <c r="AM9" s="7">
        <f t="shared" ca="1" si="34"/>
        <v>24152.319400022265</v>
      </c>
    </row>
    <row r="10" spans="1:39" x14ac:dyDescent="0.2">
      <c r="A10" s="3" t="str">
        <f>TEXT(Inputs!$B$70,"")</f>
        <v>Qormi</v>
      </c>
      <c r="C10" s="7">
        <f ca="1">Inputs!B115*ProRate</f>
        <v>6666.666666666667</v>
      </c>
      <c r="D10" s="7">
        <f t="shared" ca="1" si="32"/>
        <v>6866.666666666667</v>
      </c>
      <c r="E10" s="7">
        <f t="shared" ca="1" si="32"/>
        <v>7072.666666666667</v>
      </c>
      <c r="F10" s="7">
        <f t="shared" ca="1" si="32"/>
        <v>7284.8466666666673</v>
      </c>
      <c r="G10" s="7">
        <f t="shared" ca="1" si="32"/>
        <v>7503.3920666666672</v>
      </c>
      <c r="H10" s="7">
        <f t="shared" ca="1" si="32"/>
        <v>7728.4938286666675</v>
      </c>
      <c r="I10" s="7">
        <f t="shared" ca="1" si="32"/>
        <v>7960.3486435266677</v>
      </c>
      <c r="J10" s="7">
        <f t="shared" ca="1" si="32"/>
        <v>8199.1591028324674</v>
      </c>
      <c r="K10" s="7">
        <f t="shared" ca="1" si="32"/>
        <v>8445.1338759174414</v>
      </c>
      <c r="L10" s="7">
        <f t="shared" ca="1" si="32"/>
        <v>8698.4878921949658</v>
      </c>
      <c r="M10" s="7">
        <f t="shared" ca="1" si="32"/>
        <v>8959.4425289608153</v>
      </c>
      <c r="N10" s="7">
        <f t="shared" ca="1" si="32"/>
        <v>9228.2258048296408</v>
      </c>
      <c r="O10" s="7">
        <f t="shared" ca="1" si="32"/>
        <v>9505.0725789745302</v>
      </c>
      <c r="P10" s="7">
        <f t="shared" ca="1" si="32"/>
        <v>9790.2247563437668</v>
      </c>
      <c r="Q10" s="7">
        <f t="shared" ca="1" si="32"/>
        <v>10083.931499034081</v>
      </c>
      <c r="R10" s="7">
        <f t="shared" ca="1" si="32"/>
        <v>10386.449444005104</v>
      </c>
      <c r="S10" s="7">
        <f t="shared" ca="1" si="32"/>
        <v>10698.042927325258</v>
      </c>
      <c r="T10" s="7">
        <f t="shared" ca="1" si="33"/>
        <v>11018.984215145016</v>
      </c>
      <c r="U10" s="7">
        <f t="shared" ca="1" si="33"/>
        <v>11349.553741599366</v>
      </c>
      <c r="V10" s="7">
        <f t="shared" ca="1" si="33"/>
        <v>11690.040353847347</v>
      </c>
      <c r="W10" s="7">
        <f t="shared" ca="1" si="33"/>
        <v>12040.741564462769</v>
      </c>
      <c r="X10" s="7">
        <f t="shared" ca="1" si="33"/>
        <v>12401.963811396652</v>
      </c>
      <c r="Y10" s="7">
        <f t="shared" ca="1" si="33"/>
        <v>12774.022725738552</v>
      </c>
      <c r="Z10" s="7">
        <f t="shared" ca="1" si="33"/>
        <v>13157.243407510708</v>
      </c>
      <c r="AA10" s="7">
        <f t="shared" ca="1" si="33"/>
        <v>13551.960709736029</v>
      </c>
      <c r="AB10" s="7">
        <f t="shared" ca="1" si="33"/>
        <v>13958.519531028111</v>
      </c>
      <c r="AC10" s="7">
        <f t="shared" ca="1" si="33"/>
        <v>14377.275116958954</v>
      </c>
      <c r="AD10" s="7">
        <f t="shared" ca="1" si="33"/>
        <v>14808.593370467723</v>
      </c>
      <c r="AE10" s="7">
        <f t="shared" ca="1" si="33"/>
        <v>15252.851171581755</v>
      </c>
      <c r="AF10" s="7">
        <f t="shared" ca="1" si="33"/>
        <v>15710.436706729208</v>
      </c>
      <c r="AG10" s="7">
        <f t="shared" ca="1" si="33"/>
        <v>16181.749807931084</v>
      </c>
      <c r="AH10" s="7">
        <f t="shared" ca="1" si="33"/>
        <v>16667.202302169018</v>
      </c>
      <c r="AI10" s="7">
        <f t="shared" ca="1" si="33"/>
        <v>17167.218371234088</v>
      </c>
      <c r="AJ10" s="7">
        <f t="shared" ca="1" si="34"/>
        <v>17682.23492237111</v>
      </c>
      <c r="AK10" s="7">
        <f t="shared" ca="1" si="34"/>
        <v>18212.701970042242</v>
      </c>
      <c r="AL10" s="7">
        <f t="shared" ca="1" si="34"/>
        <v>18759.083029143509</v>
      </c>
      <c r="AM10" s="7">
        <f t="shared" ca="1" si="34"/>
        <v>19321.855520017816</v>
      </c>
    </row>
    <row r="11" spans="1:39" x14ac:dyDescent="0.2">
      <c r="A11" s="3" t="str">
        <f>TEXT(Inputs!$B$75,"")</f>
        <v>Gudja</v>
      </c>
      <c r="C11" s="7">
        <f ca="1">Inputs!B116*ProRate</f>
        <v>4166.666666666667</v>
      </c>
      <c r="D11" s="7">
        <f t="shared" ca="1" si="32"/>
        <v>4291.666666666667</v>
      </c>
      <c r="E11" s="7">
        <f t="shared" ca="1" si="32"/>
        <v>4420.416666666667</v>
      </c>
      <c r="F11" s="7">
        <f t="shared" ca="1" si="32"/>
        <v>4553.0291666666672</v>
      </c>
      <c r="G11" s="7">
        <f t="shared" ca="1" si="32"/>
        <v>4689.620041666667</v>
      </c>
      <c r="H11" s="7">
        <f t="shared" ca="1" si="32"/>
        <v>4830.3086429166669</v>
      </c>
      <c r="I11" s="7">
        <f t="shared" ca="1" si="32"/>
        <v>4975.2179022041673</v>
      </c>
      <c r="J11" s="7">
        <f t="shared" ca="1" si="32"/>
        <v>5124.4744392702924</v>
      </c>
      <c r="K11" s="7">
        <f t="shared" ca="1" si="32"/>
        <v>5278.2086724484016</v>
      </c>
      <c r="L11" s="7">
        <f t="shared" ca="1" si="32"/>
        <v>5436.5549326218534</v>
      </c>
      <c r="M11" s="7">
        <f t="shared" ca="1" si="32"/>
        <v>5599.6515806005091</v>
      </c>
      <c r="N11" s="7">
        <f t="shared" ca="1" si="32"/>
        <v>5767.6411280185248</v>
      </c>
      <c r="O11" s="7">
        <f t="shared" ca="1" si="32"/>
        <v>5940.6703618590809</v>
      </c>
      <c r="P11" s="7">
        <f t="shared" ca="1" si="32"/>
        <v>6118.8904727148538</v>
      </c>
      <c r="Q11" s="7">
        <f t="shared" ca="1" si="32"/>
        <v>6302.4571868962994</v>
      </c>
      <c r="R11" s="7">
        <f t="shared" ca="1" si="32"/>
        <v>6491.5309025031884</v>
      </c>
      <c r="S11" s="7">
        <f t="shared" ca="1" si="32"/>
        <v>6686.2768295782844</v>
      </c>
      <c r="T11" s="7">
        <f t="shared" ca="1" si="33"/>
        <v>6886.8651344656328</v>
      </c>
      <c r="U11" s="7">
        <f t="shared" ca="1" si="33"/>
        <v>7093.471088499602</v>
      </c>
      <c r="V11" s="7">
        <f t="shared" ca="1" si="33"/>
        <v>7306.2752211545903</v>
      </c>
      <c r="W11" s="7">
        <f t="shared" ca="1" si="33"/>
        <v>7525.4634777892279</v>
      </c>
      <c r="X11" s="7">
        <f t="shared" ca="1" si="33"/>
        <v>7751.2273821229046</v>
      </c>
      <c r="Y11" s="7">
        <f t="shared" ca="1" si="33"/>
        <v>7983.764203586592</v>
      </c>
      <c r="Z11" s="7">
        <f t="shared" ca="1" si="33"/>
        <v>8223.2771296941901</v>
      </c>
      <c r="AA11" s="7">
        <f t="shared" ca="1" si="33"/>
        <v>8469.9754435850155</v>
      </c>
      <c r="AB11" s="7">
        <f t="shared" ca="1" si="33"/>
        <v>8724.0747068925666</v>
      </c>
      <c r="AC11" s="7">
        <f t="shared" ca="1" si="33"/>
        <v>8985.7969480993434</v>
      </c>
      <c r="AD11" s="7">
        <f t="shared" ca="1" si="33"/>
        <v>9255.370856542324</v>
      </c>
      <c r="AE11" s="7">
        <f t="shared" ca="1" si="33"/>
        <v>9533.0319822385936</v>
      </c>
      <c r="AF11" s="7">
        <f t="shared" ca="1" si="33"/>
        <v>9819.0229417057508</v>
      </c>
      <c r="AG11" s="7">
        <f t="shared" ca="1" si="33"/>
        <v>10113.593629956924</v>
      </c>
      <c r="AH11" s="7">
        <f t="shared" ca="1" si="33"/>
        <v>10417.001438855632</v>
      </c>
      <c r="AI11" s="7">
        <f t="shared" ca="1" si="33"/>
        <v>10729.511482021302</v>
      </c>
      <c r="AJ11" s="7">
        <f t="shared" ca="1" si="34"/>
        <v>11051.396826481941</v>
      </c>
      <c r="AK11" s="7">
        <f t="shared" ca="1" si="34"/>
        <v>11382.938731276399</v>
      </c>
      <c r="AL11" s="7">
        <f t="shared" ca="1" si="34"/>
        <v>11724.426893214692</v>
      </c>
      <c r="AM11" s="7">
        <f t="shared" ca="1" si="34"/>
        <v>12076.159700011132</v>
      </c>
    </row>
    <row r="12" spans="1:39" x14ac:dyDescent="0.2">
      <c r="A12" s="3" t="str">
        <f>TEXT(Inputs!$B$80,"")</f>
        <v>Marsa</v>
      </c>
      <c r="C12" s="7">
        <f ca="1">Inputs!B117*ProRate</f>
        <v>5416.666666666667</v>
      </c>
      <c r="D12" s="7">
        <f t="shared" ca="1" si="32"/>
        <v>5579.166666666667</v>
      </c>
      <c r="E12" s="7">
        <f t="shared" ca="1" si="32"/>
        <v>5746.541666666667</v>
      </c>
      <c r="F12" s="7">
        <f t="shared" ca="1" si="32"/>
        <v>5918.9379166666668</v>
      </c>
      <c r="G12" s="7">
        <f t="shared" ca="1" si="32"/>
        <v>6096.5060541666671</v>
      </c>
      <c r="H12" s="7">
        <f t="shared" ca="1" si="32"/>
        <v>6279.4012357916672</v>
      </c>
      <c r="I12" s="7">
        <f t="shared" ca="1" si="32"/>
        <v>6467.7832728654175</v>
      </c>
      <c r="J12" s="7">
        <f t="shared" ca="1" si="32"/>
        <v>6661.8167710513799</v>
      </c>
      <c r="K12" s="7">
        <f t="shared" ca="1" si="32"/>
        <v>6861.6712741829215</v>
      </c>
      <c r="L12" s="7">
        <f t="shared" ca="1" si="32"/>
        <v>7067.5214124084096</v>
      </c>
      <c r="M12" s="7">
        <f t="shared" ca="1" si="32"/>
        <v>7279.5470547806617</v>
      </c>
      <c r="N12" s="7">
        <f t="shared" ca="1" si="32"/>
        <v>7497.9334664240814</v>
      </c>
      <c r="O12" s="7">
        <f t="shared" ca="1" si="32"/>
        <v>7722.8714704168042</v>
      </c>
      <c r="P12" s="7">
        <f t="shared" ca="1" si="32"/>
        <v>7954.5576145293089</v>
      </c>
      <c r="Q12" s="7">
        <f t="shared" ca="1" si="32"/>
        <v>8193.1943429651892</v>
      </c>
      <c r="R12" s="7">
        <f t="shared" ca="1" si="32"/>
        <v>8438.9901732541457</v>
      </c>
      <c r="S12" s="7">
        <f t="shared" ca="1" si="32"/>
        <v>8692.1598784517701</v>
      </c>
      <c r="T12" s="7">
        <f t="shared" ca="1" si="33"/>
        <v>8952.9246748053229</v>
      </c>
      <c r="U12" s="7">
        <f t="shared" ca="1" si="33"/>
        <v>9221.512415049483</v>
      </c>
      <c r="V12" s="7">
        <f t="shared" ca="1" si="33"/>
        <v>9498.157787500968</v>
      </c>
      <c r="W12" s="7">
        <f t="shared" ca="1" si="33"/>
        <v>9783.1025211259966</v>
      </c>
      <c r="X12" s="7">
        <f t="shared" ca="1" si="33"/>
        <v>10076.595596759777</v>
      </c>
      <c r="Y12" s="7">
        <f t="shared" ca="1" si="33"/>
        <v>10378.893464662569</v>
      </c>
      <c r="Z12" s="7">
        <f t="shared" ca="1" si="33"/>
        <v>10690.260268602447</v>
      </c>
      <c r="AA12" s="7">
        <f t="shared" ca="1" si="33"/>
        <v>11010.968076660522</v>
      </c>
      <c r="AB12" s="7">
        <f t="shared" ca="1" si="33"/>
        <v>11341.297118960338</v>
      </c>
      <c r="AC12" s="7">
        <f t="shared" ca="1" si="33"/>
        <v>11681.536032529148</v>
      </c>
      <c r="AD12" s="7">
        <f t="shared" ca="1" si="33"/>
        <v>12031.982113505022</v>
      </c>
      <c r="AE12" s="7">
        <f t="shared" ca="1" si="33"/>
        <v>12392.941576910174</v>
      </c>
      <c r="AF12" s="7">
        <f t="shared" ca="1" si="33"/>
        <v>12764.72982421748</v>
      </c>
      <c r="AG12" s="7">
        <f t="shared" ca="1" si="33"/>
        <v>13147.671718944004</v>
      </c>
      <c r="AH12" s="7">
        <f t="shared" ca="1" si="33"/>
        <v>13542.101870512324</v>
      </c>
      <c r="AI12" s="7">
        <f t="shared" ca="1" si="33"/>
        <v>13948.364926627693</v>
      </c>
      <c r="AJ12" s="7">
        <f t="shared" ca="1" si="34"/>
        <v>14366.815874426524</v>
      </c>
      <c r="AK12" s="7">
        <f t="shared" ca="1" si="34"/>
        <v>14797.82035065932</v>
      </c>
      <c r="AL12" s="7">
        <f t="shared" ca="1" si="34"/>
        <v>15241.7549611791</v>
      </c>
      <c r="AM12" s="7">
        <f t="shared" ca="1" si="34"/>
        <v>15699.007610014474</v>
      </c>
    </row>
    <row r="13" spans="1:39" x14ac:dyDescent="0.2">
      <c r="A13" s="4" t="s">
        <v>73</v>
      </c>
      <c r="B13" s="8"/>
      <c r="C13" s="7">
        <f ca="1">IF(C$3&lt;Inputs!$B$19,0,Inputs!$B$21)*(1+inf)^B$1*ProRate</f>
        <v>0</v>
      </c>
      <c r="D13" s="7">
        <f>IF(D$3&lt;Inputs!$B$19,0,Inputs!$B$21)*(1+inf)^C$1</f>
        <v>0</v>
      </c>
      <c r="E13" s="7">
        <f>IF(E$3&lt;Inputs!$B$19,0,Inputs!$B$21)*(1+inf)^D$1</f>
        <v>0</v>
      </c>
      <c r="F13" s="7">
        <f>IF(F$3&lt;Inputs!$B$19,0,Inputs!$B$21)*(1+inf)^E$1</f>
        <v>0</v>
      </c>
      <c r="G13" s="7">
        <f>IF(G$3&lt;Inputs!$B$19,0,Inputs!$B$21)*(1+inf)^F$1</f>
        <v>0</v>
      </c>
      <c r="H13" s="7">
        <f>IF(H$3&lt;Inputs!$B$19,0,Inputs!$B$21)*(1+inf)^G$1</f>
        <v>0</v>
      </c>
      <c r="I13" s="7">
        <f>IF(I$3&lt;Inputs!$B$19,0,Inputs!$B$21)*(1+inf)^H$1</f>
        <v>0</v>
      </c>
      <c r="J13" s="7">
        <f>IF(J$3&lt;Inputs!$B$19,0,Inputs!$B$21)*(1+inf)^I$1</f>
        <v>0</v>
      </c>
      <c r="K13" s="7">
        <f>IF(K$3&lt;Inputs!$B$19,0,Inputs!$B$21)*(1+inf)^J$1</f>
        <v>0</v>
      </c>
      <c r="L13" s="7">
        <f>IF(L$3&lt;Inputs!$B$19,0,Inputs!$B$21)*(1+inf)^K$1</f>
        <v>0</v>
      </c>
      <c r="M13" s="7">
        <f>IF(M$3&lt;Inputs!$B$19,0,Inputs!$B$21)*(1+inf)^L$1</f>
        <v>0</v>
      </c>
      <c r="N13" s="7">
        <f>IF(N$3&lt;Inputs!$B$19,0,Inputs!$B$21)*(1+inf)^M$1</f>
        <v>0</v>
      </c>
      <c r="O13" s="7">
        <f>IF(O$3&lt;Inputs!$B$19,0,Inputs!$B$21)*(1+inf)^N$1</f>
        <v>0</v>
      </c>
      <c r="P13" s="7">
        <f>IF(P$3&lt;Inputs!$B$19,0,Inputs!$B$21)*(1+inf)^O$1</f>
        <v>0</v>
      </c>
      <c r="Q13" s="7">
        <f>IF(Q$3&lt;Inputs!$B$19,0,Inputs!$B$21)*(1+inf)^P$1</f>
        <v>0</v>
      </c>
      <c r="R13" s="7">
        <f>IF(R$3&lt;Inputs!$B$19,0,Inputs!$B$21)*(1+inf)^Q$1</f>
        <v>0</v>
      </c>
      <c r="S13" s="7">
        <f>IF(S$3&lt;Inputs!$B$19,0,Inputs!$B$21)*(1+inf)^R$1</f>
        <v>0</v>
      </c>
      <c r="T13" s="7">
        <f>IF(T$3&lt;Inputs!$B$19,0,Inputs!$B$21)*(1+inf)^S$1</f>
        <v>24345.892178833234</v>
      </c>
      <c r="U13" s="7">
        <f>IF(U$3&lt;Inputs!$B$19,0,Inputs!$B$21)*(1+inf)^T$1</f>
        <v>24954.539483304063</v>
      </c>
      <c r="V13" s="7">
        <f>IF(V$3&lt;Inputs!$B$19,0,Inputs!$B$21)*(1+inf)^U$1</f>
        <v>25578.402970386665</v>
      </c>
      <c r="W13" s="7">
        <f>IF(W$3&lt;Inputs!$B$19,0,Inputs!$B$21)*(1+inf)^V$1</f>
        <v>26217.863044646328</v>
      </c>
      <c r="X13" s="7">
        <f>IF(X$3&lt;Inputs!$B$19,0,Inputs!$B$21)*(1+inf)^W$1</f>
        <v>26873.309620762484</v>
      </c>
      <c r="Y13" s="7">
        <f>IF(Y$3&lt;Inputs!$B$19,0,Inputs!$B$21)*(1+inf)^X$1</f>
        <v>27545.142361281545</v>
      </c>
      <c r="Z13" s="7">
        <f>IF(Z$3&lt;Inputs!$B$19,0,Inputs!$B$21)*(1+inf)^Y$1</f>
        <v>28233.770920313586</v>
      </c>
      <c r="AA13" s="7">
        <f>IF(AA$3&lt;Inputs!$B$19,0,Inputs!$B$21)*(1+inf)^Z$1</f>
        <v>28939.615193321424</v>
      </c>
      <c r="AB13" s="7">
        <f>IF(AB$3&lt;Inputs!$B$19,0,Inputs!$B$21)*(1+inf)^AA$1</f>
        <v>29663.105573154455</v>
      </c>
      <c r="AC13" s="7">
        <f>IF(AC$3&lt;Inputs!$B$19,0,Inputs!$B$21)*(1+inf)^AB$1</f>
        <v>30404.683212483313</v>
      </c>
      <c r="AD13" s="7">
        <f>IF(AD$3&lt;Inputs!$B$19,0,Inputs!$B$21)*(1+inf)^AC$1</f>
        <v>31164.800292795393</v>
      </c>
      <c r="AE13" s="7">
        <f>IF(AE$3&lt;Inputs!$B$19,0,Inputs!$B$21)*(1+inf)^AD$1</f>
        <v>31943.920300115278</v>
      </c>
      <c r="AF13" s="7">
        <f>IF(AF$3&lt;Inputs!$B$19,0,Inputs!$B$21)*(1+inf)^AE$1</f>
        <v>32742.518307618164</v>
      </c>
      <c r="AG13" s="7">
        <f>IF(AG$3&lt;Inputs!$B$19,0,Inputs!$B$21)*(1+inf)^AF$1</f>
        <v>33561.08126530861</v>
      </c>
      <c r="AH13" s="7">
        <f>IF(AH$3&lt;Inputs!$B$19,0,Inputs!$B$21)*(1+inf)^AG$1</f>
        <v>34400.108296941333</v>
      </c>
      <c r="AI13" s="7">
        <f>IF(AI$3&lt;Inputs!$B$19,0,Inputs!$B$21)*(1+inf)^AH$1</f>
        <v>35260.111004364859</v>
      </c>
      <c r="AJ13" s="7">
        <f>IF(AJ$3&lt;Inputs!$B$19,0,Inputs!$B$21)*(1+inf)^AI$1</f>
        <v>36141.613779473977</v>
      </c>
      <c r="AK13" s="7">
        <f>IF(AK$3&lt;Inputs!$B$19,0,Inputs!$B$21)*(1+inf)^AJ$1</f>
        <v>37045.154123960827</v>
      </c>
      <c r="AL13" s="7">
        <f>IF(AL$3&lt;Inputs!$B$19,0,Inputs!$B$21)*(1+inf)^AK$1</f>
        <v>37971.28297705984</v>
      </c>
      <c r="AM13" s="7">
        <f>IF(AM$3&lt;Inputs!$B$19,0,Inputs!$B$21)*(1+inf)^AL$1</f>
        <v>38920.565051486345</v>
      </c>
    </row>
    <row r="14" spans="1:39" x14ac:dyDescent="0.2">
      <c r="A14" s="4" t="s">
        <v>74</v>
      </c>
      <c r="B14" s="8"/>
      <c r="C14" s="7">
        <f ca="1">MIN(0,MAX(-IF(C13=0,0,(Inputs!$B$19-INDEX(3:3,MATCH(0,5:5,0))))*Inputs!$B$267*(1+inf)^B$1*ProRate,-C13))</f>
        <v>0</v>
      </c>
      <c r="D14" s="7">
        <f>MIN(0,MAX(-IF(D13=0,0,(Inputs!$B$19-INDEX(3:3,MATCH(0,5:5,0))))*Inputs!$B$267*(1+inf)^C$1,-D13))</f>
        <v>0</v>
      </c>
      <c r="E14" s="7">
        <f>MIN(0,MAX(-IF(E13=0,0,(Inputs!$B$19-INDEX(3:3,MATCH(0,5:5,0))))*Inputs!$B$267*(1+inf)^D$1,-E13))</f>
        <v>0</v>
      </c>
      <c r="F14" s="7">
        <f>MIN(0,MAX(-IF(F13=0,0,(Inputs!$B$19-INDEX(3:3,MATCH(0,5:5,0))))*Inputs!$B$267*(1+inf)^E$1,-F13))</f>
        <v>0</v>
      </c>
      <c r="G14" s="7">
        <f>MIN(0,MAX(-IF(G13=0,0,(Inputs!$B$19-INDEX(3:3,MATCH(0,5:5,0))))*Inputs!$B$267*(1+inf)^F$1,-G13))</f>
        <v>0</v>
      </c>
      <c r="H14" s="7">
        <f>MIN(0,MAX(-IF(H13=0,0,(Inputs!$B$19-INDEX(3:3,MATCH(0,5:5,0))))*Inputs!$B$267*(1+inf)^G$1,-H13))</f>
        <v>0</v>
      </c>
      <c r="I14" s="7">
        <f>MIN(0,MAX(-IF(I13=0,0,(Inputs!$B$19-INDEX(3:3,MATCH(0,5:5,0))))*Inputs!$B$267*(1+inf)^H$1,-I13))</f>
        <v>0</v>
      </c>
      <c r="J14" s="7">
        <f>MIN(0,MAX(-IF(J13=0,0,(Inputs!$B$19-INDEX(3:3,MATCH(0,5:5,0))))*Inputs!$B$267*(1+inf)^I$1,-J13))</f>
        <v>0</v>
      </c>
      <c r="K14" s="7">
        <f>MIN(0,MAX(-IF(K13=0,0,(Inputs!$B$19-INDEX(3:3,MATCH(0,5:5,0))))*Inputs!$B$267*(1+inf)^J$1,-K13))</f>
        <v>0</v>
      </c>
      <c r="L14" s="7">
        <f>MIN(0,MAX(-IF(L13=0,0,(Inputs!$B$19-INDEX(3:3,MATCH(0,5:5,0))))*Inputs!$B$267*(1+inf)^K$1,-L13))</f>
        <v>0</v>
      </c>
      <c r="M14" s="7">
        <f>MIN(0,MAX(-IF(M13=0,0,(Inputs!$B$19-INDEX(3:3,MATCH(0,5:5,0))))*Inputs!$B$267*(1+inf)^L$1,-M13))</f>
        <v>0</v>
      </c>
      <c r="N14" s="7">
        <f>MIN(0,MAX(-IF(N13=0,0,(Inputs!$B$19-INDEX(3:3,MATCH(0,5:5,0))))*Inputs!$B$267*(1+inf)^M$1,-N13))</f>
        <v>0</v>
      </c>
      <c r="O14" s="7">
        <f>MIN(0,MAX(-IF(O13=0,0,(Inputs!$B$19-INDEX(3:3,MATCH(0,5:5,0))))*Inputs!$B$267*(1+inf)^N$1,-O13))</f>
        <v>0</v>
      </c>
      <c r="P14" s="7">
        <f>MIN(0,MAX(-IF(P13=0,0,(Inputs!$B$19-INDEX(3:3,MATCH(0,5:5,0))))*Inputs!$B$267*(1+inf)^O$1,-P13))</f>
        <v>0</v>
      </c>
      <c r="Q14" s="7">
        <f>MIN(0,MAX(-IF(Q13=0,0,(Inputs!$B$19-INDEX(3:3,MATCH(0,5:5,0))))*Inputs!$B$267*(1+inf)^P$1,-Q13))</f>
        <v>0</v>
      </c>
      <c r="R14" s="7">
        <f>MIN(0,MAX(-IF(R13=0,0,(Inputs!$B$19-INDEX(3:3,MATCH(0,5:5,0))))*Inputs!$B$267*(1+inf)^Q$1,-R13))</f>
        <v>0</v>
      </c>
      <c r="S14" s="7">
        <f>MIN(0,MAX(-IF(S13=0,0,(Inputs!$B$19-INDEX(3:3,MATCH(0,5:5,0))))*Inputs!$B$267*(1+inf)^R$1,-S13))</f>
        <v>0</v>
      </c>
      <c r="T14" s="7">
        <f ca="1">MIN(0,MAX(-IF(T13=0,0,(Inputs!$B$19-INDEX(3:3,MATCH(0,5:5,0))))*Inputs!$B$267*(1+inf)^S$1,-T13))</f>
        <v>-6390.796696943723</v>
      </c>
      <c r="U14" s="7">
        <f ca="1">MIN(0,MAX(-IF(U13=0,0,(Inputs!$B$19-INDEX(3:3,MATCH(0,5:5,0))))*Inputs!$B$267*(1+inf)^T$1,-U13))</f>
        <v>-6550.566614367317</v>
      </c>
      <c r="V14" s="7">
        <f ca="1">MIN(0,MAX(-IF(V13=0,0,(Inputs!$B$19-INDEX(3:3,MATCH(0,5:5,0))))*Inputs!$B$267*(1+inf)^U$1,-V13))</f>
        <v>-6714.3307797264997</v>
      </c>
      <c r="W14" s="7">
        <f ca="1">MIN(0,MAX(-IF(W13=0,0,(Inputs!$B$19-INDEX(3:3,MATCH(0,5:5,0))))*Inputs!$B$267*(1+inf)^V$1,-W13))</f>
        <v>-6882.1890492196617</v>
      </c>
      <c r="X14" s="7">
        <f ca="1">MIN(0,MAX(-IF(X13=0,0,(Inputs!$B$19-INDEX(3:3,MATCH(0,5:5,0))))*Inputs!$B$267*(1+inf)^W$1,-X13))</f>
        <v>-7054.2437754501516</v>
      </c>
      <c r="Y14" s="7">
        <f ca="1">MIN(0,MAX(-IF(Y13=0,0,(Inputs!$B$19-INDEX(3:3,MATCH(0,5:5,0))))*Inputs!$B$267*(1+inf)^X$1,-Y13))</f>
        <v>-7230.5998698364056</v>
      </c>
      <c r="Z14" s="7">
        <f ca="1">MIN(0,MAX(-IF(Z13=0,0,(Inputs!$B$19-INDEX(3:3,MATCH(0,5:5,0))))*Inputs!$B$267*(1+inf)^Y$1,-Z13))</f>
        <v>-7411.3648665823157</v>
      </c>
      <c r="AA14" s="7">
        <f ca="1">MIN(0,MAX(-IF(AA13=0,0,(Inputs!$B$19-INDEX(3:3,MATCH(0,5:5,0))))*Inputs!$B$267*(1+inf)^Z$1,-AA13))</f>
        <v>-7596.6489882468732</v>
      </c>
      <c r="AB14" s="7">
        <f ca="1">MIN(0,MAX(-IF(AB13=0,0,(Inputs!$B$19-INDEX(3:3,MATCH(0,5:5,0))))*Inputs!$B$267*(1+inf)^AA$1,-AB13))</f>
        <v>-7786.5652129530445</v>
      </c>
      <c r="AC14" s="7">
        <f ca="1">MIN(0,MAX(-IF(AC13=0,0,(Inputs!$B$19-INDEX(3:3,MATCH(0,5:5,0))))*Inputs!$B$267*(1+inf)^AB$1,-AC13))</f>
        <v>-7981.2293432768693</v>
      </c>
      <c r="AD14" s="7">
        <f ca="1">MIN(0,MAX(-IF(AD13=0,0,(Inputs!$B$19-INDEX(3:3,MATCH(0,5:5,0))))*Inputs!$B$267*(1+inf)^AC$1,-AD13))</f>
        <v>-8180.7600768587909</v>
      </c>
      <c r="AE14" s="7">
        <f ca="1">MIN(0,MAX(-IF(AE13=0,0,(Inputs!$B$19-INDEX(3:3,MATCH(0,5:5,0))))*Inputs!$B$267*(1+inf)^AD$1,-AE13))</f>
        <v>-8385.2790787802605</v>
      </c>
      <c r="AF14" s="7">
        <f ca="1">MIN(0,MAX(-IF(AF13=0,0,(Inputs!$B$19-INDEX(3:3,MATCH(0,5:5,0))))*Inputs!$B$267*(1+inf)^AE$1,-AF13))</f>
        <v>-8594.9110557497679</v>
      </c>
      <c r="AG14" s="7">
        <f ca="1">MIN(0,MAX(-IF(AG13=0,0,(Inputs!$B$19-INDEX(3:3,MATCH(0,5:5,0))))*Inputs!$B$267*(1+inf)^AF$1,-AG13))</f>
        <v>-8809.7838321435102</v>
      </c>
      <c r="AH14" s="7">
        <f ca="1">MIN(0,MAX(-IF(AH13=0,0,(Inputs!$B$19-INDEX(3:3,MATCH(0,5:5,0))))*Inputs!$B$267*(1+inf)^AG$1,-AH13))</f>
        <v>-9030.0284279470998</v>
      </c>
      <c r="AI14" s="7">
        <f ca="1">MIN(0,MAX(-IF(AI13=0,0,(Inputs!$B$19-INDEX(3:3,MATCH(0,5:5,0))))*Inputs!$B$267*(1+inf)^AH$1,-AI13))</f>
        <v>-9255.7791386457757</v>
      </c>
      <c r="AJ14" s="7">
        <f ca="1">MIN(0,MAX(-IF(AJ13=0,0,(Inputs!$B$19-INDEX(3:3,MATCH(0,5:5,0))))*Inputs!$B$267*(1+inf)^AI$1,-AJ13))</f>
        <v>-9487.1736171119192</v>
      </c>
      <c r="AK14" s="7">
        <f ca="1">MIN(0,MAX(-IF(AK13=0,0,(Inputs!$B$19-INDEX(3:3,MATCH(0,5:5,0))))*Inputs!$B$267*(1+inf)^AJ$1,-AK13))</f>
        <v>-9724.352957539717</v>
      </c>
      <c r="AL14" s="7">
        <f ca="1">MIN(0,MAX(-IF(AL13=0,0,(Inputs!$B$19-INDEX(3:3,MATCH(0,5:5,0))))*Inputs!$B$267*(1+inf)^AK$1,-AL13))</f>
        <v>-9967.4617814782086</v>
      </c>
      <c r="AM14" s="7">
        <f ca="1">MIN(0,MAX(-IF(AM13=0,0,(Inputs!$B$19-INDEX(3:3,MATCH(0,5:5,0))))*Inputs!$B$267*(1+inf)^AL$1,-AM13))</f>
        <v>-10216.648326015165</v>
      </c>
    </row>
    <row r="15" spans="1:39" x14ac:dyDescent="0.2">
      <c r="A15" s="4" t="s">
        <v>48</v>
      </c>
      <c r="B15" s="8"/>
      <c r="C15" s="7">
        <f ca="1">IF(AND(C$3&gt;=Inputs!$B$252,C$3&lt;=Inputs!$B$253),Inputs!$B$251*(1+inf)^B$1,0)*ProRate</f>
        <v>0</v>
      </c>
      <c r="D15" s="7">
        <f>IF(AND(D$3&gt;=Inputs!$B$252,D$3&lt;=Inputs!$B$253),Inputs!$B$251*(1+inf)^C$1,0)</f>
        <v>0</v>
      </c>
      <c r="E15" s="7">
        <f>IF(AND(E$3&gt;=Inputs!$B$252,E$3&lt;=Inputs!$B$253),Inputs!$B$251*(1+inf)^D$1,0)</f>
        <v>0</v>
      </c>
      <c r="F15" s="7">
        <f>IF(AND(F$3&gt;=Inputs!$B$252,F$3&lt;=Inputs!$B$253),Inputs!$B$251*(1+inf)^E$1,0)</f>
        <v>0</v>
      </c>
      <c r="G15" s="7">
        <f>IF(AND(G$3&gt;=Inputs!$B$252,G$3&lt;=Inputs!$B$253),Inputs!$B$251*(1+inf)^F$1,0)</f>
        <v>0</v>
      </c>
      <c r="H15" s="7">
        <f>IF(AND(H$3&gt;=Inputs!$B$252,H$3&lt;=Inputs!$B$253),Inputs!$B$251*(1+inf)^G$1,0)</f>
        <v>0</v>
      </c>
      <c r="I15" s="7">
        <f>IF(AND(I$3&gt;=Inputs!$B$252,I$3&lt;=Inputs!$B$253),Inputs!$B$251*(1+inf)^H$1,0)</f>
        <v>0</v>
      </c>
      <c r="J15" s="7">
        <f>IF(AND(J$3&gt;=Inputs!$B$252,J$3&lt;=Inputs!$B$253),Inputs!$B$251*(1+inf)^I$1,0)</f>
        <v>0</v>
      </c>
      <c r="K15" s="7">
        <f>IF(AND(K$3&gt;=Inputs!$B$252,K$3&lt;=Inputs!$B$253),Inputs!$B$251*(1+inf)^J$1,0)</f>
        <v>0</v>
      </c>
      <c r="L15" s="7">
        <f>IF(AND(L$3&gt;=Inputs!$B$252,L$3&lt;=Inputs!$B$253),Inputs!$B$251*(1+inf)^K$1,0)</f>
        <v>0</v>
      </c>
      <c r="M15" s="7">
        <f>IF(AND(M$3&gt;=Inputs!$B$252,M$3&lt;=Inputs!$B$253),Inputs!$B$251*(1+inf)^L$1,0)</f>
        <v>15361.014530356286</v>
      </c>
      <c r="N15" s="7">
        <f>IF(AND(N$3&gt;=Inputs!$B$252,N$3&lt;=Inputs!$B$253),Inputs!$B$251*(1+inf)^M$1,0)</f>
        <v>15745.039893615192</v>
      </c>
      <c r="O15" s="7">
        <f>IF(AND(O$3&gt;=Inputs!$B$252,O$3&lt;=Inputs!$B$253),Inputs!$B$251*(1+inf)^N$1,0)</f>
        <v>16138.66589095557</v>
      </c>
      <c r="P15" s="7">
        <f>IF(AND(P$3&gt;=Inputs!$B$252,P$3&lt;=Inputs!$B$253),Inputs!$B$251*(1+inf)^O$1,0)</f>
        <v>16542.13253822946</v>
      </c>
      <c r="Q15" s="7">
        <f>IF(AND(Q$3&gt;=Inputs!$B$252,Q$3&lt;=Inputs!$B$253),Inputs!$B$251*(1+inf)^P$1,0)</f>
        <v>16955.685851685193</v>
      </c>
      <c r="R15" s="7">
        <f>IF(AND(R$3&gt;=Inputs!$B$252,R$3&lt;=Inputs!$B$253),Inputs!$B$251*(1+inf)^Q$1,0)</f>
        <v>17379.577997977325</v>
      </c>
      <c r="S15" s="7">
        <f>IF(AND(S$3&gt;=Inputs!$B$252,S$3&lt;=Inputs!$B$253),Inputs!$B$251*(1+inf)^R$1,0)</f>
        <v>17814.067447926758</v>
      </c>
      <c r="T15" s="7">
        <f>IF(AND(T$3&gt;=Inputs!$B$252,T$3&lt;=Inputs!$B$253),Inputs!$B$251*(1+inf)^S$1,0)</f>
        <v>18259.419134124924</v>
      </c>
      <c r="U15" s="7">
        <f>IF(AND(U$3&gt;=Inputs!$B$252,U$3&lt;=Inputs!$B$253),Inputs!$B$251*(1+inf)^T$1,0)</f>
        <v>18715.904612478047</v>
      </c>
      <c r="V15" s="7">
        <f>IF(AND(V$3&gt;=Inputs!$B$252,V$3&lt;=Inputs!$B$253),Inputs!$B$251*(1+inf)^U$1,0)</f>
        <v>19183.802227789998</v>
      </c>
      <c r="W15" s="7">
        <f>IF(AND(W$3&gt;=Inputs!$B$252,W$3&lt;=Inputs!$B$253),Inputs!$B$251*(1+inf)^V$1,0)</f>
        <v>19663.397283484748</v>
      </c>
      <c r="X15" s="7">
        <f>IF(AND(X$3&gt;=Inputs!$B$252,X$3&lt;=Inputs!$B$253),Inputs!$B$251*(1+inf)^W$1,0)</f>
        <v>20154.982215571865</v>
      </c>
      <c r="Y15" s="7">
        <f>IF(AND(Y$3&gt;=Inputs!$B$252,Y$3&lt;=Inputs!$B$253),Inputs!$B$251*(1+inf)^X$1,0)</f>
        <v>0</v>
      </c>
      <c r="Z15" s="7">
        <f>IF(AND(Z$3&gt;=Inputs!$B$252,Z$3&lt;=Inputs!$B$253),Inputs!$B$251*(1+inf)^Y$1,0)</f>
        <v>0</v>
      </c>
      <c r="AA15" s="7">
        <f>IF(AND(AA$3&gt;=Inputs!$B$252,AA$3&lt;=Inputs!$B$253),Inputs!$B$251*(1+inf)^Z$1,0)</f>
        <v>0</v>
      </c>
      <c r="AB15" s="7">
        <f>IF(AND(AB$3&gt;=Inputs!$B$252,AB$3&lt;=Inputs!$B$253),Inputs!$B$251*(1+inf)^AA$1,0)</f>
        <v>0</v>
      </c>
      <c r="AC15" s="7">
        <f>IF(AND(AC$3&gt;=Inputs!$B$252,AC$3&lt;=Inputs!$B$253),Inputs!$B$251*(1+inf)^AB$1,0)</f>
        <v>0</v>
      </c>
      <c r="AD15" s="7">
        <f>IF(AND(AD$3&gt;=Inputs!$B$252,AD$3&lt;=Inputs!$B$253),Inputs!$B$251*(1+inf)^AC$1,0)</f>
        <v>0</v>
      </c>
      <c r="AE15" s="7">
        <f>IF(AND(AE$3&gt;=Inputs!$B$252,AE$3&lt;=Inputs!$B$253),Inputs!$B$251*(1+inf)^AD$1,0)</f>
        <v>0</v>
      </c>
      <c r="AF15" s="7">
        <f>IF(AND(AF$3&gt;=Inputs!$B$252,AF$3&lt;=Inputs!$B$253),Inputs!$B$251*(1+inf)^AE$1,0)</f>
        <v>0</v>
      </c>
      <c r="AG15" s="7">
        <f>IF(AND(AG$3&gt;=Inputs!$B$252,AG$3&lt;=Inputs!$B$253),Inputs!$B$251*(1+inf)^AF$1,0)</f>
        <v>0</v>
      </c>
      <c r="AH15" s="7">
        <f>IF(AND(AH$3&gt;=Inputs!$B$252,AH$3&lt;=Inputs!$B$253),Inputs!$B$251*(1+inf)^AG$1,0)</f>
        <v>0</v>
      </c>
      <c r="AI15" s="7">
        <f>IF(AND(AI$3&gt;=Inputs!$B$252,AI$3&lt;=Inputs!$B$253),Inputs!$B$251*(1+inf)^AH$1,0)</f>
        <v>0</v>
      </c>
      <c r="AJ15" s="7">
        <f>IF(AND(AJ$3&gt;=Inputs!$B$252,AJ$3&lt;=Inputs!$B$253),Inputs!$B$251*(1+inf)^AI$1,0)</f>
        <v>0</v>
      </c>
      <c r="AK15" s="7">
        <f>IF(AND(AK$3&gt;=Inputs!$B$252,AK$3&lt;=Inputs!$B$253),Inputs!$B$251*(1+inf)^AJ$1,0)</f>
        <v>0</v>
      </c>
      <c r="AL15" s="7">
        <f>IF(AND(AL$3&gt;=Inputs!$B$252,AL$3&lt;=Inputs!$B$253),Inputs!$B$251*(1+inf)^AK$1,0)</f>
        <v>0</v>
      </c>
      <c r="AM15" s="7">
        <f>IF(AND(AM$3&gt;=Inputs!$B$252,AM$3&lt;=Inputs!$B$253),Inputs!$B$251*(1+inf)^AL$1,0)</f>
        <v>0</v>
      </c>
    </row>
    <row r="16" spans="1:39" x14ac:dyDescent="0.2">
      <c r="A16" s="4" t="s">
        <v>131</v>
      </c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">
      <c r="A17" s="3" t="str">
        <f>TEXT(Inputs!B184,"")</f>
        <v>Inheritance</v>
      </c>
      <c r="B17" s="8"/>
      <c r="C17" s="7">
        <f ca="1">IF(C$2=Inputs!$B186,Inputs!$B185,0)*(1+inf)^B$1</f>
        <v>0</v>
      </c>
      <c r="D17" s="7">
        <f ca="1">IF(D$2=Inputs!$B186,Inputs!$B185,0)*(1+inf)^C$1</f>
        <v>0</v>
      </c>
      <c r="E17" s="7">
        <f ca="1">IF(E$2=Inputs!$B186,Inputs!$B185,0)*(1+inf)^D$1</f>
        <v>0</v>
      </c>
      <c r="F17" s="7">
        <f ca="1">IF(F$2=Inputs!$B186,Inputs!$B185,0)*(1+inf)^E$1</f>
        <v>0</v>
      </c>
      <c r="G17" s="7">
        <f ca="1">IF(G$2=Inputs!$B186,Inputs!$B185,0)*(1+inf)^F$1</f>
        <v>0</v>
      </c>
      <c r="H17" s="7">
        <f ca="1">IF(H$2=Inputs!$B186,Inputs!$B185,0)*(1+inf)^G$1</f>
        <v>0</v>
      </c>
      <c r="I17" s="7">
        <f ca="1">IF(I$2=Inputs!$B186,Inputs!$B185,0)*(1+inf)^H$1</f>
        <v>0</v>
      </c>
      <c r="J17" s="7">
        <f ca="1">IF(J$2=Inputs!$B186,Inputs!$B185,0)*(1+inf)^I$1</f>
        <v>0</v>
      </c>
      <c r="K17" s="7">
        <f ca="1">IF(K$2=Inputs!$B186,Inputs!$B185,0)*(1+inf)^J$1</f>
        <v>0</v>
      </c>
      <c r="L17" s="7">
        <f ca="1">IF(L$2=Inputs!$B186,Inputs!$B185,0)*(1+inf)^K$1</f>
        <v>62443.14849738327</v>
      </c>
      <c r="M17" s="7">
        <f ca="1">IF(M$2=Inputs!$B186,Inputs!$B185,0)*(1+inf)^L$1</f>
        <v>0</v>
      </c>
      <c r="N17" s="7">
        <f ca="1">IF(N$2=Inputs!$B186,Inputs!$B185,0)*(1+inf)^M$1</f>
        <v>0</v>
      </c>
      <c r="O17" s="7">
        <f ca="1">IF(O$2=Inputs!$B186,Inputs!$B185,0)*(1+inf)^N$1</f>
        <v>0</v>
      </c>
      <c r="P17" s="7">
        <f ca="1">IF(P$2=Inputs!$B186,Inputs!$B185,0)*(1+inf)^O$1</f>
        <v>0</v>
      </c>
      <c r="Q17" s="7">
        <f ca="1">IF(Q$2=Inputs!$B186,Inputs!$B185,0)*(1+inf)^P$1</f>
        <v>0</v>
      </c>
      <c r="R17" s="7">
        <f ca="1">IF(R$2=Inputs!$B186,Inputs!$B185,0)*(1+inf)^Q$1</f>
        <v>0</v>
      </c>
      <c r="S17" s="7">
        <f ca="1">IF(S$2=Inputs!$B186,Inputs!$B185,0)*(1+inf)^R$1</f>
        <v>0</v>
      </c>
      <c r="T17" s="7">
        <f ca="1">IF(T$2=Inputs!$B186,Inputs!$B185,0)*(1+inf)^S$1</f>
        <v>0</v>
      </c>
      <c r="U17" s="7">
        <f ca="1">IF(U$2=Inputs!$B186,Inputs!$B185,0)*(1+inf)^T$1</f>
        <v>0</v>
      </c>
      <c r="V17" s="7">
        <f ca="1">IF(V$2=Inputs!$B186,Inputs!$B185,0)*(1+inf)^U$1</f>
        <v>0</v>
      </c>
      <c r="W17" s="7">
        <f ca="1">IF(W$2=Inputs!$B186,Inputs!$B185,0)*(1+inf)^V$1</f>
        <v>0</v>
      </c>
      <c r="X17" s="7">
        <f ca="1">IF(X$2=Inputs!$B186,Inputs!$B185,0)*(1+inf)^W$1</f>
        <v>0</v>
      </c>
      <c r="Y17" s="7">
        <f ca="1">IF(Y$2=Inputs!$B186,Inputs!$B185,0)*(1+inf)^X$1</f>
        <v>0</v>
      </c>
      <c r="Z17" s="7">
        <f ca="1">IF(Z$2=Inputs!$B186,Inputs!$B185,0)*(1+inf)^Y$1</f>
        <v>0</v>
      </c>
      <c r="AA17" s="7">
        <f ca="1">IF(AA$2=Inputs!$B186,Inputs!$B185,0)*(1+inf)^Z$1</f>
        <v>0</v>
      </c>
      <c r="AB17" s="7">
        <f ca="1">IF(AB$2=Inputs!$B186,Inputs!$B185,0)*(1+inf)^AA$1</f>
        <v>0</v>
      </c>
      <c r="AC17" s="7">
        <f ca="1">IF(AC$2=Inputs!$B186,Inputs!$B185,0)*(1+inf)^AB$1</f>
        <v>0</v>
      </c>
      <c r="AD17" s="7">
        <f ca="1">IF(AD$2=Inputs!$B186,Inputs!$B185,0)*(1+inf)^AC$1</f>
        <v>0</v>
      </c>
      <c r="AE17" s="7">
        <f ca="1">IF(AE$2=Inputs!$B186,Inputs!$B185,0)*(1+inf)^AD$1</f>
        <v>0</v>
      </c>
      <c r="AF17" s="7">
        <f ca="1">IF(AF$2=Inputs!$B186,Inputs!$B185,0)*(1+inf)^AE$1</f>
        <v>0</v>
      </c>
      <c r="AG17" s="7">
        <f ca="1">IF(AG$2=Inputs!$B186,Inputs!$B185,0)*(1+inf)^AF$1</f>
        <v>0</v>
      </c>
      <c r="AH17" s="7">
        <f ca="1">IF(AH$2=Inputs!$B186,Inputs!$B185,0)*(1+inf)^AG$1</f>
        <v>0</v>
      </c>
      <c r="AI17" s="7">
        <f ca="1">IF(AI$2=Inputs!$B186,Inputs!$B185,0)*(1+inf)^AH$1</f>
        <v>0</v>
      </c>
      <c r="AJ17" s="7">
        <f ca="1">IF(AJ$2=Inputs!$B186,Inputs!$B185,0)*(1+inf)^AI$1</f>
        <v>0</v>
      </c>
      <c r="AK17" s="7">
        <f ca="1">IF(AK$2=Inputs!$B186,Inputs!$B185,0)*(1+inf)^AJ$1</f>
        <v>0</v>
      </c>
      <c r="AL17" s="7">
        <f ca="1">IF(AL$2=Inputs!$B186,Inputs!$B185,0)*(1+inf)^AK$1</f>
        <v>0</v>
      </c>
      <c r="AM17" s="7">
        <f ca="1">IF(AM$2=Inputs!$B186,Inputs!$B185,0)*(1+inf)^AL$1</f>
        <v>0</v>
      </c>
    </row>
    <row r="18" spans="1:39" x14ac:dyDescent="0.2">
      <c r="A18" s="3" t="str">
        <f>TEXT(Inputs!B189,"")</f>
        <v>Sell Painting</v>
      </c>
      <c r="B18" s="8"/>
      <c r="C18" s="7">
        <f ca="1">IF(C$2=Inputs!$B191,Inputs!$B190,0)*(1+inf)^B$1</f>
        <v>0</v>
      </c>
      <c r="D18" s="7">
        <f ca="1">IF(D$2=Inputs!$B191,Inputs!$B190,0)*(1+inf)^C$1</f>
        <v>0</v>
      </c>
      <c r="E18" s="7">
        <f ca="1">IF(E$2=Inputs!$B191,Inputs!$B190,0)*(1+inf)^D$1</f>
        <v>0</v>
      </c>
      <c r="F18" s="7">
        <f ca="1">IF(F$2=Inputs!$B191,Inputs!$B190,0)*(1+inf)^E$1</f>
        <v>10768.906249999998</v>
      </c>
      <c r="G18" s="7">
        <f ca="1">IF(G$2=Inputs!$B191,Inputs!$B190,0)*(1+inf)^F$1</f>
        <v>0</v>
      </c>
      <c r="H18" s="7">
        <f ca="1">IF(H$2=Inputs!$B191,Inputs!$B190,0)*(1+inf)^G$1</f>
        <v>0</v>
      </c>
      <c r="I18" s="7">
        <f ca="1">IF(I$2=Inputs!$B191,Inputs!$B190,0)*(1+inf)^H$1</f>
        <v>0</v>
      </c>
      <c r="J18" s="7">
        <f ca="1">IF(J$2=Inputs!$B191,Inputs!$B190,0)*(1+inf)^I$1</f>
        <v>0</v>
      </c>
      <c r="K18" s="7">
        <f ca="1">IF(K$2=Inputs!$B191,Inputs!$B190,0)*(1+inf)^J$1</f>
        <v>0</v>
      </c>
      <c r="L18" s="7">
        <f ca="1">IF(L$2=Inputs!$B191,Inputs!$B190,0)*(1+inf)^K$1</f>
        <v>0</v>
      </c>
      <c r="M18" s="7">
        <f ca="1">IF(M$2=Inputs!$B191,Inputs!$B190,0)*(1+inf)^L$1</f>
        <v>0</v>
      </c>
      <c r="N18" s="7">
        <f ca="1">IF(N$2=Inputs!$B191,Inputs!$B190,0)*(1+inf)^M$1</f>
        <v>0</v>
      </c>
      <c r="O18" s="7">
        <f ca="1">IF(O$2=Inputs!$B191,Inputs!$B190,0)*(1+inf)^N$1</f>
        <v>0</v>
      </c>
      <c r="P18" s="7">
        <f ca="1">IF(P$2=Inputs!$B191,Inputs!$B190,0)*(1+inf)^O$1</f>
        <v>0</v>
      </c>
      <c r="Q18" s="7">
        <f ca="1">IF(Q$2=Inputs!$B191,Inputs!$B190,0)*(1+inf)^P$1</f>
        <v>0</v>
      </c>
      <c r="R18" s="7">
        <f ca="1">IF(R$2=Inputs!$B191,Inputs!$B190,0)*(1+inf)^Q$1</f>
        <v>0</v>
      </c>
      <c r="S18" s="7">
        <f ca="1">IF(S$2=Inputs!$B191,Inputs!$B190,0)*(1+inf)^R$1</f>
        <v>0</v>
      </c>
      <c r="T18" s="7">
        <f ca="1">IF(T$2=Inputs!$B191,Inputs!$B190,0)*(1+inf)^S$1</f>
        <v>0</v>
      </c>
      <c r="U18" s="7">
        <f ca="1">IF(U$2=Inputs!$B191,Inputs!$B190,0)*(1+inf)^T$1</f>
        <v>0</v>
      </c>
      <c r="V18" s="7">
        <f ca="1">IF(V$2=Inputs!$B191,Inputs!$B190,0)*(1+inf)^U$1</f>
        <v>0</v>
      </c>
      <c r="W18" s="7">
        <f ca="1">IF(W$2=Inputs!$B191,Inputs!$B190,0)*(1+inf)^V$1</f>
        <v>0</v>
      </c>
      <c r="X18" s="7">
        <f ca="1">IF(X$2=Inputs!$B191,Inputs!$B190,0)*(1+inf)^W$1</f>
        <v>0</v>
      </c>
      <c r="Y18" s="7">
        <f ca="1">IF(Y$2=Inputs!$B191,Inputs!$B190,0)*(1+inf)^X$1</f>
        <v>0</v>
      </c>
      <c r="Z18" s="7">
        <f ca="1">IF(Z$2=Inputs!$B191,Inputs!$B190,0)*(1+inf)^Y$1</f>
        <v>0</v>
      </c>
      <c r="AA18" s="7">
        <f ca="1">IF(AA$2=Inputs!$B191,Inputs!$B190,0)*(1+inf)^Z$1</f>
        <v>0</v>
      </c>
      <c r="AB18" s="7">
        <f ca="1">IF(AB$2=Inputs!$B191,Inputs!$B190,0)*(1+inf)^AA$1</f>
        <v>0</v>
      </c>
      <c r="AC18" s="7">
        <f ca="1">IF(AC$2=Inputs!$B191,Inputs!$B190,0)*(1+inf)^AB$1</f>
        <v>0</v>
      </c>
      <c r="AD18" s="7">
        <f ca="1">IF(AD$2=Inputs!$B191,Inputs!$B190,0)*(1+inf)^AC$1</f>
        <v>0</v>
      </c>
      <c r="AE18" s="7">
        <f ca="1">IF(AE$2=Inputs!$B191,Inputs!$B190,0)*(1+inf)^AD$1</f>
        <v>0</v>
      </c>
      <c r="AF18" s="7">
        <f ca="1">IF(AF$2=Inputs!$B191,Inputs!$B190,0)*(1+inf)^AE$1</f>
        <v>0</v>
      </c>
      <c r="AG18" s="7">
        <f ca="1">IF(AG$2=Inputs!$B191,Inputs!$B190,0)*(1+inf)^AF$1</f>
        <v>0</v>
      </c>
      <c r="AH18" s="7">
        <f ca="1">IF(AH$2=Inputs!$B191,Inputs!$B190,0)*(1+inf)^AG$1</f>
        <v>0</v>
      </c>
      <c r="AI18" s="7">
        <f ca="1">IF(AI$2=Inputs!$B191,Inputs!$B190,0)*(1+inf)^AH$1</f>
        <v>0</v>
      </c>
      <c r="AJ18" s="7">
        <f ca="1">IF(AJ$2=Inputs!$B191,Inputs!$B190,0)*(1+inf)^AI$1</f>
        <v>0</v>
      </c>
      <c r="AK18" s="7">
        <f ca="1">IF(AK$2=Inputs!$B191,Inputs!$B190,0)*(1+inf)^AJ$1</f>
        <v>0</v>
      </c>
      <c r="AL18" s="7">
        <f ca="1">IF(AL$2=Inputs!$B191,Inputs!$B190,0)*(1+inf)^AK$1</f>
        <v>0</v>
      </c>
      <c r="AM18" s="7">
        <f ca="1">IF(AM$2=Inputs!$B191,Inputs!$B190,0)*(1+inf)^AL$1</f>
        <v>0</v>
      </c>
    </row>
    <row r="19" spans="1:39" x14ac:dyDescent="0.2">
      <c r="A19" s="3" t="str">
        <f>TEXT(Inputs!B194,"")</f>
        <v>Sell Jewels</v>
      </c>
      <c r="B19" s="8"/>
      <c r="C19" s="7">
        <f ca="1">IF(C$2=Inputs!$B196,Inputs!$B195,0)*(1+inf)^B$1</f>
        <v>0</v>
      </c>
      <c r="D19" s="7">
        <f ca="1">IF(D$2=Inputs!$B196,Inputs!$B195,0)*(1+inf)^C$1</f>
        <v>0</v>
      </c>
      <c r="E19" s="7">
        <f ca="1">IF(E$2=Inputs!$B196,Inputs!$B195,0)*(1+inf)^D$1</f>
        <v>0</v>
      </c>
      <c r="F19" s="7">
        <f ca="1">IF(F$2=Inputs!$B196,Inputs!$B195,0)*(1+inf)^E$1</f>
        <v>0</v>
      </c>
      <c r="G19" s="7">
        <f ca="1">IF(G$2=Inputs!$B196,Inputs!$B195,0)*(1+inf)^F$1</f>
        <v>0</v>
      </c>
      <c r="H19" s="7">
        <f ca="1">IF(H$2=Inputs!$B196,Inputs!$B195,0)*(1+inf)^G$1</f>
        <v>0</v>
      </c>
      <c r="I19" s="7">
        <f ca="1">IF(I$2=Inputs!$B196,Inputs!$B195,0)*(1+inf)^H$1</f>
        <v>5798.4670910644509</v>
      </c>
      <c r="J19" s="7">
        <f ca="1">IF(J$2=Inputs!$B196,Inputs!$B195,0)*(1+inf)^I$1</f>
        <v>0</v>
      </c>
      <c r="K19" s="7">
        <f ca="1">IF(K$2=Inputs!$B196,Inputs!$B195,0)*(1+inf)^J$1</f>
        <v>0</v>
      </c>
      <c r="L19" s="7">
        <f ca="1">IF(L$2=Inputs!$B196,Inputs!$B195,0)*(1+inf)^K$1</f>
        <v>0</v>
      </c>
      <c r="M19" s="7">
        <f ca="1">IF(M$2=Inputs!$B196,Inputs!$B195,0)*(1+inf)^L$1</f>
        <v>0</v>
      </c>
      <c r="N19" s="7">
        <f ca="1">IF(N$2=Inputs!$B196,Inputs!$B195,0)*(1+inf)^M$1</f>
        <v>0</v>
      </c>
      <c r="O19" s="7">
        <f ca="1">IF(O$2=Inputs!$B196,Inputs!$B195,0)*(1+inf)^N$1</f>
        <v>0</v>
      </c>
      <c r="P19" s="7">
        <f ca="1">IF(P$2=Inputs!$B196,Inputs!$B195,0)*(1+inf)^O$1</f>
        <v>0</v>
      </c>
      <c r="Q19" s="7">
        <f ca="1">IF(Q$2=Inputs!$B196,Inputs!$B195,0)*(1+inf)^P$1</f>
        <v>0</v>
      </c>
      <c r="R19" s="7">
        <f ca="1">IF(R$2=Inputs!$B196,Inputs!$B195,0)*(1+inf)^Q$1</f>
        <v>0</v>
      </c>
      <c r="S19" s="7">
        <f ca="1">IF(S$2=Inputs!$B196,Inputs!$B195,0)*(1+inf)^R$1</f>
        <v>0</v>
      </c>
      <c r="T19" s="7">
        <f ca="1">IF(T$2=Inputs!$B196,Inputs!$B195,0)*(1+inf)^S$1</f>
        <v>0</v>
      </c>
      <c r="U19" s="7">
        <f ca="1">IF(U$2=Inputs!$B196,Inputs!$B195,0)*(1+inf)^T$1</f>
        <v>0</v>
      </c>
      <c r="V19" s="7">
        <f ca="1">IF(V$2=Inputs!$B196,Inputs!$B195,0)*(1+inf)^U$1</f>
        <v>0</v>
      </c>
      <c r="W19" s="7">
        <f ca="1">IF(W$2=Inputs!$B196,Inputs!$B195,0)*(1+inf)^V$1</f>
        <v>0</v>
      </c>
      <c r="X19" s="7">
        <f ca="1">IF(X$2=Inputs!$B196,Inputs!$B195,0)*(1+inf)^W$1</f>
        <v>0</v>
      </c>
      <c r="Y19" s="7">
        <f ca="1">IF(Y$2=Inputs!$B196,Inputs!$B195,0)*(1+inf)^X$1</f>
        <v>0</v>
      </c>
      <c r="Z19" s="7">
        <f ca="1">IF(Z$2=Inputs!$B196,Inputs!$B195,0)*(1+inf)^Y$1</f>
        <v>0</v>
      </c>
      <c r="AA19" s="7">
        <f ca="1">IF(AA$2=Inputs!$B196,Inputs!$B195,0)*(1+inf)^Z$1</f>
        <v>0</v>
      </c>
      <c r="AB19" s="7">
        <f ca="1">IF(AB$2=Inputs!$B196,Inputs!$B195,0)*(1+inf)^AA$1</f>
        <v>0</v>
      </c>
      <c r="AC19" s="7">
        <f ca="1">IF(AC$2=Inputs!$B196,Inputs!$B195,0)*(1+inf)^AB$1</f>
        <v>0</v>
      </c>
      <c r="AD19" s="7">
        <f ca="1">IF(AD$2=Inputs!$B196,Inputs!$B195,0)*(1+inf)^AC$1</f>
        <v>0</v>
      </c>
      <c r="AE19" s="7">
        <f ca="1">IF(AE$2=Inputs!$B196,Inputs!$B195,0)*(1+inf)^AD$1</f>
        <v>0</v>
      </c>
      <c r="AF19" s="7">
        <f ca="1">IF(AF$2=Inputs!$B196,Inputs!$B195,0)*(1+inf)^AE$1</f>
        <v>0</v>
      </c>
      <c r="AG19" s="7">
        <f ca="1">IF(AG$2=Inputs!$B196,Inputs!$B195,0)*(1+inf)^AF$1</f>
        <v>0</v>
      </c>
      <c r="AH19" s="7">
        <f ca="1">IF(AH$2=Inputs!$B196,Inputs!$B195,0)*(1+inf)^AG$1</f>
        <v>0</v>
      </c>
      <c r="AI19" s="7">
        <f ca="1">IF(AI$2=Inputs!$B196,Inputs!$B195,0)*(1+inf)^AH$1</f>
        <v>0</v>
      </c>
      <c r="AJ19" s="7">
        <f ca="1">IF(AJ$2=Inputs!$B196,Inputs!$B195,0)*(1+inf)^AI$1</f>
        <v>0</v>
      </c>
      <c r="AK19" s="7">
        <f ca="1">IF(AK$2=Inputs!$B196,Inputs!$B195,0)*(1+inf)^AJ$1</f>
        <v>0</v>
      </c>
      <c r="AL19" s="7">
        <f ca="1">IF(AL$2=Inputs!$B196,Inputs!$B195,0)*(1+inf)^AK$1</f>
        <v>0</v>
      </c>
      <c r="AM19" s="7">
        <f ca="1">IF(AM$2=Inputs!$B196,Inputs!$B195,0)*(1+inf)^AL$1</f>
        <v>0</v>
      </c>
    </row>
    <row r="20" spans="1:39" x14ac:dyDescent="0.2">
      <c r="A20" s="4" t="s">
        <v>8</v>
      </c>
      <c r="C20" s="7">
        <f ca="1">MAX(AVERAGE(C62,C62+SUM(C5:C19)-C59)*Inputs!$B$259,0)</f>
        <v>1392.7083333333337</v>
      </c>
      <c r="D20" s="7">
        <f ca="1">MAX(AVERAGE(D62,D62+SUM(D5:D19)-D59)*Inputs!$B$259,0)</f>
        <v>1691.0072916666672</v>
      </c>
      <c r="E20" s="7">
        <f ca="1">MAX(AVERAGE(E62,E62+SUM(E5:E19)-E59)*Inputs!$B$259,0)</f>
        <v>2049.0801822916678</v>
      </c>
      <c r="F20" s="7">
        <f ca="1">MAX(AVERAGE(F62,F62+SUM(F5:F19)-F59)*Inputs!$B$259,0)</f>
        <v>1174.1476641744475</v>
      </c>
      <c r="G20" s="7">
        <f ca="1">MAX(AVERAGE(G62,G62+SUM(G5:G19)-G59)*Inputs!$B$259,0)</f>
        <v>0</v>
      </c>
      <c r="H20" s="7">
        <f ca="1">MAX(AVERAGE(H62,H62+SUM(H5:H19)-H59)*Inputs!$B$259,0)</f>
        <v>0</v>
      </c>
      <c r="I20" s="7">
        <f ca="1">MAX(AVERAGE(I62,I62+SUM(I5:I19)-I59)*Inputs!$B$259,0)</f>
        <v>0</v>
      </c>
      <c r="J20" s="7">
        <f ca="1">MAX(AVERAGE(J62,J62+SUM(J5:J19)-J59)*Inputs!$B$259,0)</f>
        <v>0</v>
      </c>
      <c r="K20" s="7">
        <f ca="1">MAX(AVERAGE(K62,K62+SUM(K5:K19)-K59)*Inputs!$B$259,0)</f>
        <v>0</v>
      </c>
      <c r="L20" s="7">
        <f ca="1">MAX(AVERAGE(L62,L62+SUM(L5:L19)-L59)*Inputs!$B$259,0)</f>
        <v>0</v>
      </c>
      <c r="M20" s="7">
        <f ca="1">MAX(AVERAGE(M62,M62+SUM(M5:M19)-M59)*Inputs!$B$259,0)</f>
        <v>0</v>
      </c>
      <c r="N20" s="7">
        <f ca="1">MAX(AVERAGE(N62,N62+SUM(N5:N19)-N59)*Inputs!$B$259,0)</f>
        <v>0</v>
      </c>
      <c r="O20" s="7">
        <f ca="1">MAX(AVERAGE(O62,O62+SUM(O5:O19)-O59)*Inputs!$B$259,0)</f>
        <v>0</v>
      </c>
      <c r="P20" s="7">
        <f ca="1">MAX(AVERAGE(P62,P62+SUM(P5:P19)-P59)*Inputs!$B$259,0)</f>
        <v>0</v>
      </c>
      <c r="Q20" s="7">
        <f ca="1">MAX(AVERAGE(Q62,Q62+SUM(Q5:Q19)-Q59)*Inputs!$B$259,0)</f>
        <v>0</v>
      </c>
      <c r="R20" s="7">
        <f ca="1">MAX(AVERAGE(R62,R62+SUM(R5:R19)-R59)*Inputs!$B$259,0)</f>
        <v>0</v>
      </c>
      <c r="S20" s="7">
        <f ca="1">MAX(AVERAGE(S62,S62+SUM(S5:S19)-S59)*Inputs!$B$259,0)</f>
        <v>0</v>
      </c>
      <c r="T20" s="7">
        <f ca="1">MAX(AVERAGE(T62,T62+SUM(T5:T19)-T59)*Inputs!$B$259,0)</f>
        <v>0</v>
      </c>
      <c r="U20" s="7">
        <f ca="1">MAX(AVERAGE(U62,U62+SUM(U5:U19)-U59)*Inputs!$B$259,0)</f>
        <v>0</v>
      </c>
      <c r="V20" s="7">
        <f ca="1">MAX(AVERAGE(V62,V62+SUM(V5:V19)-V59)*Inputs!$B$259,0)</f>
        <v>0</v>
      </c>
      <c r="W20" s="7">
        <f ca="1">MAX(AVERAGE(W62,W62+SUM(W5:W19)-W59)*Inputs!$B$259,0)</f>
        <v>0</v>
      </c>
      <c r="X20" s="7">
        <f ca="1">MAX(AVERAGE(X62,X62+SUM(X5:X19)-X59)*Inputs!$B$259,0)</f>
        <v>0</v>
      </c>
      <c r="Y20" s="7">
        <f ca="1">MAX(AVERAGE(Y62,Y62+SUM(Y5:Y19)-Y59)*Inputs!$B$259,0)</f>
        <v>0</v>
      </c>
      <c r="Z20" s="7">
        <f ca="1">MAX(AVERAGE(Z62,Z62+SUM(Z5:Z19)-Z59)*Inputs!$B$259,0)</f>
        <v>0</v>
      </c>
      <c r="AA20" s="7">
        <f ca="1">MAX(AVERAGE(AA62,AA62+SUM(AA5:AA19)-AA59)*Inputs!$B$259,0)</f>
        <v>0</v>
      </c>
      <c r="AB20" s="7">
        <f ca="1">MAX(AVERAGE(AB62,AB62+SUM(AB5:AB19)-AB59)*Inputs!$B$259,0)</f>
        <v>0</v>
      </c>
      <c r="AC20" s="7">
        <f ca="1">MAX(AVERAGE(AC62,AC62+SUM(AC5:AC19)-AC59)*Inputs!$B$259,0)</f>
        <v>0</v>
      </c>
      <c r="AD20" s="7">
        <f ca="1">MAX(AVERAGE(AD62,AD62+SUM(AD5:AD19)-AD59)*Inputs!$B$259,0)</f>
        <v>0</v>
      </c>
      <c r="AE20" s="7">
        <f ca="1">MAX(AVERAGE(AE62,AE62+SUM(AE5:AE19)-AE59)*Inputs!$B$259,0)</f>
        <v>0</v>
      </c>
      <c r="AF20" s="7">
        <f ca="1">MAX(AVERAGE(AF62,AF62+SUM(AF5:AF19)-AF59)*Inputs!$B$259,0)</f>
        <v>0</v>
      </c>
      <c r="AG20" s="7">
        <f ca="1">MAX(AVERAGE(AG62,AG62+SUM(AG5:AG19)-AG59)*Inputs!$B$259,0)</f>
        <v>0</v>
      </c>
      <c r="AH20" s="7">
        <f ca="1">MAX(AVERAGE(AH62,AH62+SUM(AH5:AH19)-AH59)*Inputs!$B$259,0)</f>
        <v>0</v>
      </c>
      <c r="AI20" s="7">
        <f ca="1">MAX(AVERAGE(AI62,AI62+SUM(AI5:AI19)-AI59)*Inputs!$B$259,0)</f>
        <v>0</v>
      </c>
      <c r="AJ20" s="7">
        <f ca="1">MAX(AVERAGE(AJ62,AJ62+SUM(AJ5:AJ19)-AJ59)*Inputs!$B$259,0)</f>
        <v>0</v>
      </c>
      <c r="AK20" s="7">
        <f ca="1">MAX(AVERAGE(AK62,AK62+SUM(AK5:AK19)-AK59)*Inputs!$B$259,0)</f>
        <v>0</v>
      </c>
      <c r="AL20" s="7">
        <f ca="1">MAX(AVERAGE(AL62,AL62+SUM(AL5:AL19)-AL59)*Inputs!$B$259,0)</f>
        <v>0</v>
      </c>
      <c r="AM20" s="7">
        <f ca="1">MAX(AVERAGE(AM62,AM62+SUM(AM5:AM19)-AM59)*Inputs!$B$259,0)</f>
        <v>0</v>
      </c>
    </row>
    <row r="21" spans="1:39" x14ac:dyDescent="0.2">
      <c r="C21" s="9">
        <f ca="1">SUM(C4:C20)</f>
        <v>104309.37500000001</v>
      </c>
      <c r="D21" s="9">
        <f t="shared" ref="D21:AM21" ca="1" si="35">SUM(D4:D20)</f>
        <v>121761.84062500001</v>
      </c>
      <c r="E21" s="9">
        <f t="shared" ca="1" si="35"/>
        <v>125711.78851562501</v>
      </c>
      <c r="F21" s="9">
        <f t="shared" ca="1" si="35"/>
        <v>51886.977247507784</v>
      </c>
      <c r="G21" s="9">
        <f t="shared" ca="1" si="35"/>
        <v>41131.47212708334</v>
      </c>
      <c r="H21" s="9">
        <f t="shared" ca="1" si="35"/>
        <v>42354.378161989582</v>
      </c>
      <c r="I21" s="9">
        <f t="shared" ca="1" si="35"/>
        <v>49412.162515784818</v>
      </c>
      <c r="J21" s="9">
        <f t="shared" ca="1" si="35"/>
        <v>44910.509353279849</v>
      </c>
      <c r="K21" s="9">
        <f t="shared" ca="1" si="35"/>
        <v>46245.937776341569</v>
      </c>
      <c r="L21" s="9">
        <f t="shared" ca="1" si="35"/>
        <v>110064.28037803998</v>
      </c>
      <c r="M21" s="9">
        <f t="shared" ca="1" si="35"/>
        <v>64398.29173773322</v>
      </c>
      <c r="N21" s="9">
        <f t="shared" ca="1" si="35"/>
        <v>63616.46125616895</v>
      </c>
      <c r="O21" s="9">
        <f t="shared" ca="1" si="35"/>
        <v>65446.229894385942</v>
      </c>
      <c r="P21" s="9">
        <f t="shared" ca="1" si="35"/>
        <v>67328.923461762737</v>
      </c>
      <c r="Q21" s="9">
        <f t="shared" ca="1" si="35"/>
        <v>69266.08050292448</v>
      </c>
      <c r="R21" s="9">
        <f t="shared" ca="1" si="35"/>
        <v>71259.284488753794</v>
      </c>
      <c r="S21" s="9">
        <f t="shared" ca="1" si="35"/>
        <v>73310.165133426519</v>
      </c>
      <c r="T21" s="9">
        <f t="shared" ca="1" si="35"/>
        <v>93375.495232079193</v>
      </c>
      <c r="U21" s="9">
        <f t="shared" ca="1" si="35"/>
        <v>95995.687515961486</v>
      </c>
      <c r="V21" s="9">
        <f t="shared" ca="1" si="35"/>
        <v>98689.958754033272</v>
      </c>
      <c r="W21" s="9">
        <f t="shared" ca="1" si="35"/>
        <v>101460.41814456202</v>
      </c>
      <c r="X21" s="9">
        <f t="shared" ca="1" si="35"/>
        <v>104309.23533250429</v>
      </c>
      <c r="Y21" s="9">
        <f t="shared" ca="1" si="35"/>
        <v>86579.785381213849</v>
      </c>
      <c r="Z21" s="9">
        <f t="shared" ca="1" si="35"/>
        <v>89075.606230193065</v>
      </c>
      <c r="AA21" s="9">
        <f t="shared" ca="1" si="35"/>
        <v>91643.762386830189</v>
      </c>
      <c r="AB21" s="9">
        <f t="shared" ca="1" si="35"/>
        <v>94286.360427409731</v>
      </c>
      <c r="AC21" s="9">
        <f t="shared" ca="1" si="35"/>
        <v>97005.56853843102</v>
      </c>
      <c r="AD21" s="9">
        <f t="shared" ca="1" si="35"/>
        <v>99803.618325237912</v>
      </c>
      <c r="AE21" s="9">
        <f t="shared" ca="1" si="35"/>
        <v>102682.80667391536</v>
      </c>
      <c r="AF21" s="9">
        <f t="shared" ca="1" si="35"/>
        <v>105645.49766802615</v>
      </c>
      <c r="AG21" s="9">
        <f t="shared" ca="1" si="35"/>
        <v>108694.12456180759</v>
      </c>
      <c r="AH21" s="9">
        <f t="shared" ca="1" si="35"/>
        <v>111831.191811496</v>
      </c>
      <c r="AI21" s="9">
        <f t="shared" ca="1" si="35"/>
        <v>115059.27716649591</v>
      </c>
      <c r="AJ21" s="9">
        <f t="shared" ca="1" si="35"/>
        <v>118381.03382216219</v>
      </c>
      <c r="AK21" s="9">
        <f t="shared" ca="1" si="35"/>
        <v>121799.19263601523</v>
      </c>
      <c r="AL21" s="9">
        <f t="shared" ca="1" si="35"/>
        <v>125316.56440926359</v>
      </c>
      <c r="AM21" s="9">
        <f t="shared" ca="1" si="35"/>
        <v>128936.04223556363</v>
      </c>
    </row>
    <row r="22" spans="1:39" ht="19" x14ac:dyDescent="0.25">
      <c r="A22" s="12" t="s">
        <v>18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">
      <c r="A23" s="4" t="s">
        <v>65</v>
      </c>
      <c r="C23" s="7">
        <f>Inputs!B124</f>
        <v>1000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</row>
    <row r="24" spans="1:39" x14ac:dyDescent="0.2">
      <c r="A24" s="4" t="s">
        <v>13</v>
      </c>
      <c r="C24" s="7">
        <f ca="1">MIN(IF(B$1=0,MthRem,12), MAX(Inputs!$G$15-IF(B$1=0,0,B$1*12+MthOff), 0))*Inputs!$B$17</f>
        <v>8000</v>
      </c>
      <c r="D24" s="7">
        <f ca="1">MIN(IF(C$1=0,MthRem,12), MAX(Inputs!$G$15-IF(C$1=0,0,C$1*12+MthOff), 0))*Inputs!$B$17</f>
        <v>9600</v>
      </c>
      <c r="E24" s="7">
        <f ca="1">MIN(IF(D$1=0,MthRem,12), MAX(Inputs!$G$15-IF(D$1=0,0,D$1*12+MthOff), 0))*Inputs!$B$17</f>
        <v>9600</v>
      </c>
      <c r="F24" s="7">
        <f ca="1">MIN(IF(E$1=0,MthRem,12), MAX(Inputs!$G$15-IF(E$1=0,0,E$1*12+MthOff), 0))*Inputs!$B$17</f>
        <v>9600</v>
      </c>
      <c r="G24" s="7">
        <f ca="1">MIN(IF(F$1=0,MthRem,12), MAX(Inputs!$G$15-IF(F$1=0,0,F$1*12+MthOff), 0))*Inputs!$B$17</f>
        <v>9600</v>
      </c>
      <c r="H24" s="7">
        <f ca="1">MIN(IF(G$1=0,MthRem,12), MAX(Inputs!$G$15-IF(G$1=0,0,G$1*12+MthOff), 0))*Inputs!$B$17</f>
        <v>8035.6231080800517</v>
      </c>
      <c r="I24" s="7">
        <f ca="1">MIN(IF(H$1=0,MthRem,12), MAX(Inputs!$G$15-IF(H$1=0,0,H$1*12+MthOff), 0))*Inputs!$B$17</f>
        <v>0</v>
      </c>
      <c r="J24" s="7">
        <f ca="1">MIN(IF(I$1=0,MthRem,12), MAX(Inputs!$G$15-IF(I$1=0,0,I$1*12+MthOff), 0))*Inputs!$B$17</f>
        <v>0</v>
      </c>
      <c r="K24" s="7">
        <f ca="1">MIN(IF(J$1=0,MthRem,12), MAX(Inputs!$G$15-IF(J$1=0,0,J$1*12+MthOff), 0))*Inputs!$B$17</f>
        <v>0</v>
      </c>
      <c r="L24" s="7">
        <f ca="1">MIN(IF(K$1=0,MthRem,12), MAX(Inputs!$G$15-IF(K$1=0,0,K$1*12+MthOff), 0))*Inputs!$B$17</f>
        <v>0</v>
      </c>
      <c r="M24" s="7">
        <f ca="1">MIN(IF(L$1=0,MthRem,12), MAX(Inputs!$G$15-IF(L$1=0,0,L$1*12+MthOff), 0))*Inputs!$B$17</f>
        <v>0</v>
      </c>
      <c r="N24" s="7">
        <f ca="1">MIN(IF(M$1=0,MthRem,12), MAX(Inputs!$G$15-IF(M$1=0,0,M$1*12+MthOff), 0))*Inputs!$B$17</f>
        <v>0</v>
      </c>
      <c r="O24" s="7">
        <f ca="1">MIN(IF(N$1=0,MthRem,12), MAX(Inputs!$G$15-IF(N$1=0,0,N$1*12+MthOff), 0))*Inputs!$B$17</f>
        <v>0</v>
      </c>
      <c r="P24" s="7">
        <f ca="1">MIN(IF(O$1=0,MthRem,12), MAX(Inputs!$G$15-IF(O$1=0,0,O$1*12+MthOff), 0))*Inputs!$B$17</f>
        <v>0</v>
      </c>
      <c r="Q24" s="7">
        <f ca="1">MIN(IF(P$1=0,MthRem,12), MAX(Inputs!$G$15-IF(P$1=0,0,P$1*12+MthOff), 0))*Inputs!$B$17</f>
        <v>0</v>
      </c>
      <c r="R24" s="7">
        <f ca="1">MIN(IF(Q$1=0,MthRem,12), MAX(Inputs!$G$15-IF(Q$1=0,0,Q$1*12+MthOff), 0))*Inputs!$B$17</f>
        <v>0</v>
      </c>
      <c r="S24" s="7">
        <f ca="1">MIN(IF(R$1=0,MthRem,12), MAX(Inputs!$G$15-IF(R$1=0,0,R$1*12+MthOff), 0))*Inputs!$B$17</f>
        <v>0</v>
      </c>
      <c r="T24" s="7">
        <f ca="1">MIN(IF(S$1=0,MthRem,12), MAX(Inputs!$G$15-IF(S$1=0,0,S$1*12+MthOff), 0))*Inputs!$B$17</f>
        <v>0</v>
      </c>
      <c r="U24" s="7">
        <f ca="1">MIN(IF(T$1=0,MthRem,12), MAX(Inputs!$G$15-IF(T$1=0,0,T$1*12+MthOff), 0))*Inputs!$B$17</f>
        <v>0</v>
      </c>
      <c r="V24" s="7">
        <f ca="1">MIN(IF(U$1=0,MthRem,12), MAX(Inputs!$G$15-IF(U$1=0,0,U$1*12+MthOff), 0))*Inputs!$B$17</f>
        <v>0</v>
      </c>
      <c r="W24" s="7">
        <f ca="1">MIN(IF(V$1=0,MthRem,12), MAX(Inputs!$G$15-IF(V$1=0,0,V$1*12+MthOff), 0))*Inputs!$B$17</f>
        <v>0</v>
      </c>
      <c r="X24" s="7">
        <f ca="1">MIN(IF(W$1=0,MthRem,12), MAX(Inputs!$G$15-IF(W$1=0,0,W$1*12+MthOff), 0))*Inputs!$B$17</f>
        <v>0</v>
      </c>
      <c r="Y24" s="7">
        <f ca="1">MIN(IF(X$1=0,MthRem,12), MAX(Inputs!$G$15-IF(X$1=0,0,X$1*12+MthOff), 0))*Inputs!$B$17</f>
        <v>0</v>
      </c>
      <c r="Z24" s="7">
        <f ca="1">MIN(IF(Y$1=0,MthRem,12), MAX(Inputs!$G$15-IF(Y$1=0,0,Y$1*12+MthOff), 0))*Inputs!$B$17</f>
        <v>0</v>
      </c>
      <c r="AA24" s="7">
        <f ca="1">MIN(IF(Z$1=0,MthRem,12), MAX(Inputs!$G$15-IF(Z$1=0,0,Z$1*12+MthOff), 0))*Inputs!$B$17</f>
        <v>0</v>
      </c>
      <c r="AB24" s="7">
        <f ca="1">MIN(IF(AA$1=0,MthRem,12), MAX(Inputs!$G$15-IF(AA$1=0,0,AA$1*12+MthOff), 0))*Inputs!$B$17</f>
        <v>0</v>
      </c>
      <c r="AC24" s="7">
        <f ca="1">MIN(IF(AB$1=0,MthRem,12), MAX(Inputs!$G$15-IF(AB$1=0,0,AB$1*12+MthOff), 0))*Inputs!$B$17</f>
        <v>0</v>
      </c>
      <c r="AD24" s="7">
        <f ca="1">MIN(IF(AC$1=0,MthRem,12), MAX(Inputs!$G$15-IF(AC$1=0,0,AC$1*12+MthOff), 0))*Inputs!$B$17</f>
        <v>0</v>
      </c>
      <c r="AE24" s="7">
        <f ca="1">MIN(IF(AD$1=0,MthRem,12), MAX(Inputs!$G$15-IF(AD$1=0,0,AD$1*12+MthOff), 0))*Inputs!$B$17</f>
        <v>0</v>
      </c>
      <c r="AF24" s="7">
        <f ca="1">MIN(IF(AE$1=0,MthRem,12), MAX(Inputs!$G$15-IF(AE$1=0,0,AE$1*12+MthOff), 0))*Inputs!$B$17</f>
        <v>0</v>
      </c>
      <c r="AG24" s="7">
        <f ca="1">MIN(IF(AF$1=0,MthRem,12), MAX(Inputs!$G$15-IF(AF$1=0,0,AF$1*12+MthOff), 0))*Inputs!$B$17</f>
        <v>0</v>
      </c>
      <c r="AH24" s="7">
        <f ca="1">MIN(IF(AG$1=0,MthRem,12), MAX(Inputs!$G$15-IF(AG$1=0,0,AG$1*12+MthOff), 0))*Inputs!$B$17</f>
        <v>0</v>
      </c>
      <c r="AI24" s="7">
        <f ca="1">MIN(IF(AH$1=0,MthRem,12), MAX(Inputs!$G$15-IF(AH$1=0,0,AH$1*12+MthOff), 0))*Inputs!$B$17</f>
        <v>0</v>
      </c>
      <c r="AJ24" s="7">
        <f ca="1">MIN(IF(AI$1=0,MthRem,12), MAX(Inputs!$G$15-IF(AI$1=0,0,AI$1*12+MthOff), 0))*Inputs!$B$17</f>
        <v>0</v>
      </c>
      <c r="AK24" s="7">
        <f ca="1">MIN(IF(AJ$1=0,MthRem,12), MAX(Inputs!$G$15-IF(AJ$1=0,0,AJ$1*12+MthOff), 0))*Inputs!$B$17</f>
        <v>0</v>
      </c>
      <c r="AL24" s="7">
        <f ca="1">MIN(IF(AK$1=0,MthRem,12), MAX(Inputs!$G$15-IF(AK$1=0,0,AK$1*12+MthOff), 0))*Inputs!$B$17</f>
        <v>0</v>
      </c>
      <c r="AM24" s="7">
        <f ca="1">MIN(IF(AL$1=0,MthRem,12), MAX(Inputs!$G$15-IF(AL$1=0,0,AL$1*12+MthOff), 0))*Inputs!$B$17</f>
        <v>0</v>
      </c>
    </row>
    <row r="25" spans="1:39" x14ac:dyDescent="0.2">
      <c r="A25" s="4" t="s">
        <v>200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">
      <c r="A26" s="3" t="str">
        <f>TEXT(Inputs!$B$60,"")</f>
        <v>Sliema</v>
      </c>
      <c r="C26" s="7">
        <f ca="1">MIN(IF(B$1=0,MthRem,12), MAX(Inputs!$G$127-IF(B$1=0,0,B$1*12+MthOff), 0))*Inputs!$B$129</f>
        <v>5000</v>
      </c>
      <c r="D26" s="7">
        <f ca="1">MIN(IF(C$1=0,MthRem,12), MAX(Inputs!$G$127-IF(C$1=0,0,C$1*12+MthOff), 0))*Inputs!$B$129</f>
        <v>6000</v>
      </c>
      <c r="E26" s="7">
        <f ca="1">MIN(IF(D$1=0,MthRem,12), MAX(Inputs!$G$127-IF(D$1=0,0,D$1*12+MthOff), 0))*Inputs!$B$129</f>
        <v>6000</v>
      </c>
      <c r="F26" s="7">
        <f ca="1">MIN(IF(E$1=0,MthRem,12), MAX(Inputs!$G$127-IF(E$1=0,0,E$1*12+MthOff), 0))*Inputs!$B$129</f>
        <v>6000</v>
      </c>
      <c r="G26" s="7">
        <f ca="1">MIN(IF(F$1=0,MthRem,12), MAX(Inputs!$G$127-IF(F$1=0,0,F$1*12+MthOff), 0))*Inputs!$B$129</f>
        <v>6000</v>
      </c>
      <c r="H26" s="7">
        <f ca="1">MIN(IF(G$1=0,MthRem,12), MAX(Inputs!$G$127-IF(G$1=0,0,G$1*12+MthOff), 0))*Inputs!$B$129</f>
        <v>6000</v>
      </c>
      <c r="I26" s="7">
        <f ca="1">MIN(IF(H$1=0,MthRem,12), MAX(Inputs!$G$127-IF(H$1=0,0,H$1*12+MthOff), 0))*Inputs!$B$129</f>
        <v>6000</v>
      </c>
      <c r="J26" s="7">
        <f ca="1">MIN(IF(I$1=0,MthRem,12), MAX(Inputs!$G$127-IF(I$1=0,0,I$1*12+MthOff), 0))*Inputs!$B$129</f>
        <v>6000</v>
      </c>
      <c r="K26" s="7">
        <f ca="1">MIN(IF(J$1=0,MthRem,12), MAX(Inputs!$G$127-IF(J$1=0,0,J$1*12+MthOff), 0))*Inputs!$B$129</f>
        <v>6000</v>
      </c>
      <c r="L26" s="7">
        <f ca="1">MIN(IF(K$1=0,MthRem,12), MAX(Inputs!$G$127-IF(K$1=0,0,K$1*12+MthOff), 0))*Inputs!$B$129</f>
        <v>4608.3050789871932</v>
      </c>
      <c r="M26" s="7">
        <f ca="1">MIN(IF(L$1=0,MthRem,12), MAX(Inputs!$G$127-IF(L$1=0,0,L$1*12+MthOff), 0))*Inputs!$B$129</f>
        <v>0</v>
      </c>
      <c r="N26" s="7">
        <f ca="1">MIN(IF(M$1=0,MthRem,12), MAX(Inputs!$G$127-IF(M$1=0,0,M$1*12+MthOff), 0))*Inputs!$B$129</f>
        <v>0</v>
      </c>
      <c r="O26" s="7">
        <f ca="1">MIN(IF(N$1=0,MthRem,12), MAX(Inputs!$G$127-IF(N$1=0,0,N$1*12+MthOff), 0))*Inputs!$B$129</f>
        <v>0</v>
      </c>
      <c r="P26" s="7">
        <f ca="1">MIN(IF(O$1=0,MthRem,12), MAX(Inputs!$G$127-IF(O$1=0,0,O$1*12+MthOff), 0))*Inputs!$B$129</f>
        <v>0</v>
      </c>
      <c r="Q26" s="7">
        <f ca="1">MIN(IF(P$1=0,MthRem,12), MAX(Inputs!$G$127-IF(P$1=0,0,P$1*12+MthOff), 0))*Inputs!$B$129</f>
        <v>0</v>
      </c>
      <c r="R26" s="7">
        <f ca="1">MIN(IF(Q$1=0,MthRem,12), MAX(Inputs!$G$127-IF(Q$1=0,0,Q$1*12+MthOff), 0))*Inputs!$B$129</f>
        <v>0</v>
      </c>
      <c r="S26" s="7">
        <f ca="1">MIN(IF(R$1=0,MthRem,12), MAX(Inputs!$G$127-IF(R$1=0,0,R$1*12+MthOff), 0))*Inputs!$B$129</f>
        <v>0</v>
      </c>
      <c r="T26" s="7">
        <f ca="1">MIN(IF(S$1=0,MthRem,12), MAX(Inputs!$G$127-IF(S$1=0,0,S$1*12+MthOff), 0))*Inputs!$B$129</f>
        <v>0</v>
      </c>
      <c r="U26" s="7">
        <f ca="1">MIN(IF(T$1=0,MthRem,12), MAX(Inputs!$G$127-IF(T$1=0,0,T$1*12+MthOff), 0))*Inputs!$B$129</f>
        <v>0</v>
      </c>
      <c r="V26" s="7">
        <f ca="1">MIN(IF(U$1=0,MthRem,12), MAX(Inputs!$G$127-IF(U$1=0,0,U$1*12+MthOff), 0))*Inputs!$B$129</f>
        <v>0</v>
      </c>
      <c r="W26" s="7">
        <f ca="1">MIN(IF(V$1=0,MthRem,12), MAX(Inputs!$G$127-IF(V$1=0,0,V$1*12+MthOff), 0))*Inputs!$B$129</f>
        <v>0</v>
      </c>
      <c r="X26" s="7">
        <f ca="1">MIN(IF(W$1=0,MthRem,12), MAX(Inputs!$G$127-IF(W$1=0,0,W$1*12+MthOff), 0))*Inputs!$B$129</f>
        <v>0</v>
      </c>
      <c r="Y26" s="7">
        <f ca="1">MIN(IF(X$1=0,MthRem,12), MAX(Inputs!$G$127-IF(X$1=0,0,X$1*12+MthOff), 0))*Inputs!$B$129</f>
        <v>0</v>
      </c>
      <c r="Z26" s="7">
        <f ca="1">MIN(IF(Y$1=0,MthRem,12), MAX(Inputs!$G$127-IF(Y$1=0,0,Y$1*12+MthOff), 0))*Inputs!$B$129</f>
        <v>0</v>
      </c>
      <c r="AA26" s="7">
        <f ca="1">MIN(IF(Z$1=0,MthRem,12), MAX(Inputs!$G$127-IF(Z$1=0,0,Z$1*12+MthOff), 0))*Inputs!$B$129</f>
        <v>0</v>
      </c>
      <c r="AB26" s="7">
        <f ca="1">MIN(IF(AA$1=0,MthRem,12), MAX(Inputs!$G$127-IF(AA$1=0,0,AA$1*12+MthOff), 0))*Inputs!$B$129</f>
        <v>0</v>
      </c>
      <c r="AC26" s="7">
        <f ca="1">MIN(IF(AB$1=0,MthRem,12), MAX(Inputs!$G$127-IF(AB$1=0,0,AB$1*12+MthOff), 0))*Inputs!$B$129</f>
        <v>0</v>
      </c>
      <c r="AD26" s="7">
        <f ca="1">MIN(IF(AC$1=0,MthRem,12), MAX(Inputs!$G$127-IF(AC$1=0,0,AC$1*12+MthOff), 0))*Inputs!$B$129</f>
        <v>0</v>
      </c>
      <c r="AE26" s="7">
        <f ca="1">MIN(IF(AD$1=0,MthRem,12), MAX(Inputs!$G$127-IF(AD$1=0,0,AD$1*12+MthOff), 0))*Inputs!$B$129</f>
        <v>0</v>
      </c>
      <c r="AF26" s="7">
        <f ca="1">MIN(IF(AE$1=0,MthRem,12), MAX(Inputs!$G$127-IF(AE$1=0,0,AE$1*12+MthOff), 0))*Inputs!$B$129</f>
        <v>0</v>
      </c>
      <c r="AG26" s="7">
        <f ca="1">MIN(IF(AF$1=0,MthRem,12), MAX(Inputs!$G$127-IF(AF$1=0,0,AF$1*12+MthOff), 0))*Inputs!$B$129</f>
        <v>0</v>
      </c>
      <c r="AH26" s="7">
        <f ca="1">MIN(IF(AG$1=0,MthRem,12), MAX(Inputs!$G$127-IF(AG$1=0,0,AG$1*12+MthOff), 0))*Inputs!$B$129</f>
        <v>0</v>
      </c>
      <c r="AI26" s="7">
        <f ca="1">MIN(IF(AH$1=0,MthRem,12), MAX(Inputs!$G$127-IF(AH$1=0,0,AH$1*12+MthOff), 0))*Inputs!$B$129</f>
        <v>0</v>
      </c>
      <c r="AJ26" s="7">
        <f ca="1">MIN(IF(AI$1=0,MthRem,12), MAX(Inputs!$G$127-IF(AI$1=0,0,AI$1*12+MthOff), 0))*Inputs!$B$129</f>
        <v>0</v>
      </c>
      <c r="AK26" s="7">
        <f ca="1">MIN(IF(AJ$1=0,MthRem,12), MAX(Inputs!$G$127-IF(AJ$1=0,0,AJ$1*12+MthOff), 0))*Inputs!$B$129</f>
        <v>0</v>
      </c>
      <c r="AL26" s="7">
        <f ca="1">MIN(IF(AK$1=0,MthRem,12), MAX(Inputs!$G$127-IF(AK$1=0,0,AK$1*12+MthOff), 0))*Inputs!$B$129</f>
        <v>0</v>
      </c>
      <c r="AM26" s="7">
        <f ca="1">MIN(IF(AL$1=0,MthRem,12), MAX(Inputs!$G$127-IF(AL$1=0,0,AL$1*12+MthOff), 0))*Inputs!$B$129</f>
        <v>0</v>
      </c>
    </row>
    <row r="27" spans="1:39" x14ac:dyDescent="0.2">
      <c r="A27" s="3" t="str">
        <f>TEXT(Inputs!$B$65,"")</f>
        <v>Gzira</v>
      </c>
      <c r="C27" s="7">
        <f ca="1">MIN(IF(B$1=0,MthRem,12), MAX(Inputs!$G$132-IF(B$1=0,0,B$1*12+MthOff), 0))*Inputs!$B$134</f>
        <v>2000</v>
      </c>
      <c r="D27" s="7">
        <f ca="1">MIN(IF(C$1=0,MthRem,12), MAX(Inputs!$G$132-IF(C$1=0,0,C$1*12+MthOff), 0))*Inputs!$B$134</f>
        <v>2400</v>
      </c>
      <c r="E27" s="7">
        <f ca="1">MIN(IF(D$1=0,MthRem,12), MAX(Inputs!$G$132-IF(D$1=0,0,D$1*12+MthOff), 0))*Inputs!$B$134</f>
        <v>2400</v>
      </c>
      <c r="F27" s="7">
        <f ca="1">MIN(IF(E$1=0,MthRem,12), MAX(Inputs!$G$132-IF(E$1=0,0,E$1*12+MthOff), 0))*Inputs!$B$134</f>
        <v>2023.4029019573059</v>
      </c>
      <c r="G27" s="7">
        <f ca="1">MIN(IF(F$1=0,MthRem,12), MAX(Inputs!$G$132-IF(F$1=0,0,F$1*12+MthOff), 0))*Inputs!$B$134</f>
        <v>0</v>
      </c>
      <c r="H27" s="7">
        <f ca="1">MIN(IF(G$1=0,MthRem,12), MAX(Inputs!$G$132-IF(G$1=0,0,G$1*12+MthOff), 0))*Inputs!$B$134</f>
        <v>0</v>
      </c>
      <c r="I27" s="7">
        <f ca="1">MIN(IF(H$1=0,MthRem,12), MAX(Inputs!$G$132-IF(H$1=0,0,H$1*12+MthOff), 0))*Inputs!$B$134</f>
        <v>0</v>
      </c>
      <c r="J27" s="7">
        <f ca="1">MIN(IF(I$1=0,MthRem,12), MAX(Inputs!$G$132-IF(I$1=0,0,I$1*12+MthOff), 0))*Inputs!$B$134</f>
        <v>0</v>
      </c>
      <c r="K27" s="7">
        <f ca="1">MIN(IF(J$1=0,MthRem,12), MAX(Inputs!$G$132-IF(J$1=0,0,J$1*12+MthOff), 0))*Inputs!$B$134</f>
        <v>0</v>
      </c>
      <c r="L27" s="7">
        <f ca="1">MIN(IF(K$1=0,MthRem,12), MAX(Inputs!$G$132-IF(K$1=0,0,K$1*12+MthOff), 0))*Inputs!$B$134</f>
        <v>0</v>
      </c>
      <c r="M27" s="7">
        <f ca="1">MIN(IF(L$1=0,MthRem,12), MAX(Inputs!$G$132-IF(L$1=0,0,L$1*12+MthOff), 0))*Inputs!$B$134</f>
        <v>0</v>
      </c>
      <c r="N27" s="7">
        <f ca="1">MIN(IF(M$1=0,MthRem,12), MAX(Inputs!$G$132-IF(M$1=0,0,M$1*12+MthOff), 0))*Inputs!$B$134</f>
        <v>0</v>
      </c>
      <c r="O27" s="7">
        <f ca="1">MIN(IF(N$1=0,MthRem,12), MAX(Inputs!$G$132-IF(N$1=0,0,N$1*12+MthOff), 0))*Inputs!$B$134</f>
        <v>0</v>
      </c>
      <c r="P27" s="7">
        <f ca="1">MIN(IF(O$1=0,MthRem,12), MAX(Inputs!$G$132-IF(O$1=0,0,O$1*12+MthOff), 0))*Inputs!$B$134</f>
        <v>0</v>
      </c>
      <c r="Q27" s="7">
        <f ca="1">MIN(IF(P$1=0,MthRem,12), MAX(Inputs!$G$132-IF(P$1=0,0,P$1*12+MthOff), 0))*Inputs!$B$134</f>
        <v>0</v>
      </c>
      <c r="R27" s="7">
        <f ca="1">MIN(IF(Q$1=0,MthRem,12), MAX(Inputs!$G$132-IF(Q$1=0,0,Q$1*12+MthOff), 0))*Inputs!$B$134</f>
        <v>0</v>
      </c>
      <c r="S27" s="7">
        <f ca="1">MIN(IF(R$1=0,MthRem,12), MAX(Inputs!$G$132-IF(R$1=0,0,R$1*12+MthOff), 0))*Inputs!$B$134</f>
        <v>0</v>
      </c>
      <c r="T27" s="7">
        <f ca="1">MIN(IF(S$1=0,MthRem,12), MAX(Inputs!$G$132-IF(S$1=0,0,S$1*12+MthOff), 0))*Inputs!$B$134</f>
        <v>0</v>
      </c>
      <c r="U27" s="7">
        <f ca="1">MIN(IF(T$1=0,MthRem,12), MAX(Inputs!$G$132-IF(T$1=0,0,T$1*12+MthOff), 0))*Inputs!$B$134</f>
        <v>0</v>
      </c>
      <c r="V27" s="7">
        <f ca="1">MIN(IF(U$1=0,MthRem,12), MAX(Inputs!$G$132-IF(U$1=0,0,U$1*12+MthOff), 0))*Inputs!$B$134</f>
        <v>0</v>
      </c>
      <c r="W27" s="7">
        <f ca="1">MIN(IF(V$1=0,MthRem,12), MAX(Inputs!$G$132-IF(V$1=0,0,V$1*12+MthOff), 0))*Inputs!$B$134</f>
        <v>0</v>
      </c>
      <c r="X27" s="7">
        <f ca="1">MIN(IF(W$1=0,MthRem,12), MAX(Inputs!$G$132-IF(W$1=0,0,W$1*12+MthOff), 0))*Inputs!$B$134</f>
        <v>0</v>
      </c>
      <c r="Y27" s="7">
        <f ca="1">MIN(IF(X$1=0,MthRem,12), MAX(Inputs!$G$132-IF(X$1=0,0,X$1*12+MthOff), 0))*Inputs!$B$134</f>
        <v>0</v>
      </c>
      <c r="Z27" s="7">
        <f ca="1">MIN(IF(Y$1=0,MthRem,12), MAX(Inputs!$G$132-IF(Y$1=0,0,Y$1*12+MthOff), 0))*Inputs!$B$134</f>
        <v>0</v>
      </c>
      <c r="AA27" s="7">
        <f ca="1">MIN(IF(Z$1=0,MthRem,12), MAX(Inputs!$G$132-IF(Z$1=0,0,Z$1*12+MthOff), 0))*Inputs!$B$134</f>
        <v>0</v>
      </c>
      <c r="AB27" s="7">
        <f ca="1">MIN(IF(AA$1=0,MthRem,12), MAX(Inputs!$G$132-IF(AA$1=0,0,AA$1*12+MthOff), 0))*Inputs!$B$134</f>
        <v>0</v>
      </c>
      <c r="AC27" s="7">
        <f ca="1">MIN(IF(AB$1=0,MthRem,12), MAX(Inputs!$G$132-IF(AB$1=0,0,AB$1*12+MthOff), 0))*Inputs!$B$134</f>
        <v>0</v>
      </c>
      <c r="AD27" s="7">
        <f ca="1">MIN(IF(AC$1=0,MthRem,12), MAX(Inputs!$G$132-IF(AC$1=0,0,AC$1*12+MthOff), 0))*Inputs!$B$134</f>
        <v>0</v>
      </c>
      <c r="AE27" s="7">
        <f ca="1">MIN(IF(AD$1=0,MthRem,12), MAX(Inputs!$G$132-IF(AD$1=0,0,AD$1*12+MthOff), 0))*Inputs!$B$134</f>
        <v>0</v>
      </c>
      <c r="AF27" s="7">
        <f ca="1">MIN(IF(AE$1=0,MthRem,12), MAX(Inputs!$G$132-IF(AE$1=0,0,AE$1*12+MthOff), 0))*Inputs!$B$134</f>
        <v>0</v>
      </c>
      <c r="AG27" s="7">
        <f ca="1">MIN(IF(AF$1=0,MthRem,12), MAX(Inputs!$G$132-IF(AF$1=0,0,AF$1*12+MthOff), 0))*Inputs!$B$134</f>
        <v>0</v>
      </c>
      <c r="AH27" s="7">
        <f ca="1">MIN(IF(AG$1=0,MthRem,12), MAX(Inputs!$G$132-IF(AG$1=0,0,AG$1*12+MthOff), 0))*Inputs!$B$134</f>
        <v>0</v>
      </c>
      <c r="AI27" s="7">
        <f ca="1">MIN(IF(AH$1=0,MthRem,12), MAX(Inputs!$G$132-IF(AH$1=0,0,AH$1*12+MthOff), 0))*Inputs!$B$134</f>
        <v>0</v>
      </c>
      <c r="AJ27" s="7">
        <f ca="1">MIN(IF(AI$1=0,MthRem,12), MAX(Inputs!$G$132-IF(AI$1=0,0,AI$1*12+MthOff), 0))*Inputs!$B$134</f>
        <v>0</v>
      </c>
      <c r="AK27" s="7">
        <f ca="1">MIN(IF(AJ$1=0,MthRem,12), MAX(Inputs!$G$132-IF(AJ$1=0,0,AJ$1*12+MthOff), 0))*Inputs!$B$134</f>
        <v>0</v>
      </c>
      <c r="AL27" s="7">
        <f ca="1">MIN(IF(AK$1=0,MthRem,12), MAX(Inputs!$G$132-IF(AK$1=0,0,AK$1*12+MthOff), 0))*Inputs!$B$134</f>
        <v>0</v>
      </c>
      <c r="AM27" s="7">
        <f ca="1">MIN(IF(AL$1=0,MthRem,12), MAX(Inputs!$G$132-IF(AL$1=0,0,AL$1*12+MthOff), 0))*Inputs!$B$134</f>
        <v>0</v>
      </c>
    </row>
    <row r="28" spans="1:39" x14ac:dyDescent="0.2">
      <c r="A28" s="3" t="str">
        <f>TEXT(Inputs!$B$70,"")</f>
        <v>Qormi</v>
      </c>
      <c r="C28" s="7">
        <f ca="1">MIN(IF(B$1=0,MthRem,12), MAX(Inputs!$G$137-IF(B$1=0,0,B$1*12+MthOff), 0))*Inputs!$B$139</f>
        <v>2500</v>
      </c>
      <c r="D28" s="7">
        <f ca="1">MIN(IF(C$1=0,MthRem,12), MAX(Inputs!$G$137-IF(C$1=0,0,C$1*12+MthOff), 0))*Inputs!$B$139</f>
        <v>3000</v>
      </c>
      <c r="E28" s="7">
        <f ca="1">MIN(IF(D$1=0,MthRem,12), MAX(Inputs!$G$137-IF(D$1=0,0,D$1*12+MthOff), 0))*Inputs!$B$139</f>
        <v>3000</v>
      </c>
      <c r="F28" s="7">
        <f ca="1">MIN(IF(E$1=0,MthRem,12), MAX(Inputs!$G$137-IF(E$1=0,0,E$1*12+MthOff), 0))*Inputs!$B$139</f>
        <v>3000</v>
      </c>
      <c r="G28" s="7">
        <f ca="1">MIN(IF(F$1=0,MthRem,12), MAX(Inputs!$G$137-IF(F$1=0,0,F$1*12+MthOff), 0))*Inputs!$B$139</f>
        <v>3000</v>
      </c>
      <c r="H28" s="7">
        <f ca="1">MIN(IF(G$1=0,MthRem,12), MAX(Inputs!$G$137-IF(G$1=0,0,G$1*12+MthOff), 0))*Inputs!$B$139</f>
        <v>2796.8596856502154</v>
      </c>
      <c r="I28" s="7">
        <f ca="1">MIN(IF(H$1=0,MthRem,12), MAX(Inputs!$G$137-IF(H$1=0,0,H$1*12+MthOff), 0))*Inputs!$B$139</f>
        <v>0</v>
      </c>
      <c r="J28" s="7">
        <f ca="1">MIN(IF(I$1=0,MthRem,12), MAX(Inputs!$G$137-IF(I$1=0,0,I$1*12+MthOff), 0))*Inputs!$B$139</f>
        <v>0</v>
      </c>
      <c r="K28" s="7">
        <f ca="1">MIN(IF(J$1=0,MthRem,12), MAX(Inputs!$G$137-IF(J$1=0,0,J$1*12+MthOff), 0))*Inputs!$B$139</f>
        <v>0</v>
      </c>
      <c r="L28" s="7">
        <f ca="1">MIN(IF(K$1=0,MthRem,12), MAX(Inputs!$G$137-IF(K$1=0,0,K$1*12+MthOff), 0))*Inputs!$B$139</f>
        <v>0</v>
      </c>
      <c r="M28" s="7">
        <f ca="1">MIN(IF(L$1=0,MthRem,12), MAX(Inputs!$G$137-IF(L$1=0,0,L$1*12+MthOff), 0))*Inputs!$B$139</f>
        <v>0</v>
      </c>
      <c r="N28" s="7">
        <f ca="1">MIN(IF(M$1=0,MthRem,12), MAX(Inputs!$G$137-IF(M$1=0,0,M$1*12+MthOff), 0))*Inputs!$B$139</f>
        <v>0</v>
      </c>
      <c r="O28" s="7">
        <f ca="1">MIN(IF(N$1=0,MthRem,12), MAX(Inputs!$G$137-IF(N$1=0,0,N$1*12+MthOff), 0))*Inputs!$B$139</f>
        <v>0</v>
      </c>
      <c r="P28" s="7">
        <f ca="1">MIN(IF(O$1=0,MthRem,12), MAX(Inputs!$G$137-IF(O$1=0,0,O$1*12+MthOff), 0))*Inputs!$B$139</f>
        <v>0</v>
      </c>
      <c r="Q28" s="7">
        <f ca="1">MIN(IF(P$1=0,MthRem,12), MAX(Inputs!$G$137-IF(P$1=0,0,P$1*12+MthOff), 0))*Inputs!$B$139</f>
        <v>0</v>
      </c>
      <c r="R28" s="7">
        <f ca="1">MIN(IF(Q$1=0,MthRem,12), MAX(Inputs!$G$137-IF(Q$1=0,0,Q$1*12+MthOff), 0))*Inputs!$B$139</f>
        <v>0</v>
      </c>
      <c r="S28" s="7">
        <f ca="1">MIN(IF(R$1=0,MthRem,12), MAX(Inputs!$G$137-IF(R$1=0,0,R$1*12+MthOff), 0))*Inputs!$B$139</f>
        <v>0</v>
      </c>
      <c r="T28" s="7">
        <f ca="1">MIN(IF(S$1=0,MthRem,12), MAX(Inputs!$G$137-IF(S$1=0,0,S$1*12+MthOff), 0))*Inputs!$B$139</f>
        <v>0</v>
      </c>
      <c r="U28" s="7">
        <f ca="1">MIN(IF(T$1=0,MthRem,12), MAX(Inputs!$G$137-IF(T$1=0,0,T$1*12+MthOff), 0))*Inputs!$B$139</f>
        <v>0</v>
      </c>
      <c r="V28" s="7">
        <f ca="1">MIN(IF(U$1=0,MthRem,12), MAX(Inputs!$G$137-IF(U$1=0,0,U$1*12+MthOff), 0))*Inputs!$B$139</f>
        <v>0</v>
      </c>
      <c r="W28" s="7">
        <f ca="1">MIN(IF(V$1=0,MthRem,12), MAX(Inputs!$G$137-IF(V$1=0,0,V$1*12+MthOff), 0))*Inputs!$B$139</f>
        <v>0</v>
      </c>
      <c r="X28" s="7">
        <f ca="1">MIN(IF(W$1=0,MthRem,12), MAX(Inputs!$G$137-IF(W$1=0,0,W$1*12+MthOff), 0))*Inputs!$B$139</f>
        <v>0</v>
      </c>
      <c r="Y28" s="7">
        <f ca="1">MIN(IF(X$1=0,MthRem,12), MAX(Inputs!$G$137-IF(X$1=0,0,X$1*12+MthOff), 0))*Inputs!$B$139</f>
        <v>0</v>
      </c>
      <c r="Z28" s="7">
        <f ca="1">MIN(IF(Y$1=0,MthRem,12), MAX(Inputs!$G$137-IF(Y$1=0,0,Y$1*12+MthOff), 0))*Inputs!$B$139</f>
        <v>0</v>
      </c>
      <c r="AA28" s="7">
        <f ca="1">MIN(IF(Z$1=0,MthRem,12), MAX(Inputs!$G$137-IF(Z$1=0,0,Z$1*12+MthOff), 0))*Inputs!$B$139</f>
        <v>0</v>
      </c>
      <c r="AB28" s="7">
        <f ca="1">MIN(IF(AA$1=0,MthRem,12), MAX(Inputs!$G$137-IF(AA$1=0,0,AA$1*12+MthOff), 0))*Inputs!$B$139</f>
        <v>0</v>
      </c>
      <c r="AC28" s="7">
        <f ca="1">MIN(IF(AB$1=0,MthRem,12), MAX(Inputs!$G$137-IF(AB$1=0,0,AB$1*12+MthOff), 0))*Inputs!$B$139</f>
        <v>0</v>
      </c>
      <c r="AD28" s="7">
        <f ca="1">MIN(IF(AC$1=0,MthRem,12), MAX(Inputs!$G$137-IF(AC$1=0,0,AC$1*12+MthOff), 0))*Inputs!$B$139</f>
        <v>0</v>
      </c>
      <c r="AE28" s="7">
        <f ca="1">MIN(IF(AD$1=0,MthRem,12), MAX(Inputs!$G$137-IF(AD$1=0,0,AD$1*12+MthOff), 0))*Inputs!$B$139</f>
        <v>0</v>
      </c>
      <c r="AF28" s="7">
        <f ca="1">MIN(IF(AE$1=0,MthRem,12), MAX(Inputs!$G$137-IF(AE$1=0,0,AE$1*12+MthOff), 0))*Inputs!$B$139</f>
        <v>0</v>
      </c>
      <c r="AG28" s="7">
        <f ca="1">MIN(IF(AF$1=0,MthRem,12), MAX(Inputs!$G$137-IF(AF$1=0,0,AF$1*12+MthOff), 0))*Inputs!$B$139</f>
        <v>0</v>
      </c>
      <c r="AH28" s="7">
        <f ca="1">MIN(IF(AG$1=0,MthRem,12), MAX(Inputs!$G$137-IF(AG$1=0,0,AG$1*12+MthOff), 0))*Inputs!$B$139</f>
        <v>0</v>
      </c>
      <c r="AI28" s="7">
        <f ca="1">MIN(IF(AH$1=0,MthRem,12), MAX(Inputs!$G$137-IF(AH$1=0,0,AH$1*12+MthOff), 0))*Inputs!$B$139</f>
        <v>0</v>
      </c>
      <c r="AJ28" s="7">
        <f ca="1">MIN(IF(AI$1=0,MthRem,12), MAX(Inputs!$G$137-IF(AI$1=0,0,AI$1*12+MthOff), 0))*Inputs!$B$139</f>
        <v>0</v>
      </c>
      <c r="AK28" s="7">
        <f ca="1">MIN(IF(AJ$1=0,MthRem,12), MAX(Inputs!$G$137-IF(AJ$1=0,0,AJ$1*12+MthOff), 0))*Inputs!$B$139</f>
        <v>0</v>
      </c>
      <c r="AL28" s="7">
        <f ca="1">MIN(IF(AK$1=0,MthRem,12), MAX(Inputs!$G$137-IF(AK$1=0,0,AK$1*12+MthOff), 0))*Inputs!$B$139</f>
        <v>0</v>
      </c>
      <c r="AM28" s="7">
        <f ca="1">MIN(IF(AL$1=0,MthRem,12), MAX(Inputs!$G$137-IF(AL$1=0,0,AL$1*12+MthOff), 0))*Inputs!$B$139</f>
        <v>0</v>
      </c>
    </row>
    <row r="29" spans="1:39" x14ac:dyDescent="0.2">
      <c r="A29" s="3" t="str">
        <f>TEXT(Inputs!$B$75,"")</f>
        <v>Gudja</v>
      </c>
      <c r="C29" s="7">
        <f ca="1">MIN(IF(B$1=0,MthRem,12), MAX(Inputs!$G$142-IF(B$1=0,0,B$1*12+MthOff), 0))*Inputs!$B$144</f>
        <v>800</v>
      </c>
      <c r="D29" s="7">
        <f ca="1">MIN(IF(C$1=0,MthRem,12), MAX(Inputs!$G$142-IF(C$1=0,0,C$1*12+MthOff), 0))*Inputs!$B$144</f>
        <v>960</v>
      </c>
      <c r="E29" s="7">
        <f ca="1">MIN(IF(D$1=0,MthRem,12), MAX(Inputs!$G$142-IF(D$1=0,0,D$1*12+MthOff), 0))*Inputs!$B$144</f>
        <v>960</v>
      </c>
      <c r="F29" s="7">
        <f ca="1">MIN(IF(E$1=0,MthRem,12), MAX(Inputs!$G$142-IF(E$1=0,0,E$1*12+MthOff), 0))*Inputs!$B$144</f>
        <v>960</v>
      </c>
      <c r="G29" s="7">
        <f ca="1">MIN(IF(F$1=0,MthRem,12), MAX(Inputs!$G$142-IF(F$1=0,0,F$1*12+MthOff), 0))*Inputs!$B$144</f>
        <v>960</v>
      </c>
      <c r="H29" s="7">
        <f ca="1">MIN(IF(G$1=0,MthRem,12), MAX(Inputs!$G$142-IF(G$1=0,0,G$1*12+MthOff), 0))*Inputs!$B$144</f>
        <v>288.25858585362369</v>
      </c>
      <c r="I29" s="7">
        <f ca="1">MIN(IF(H$1=0,MthRem,12), MAX(Inputs!$G$142-IF(H$1=0,0,H$1*12+MthOff), 0))*Inputs!$B$144</f>
        <v>0</v>
      </c>
      <c r="J29" s="7">
        <f ca="1">MIN(IF(I$1=0,MthRem,12), MAX(Inputs!$G$142-IF(I$1=0,0,I$1*12+MthOff), 0))*Inputs!$B$144</f>
        <v>0</v>
      </c>
      <c r="K29" s="7">
        <f ca="1">MIN(IF(J$1=0,MthRem,12), MAX(Inputs!$G$142-IF(J$1=0,0,J$1*12+MthOff), 0))*Inputs!$B$144</f>
        <v>0</v>
      </c>
      <c r="L29" s="7">
        <f ca="1">MIN(IF(K$1=0,MthRem,12), MAX(Inputs!$G$142-IF(K$1=0,0,K$1*12+MthOff), 0))*Inputs!$B$144</f>
        <v>0</v>
      </c>
      <c r="M29" s="7">
        <f ca="1">MIN(IF(L$1=0,MthRem,12), MAX(Inputs!$G$142-IF(L$1=0,0,L$1*12+MthOff), 0))*Inputs!$B$144</f>
        <v>0</v>
      </c>
      <c r="N29" s="7">
        <f ca="1">MIN(IF(M$1=0,MthRem,12), MAX(Inputs!$G$142-IF(M$1=0,0,M$1*12+MthOff), 0))*Inputs!$B$144</f>
        <v>0</v>
      </c>
      <c r="O29" s="7">
        <f ca="1">MIN(IF(N$1=0,MthRem,12), MAX(Inputs!$G$142-IF(N$1=0,0,N$1*12+MthOff), 0))*Inputs!$B$144</f>
        <v>0</v>
      </c>
      <c r="P29" s="7">
        <f ca="1">MIN(IF(O$1=0,MthRem,12), MAX(Inputs!$G$142-IF(O$1=0,0,O$1*12+MthOff), 0))*Inputs!$B$144</f>
        <v>0</v>
      </c>
      <c r="Q29" s="7">
        <f ca="1">MIN(IF(P$1=0,MthRem,12), MAX(Inputs!$G$142-IF(P$1=0,0,P$1*12+MthOff), 0))*Inputs!$B$144</f>
        <v>0</v>
      </c>
      <c r="R29" s="7">
        <f ca="1">MIN(IF(Q$1=0,MthRem,12), MAX(Inputs!$G$142-IF(Q$1=0,0,Q$1*12+MthOff), 0))*Inputs!$B$144</f>
        <v>0</v>
      </c>
      <c r="S29" s="7">
        <f ca="1">MIN(IF(R$1=0,MthRem,12), MAX(Inputs!$G$142-IF(R$1=0,0,R$1*12+MthOff), 0))*Inputs!$B$144</f>
        <v>0</v>
      </c>
      <c r="T29" s="7">
        <f ca="1">MIN(IF(S$1=0,MthRem,12), MAX(Inputs!$G$142-IF(S$1=0,0,S$1*12+MthOff), 0))*Inputs!$B$144</f>
        <v>0</v>
      </c>
      <c r="U29" s="7">
        <f ca="1">MIN(IF(T$1=0,MthRem,12), MAX(Inputs!$G$142-IF(T$1=0,0,T$1*12+MthOff), 0))*Inputs!$B$144</f>
        <v>0</v>
      </c>
      <c r="V29" s="7">
        <f ca="1">MIN(IF(U$1=0,MthRem,12), MAX(Inputs!$G$142-IF(U$1=0,0,U$1*12+MthOff), 0))*Inputs!$B$144</f>
        <v>0</v>
      </c>
      <c r="W29" s="7">
        <f ca="1">MIN(IF(V$1=0,MthRem,12), MAX(Inputs!$G$142-IF(V$1=0,0,V$1*12+MthOff), 0))*Inputs!$B$144</f>
        <v>0</v>
      </c>
      <c r="X29" s="7">
        <f ca="1">MIN(IF(W$1=0,MthRem,12), MAX(Inputs!$G$142-IF(W$1=0,0,W$1*12+MthOff), 0))*Inputs!$B$144</f>
        <v>0</v>
      </c>
      <c r="Y29" s="7">
        <f ca="1">MIN(IF(X$1=0,MthRem,12), MAX(Inputs!$G$142-IF(X$1=0,0,X$1*12+MthOff), 0))*Inputs!$B$144</f>
        <v>0</v>
      </c>
      <c r="Z29" s="7">
        <f ca="1">MIN(IF(Y$1=0,MthRem,12), MAX(Inputs!$G$142-IF(Y$1=0,0,Y$1*12+MthOff), 0))*Inputs!$B$144</f>
        <v>0</v>
      </c>
      <c r="AA29" s="7">
        <f ca="1">MIN(IF(Z$1=0,MthRem,12), MAX(Inputs!$G$142-IF(Z$1=0,0,Z$1*12+MthOff), 0))*Inputs!$B$144</f>
        <v>0</v>
      </c>
      <c r="AB29" s="7">
        <f ca="1">MIN(IF(AA$1=0,MthRem,12), MAX(Inputs!$G$142-IF(AA$1=0,0,AA$1*12+MthOff), 0))*Inputs!$B$144</f>
        <v>0</v>
      </c>
      <c r="AC29" s="7">
        <f ca="1">MIN(IF(AB$1=0,MthRem,12), MAX(Inputs!$G$142-IF(AB$1=0,0,AB$1*12+MthOff), 0))*Inputs!$B$144</f>
        <v>0</v>
      </c>
      <c r="AD29" s="7">
        <f ca="1">MIN(IF(AC$1=0,MthRem,12), MAX(Inputs!$G$142-IF(AC$1=0,0,AC$1*12+MthOff), 0))*Inputs!$B$144</f>
        <v>0</v>
      </c>
      <c r="AE29" s="7">
        <f ca="1">MIN(IF(AD$1=0,MthRem,12), MAX(Inputs!$G$142-IF(AD$1=0,0,AD$1*12+MthOff), 0))*Inputs!$B$144</f>
        <v>0</v>
      </c>
      <c r="AF29" s="7">
        <f ca="1">MIN(IF(AE$1=0,MthRem,12), MAX(Inputs!$G$142-IF(AE$1=0,0,AE$1*12+MthOff), 0))*Inputs!$B$144</f>
        <v>0</v>
      </c>
      <c r="AG29" s="7">
        <f ca="1">MIN(IF(AF$1=0,MthRem,12), MAX(Inputs!$G$142-IF(AF$1=0,0,AF$1*12+MthOff), 0))*Inputs!$B$144</f>
        <v>0</v>
      </c>
      <c r="AH29" s="7">
        <f ca="1">MIN(IF(AG$1=0,MthRem,12), MAX(Inputs!$G$142-IF(AG$1=0,0,AG$1*12+MthOff), 0))*Inputs!$B$144</f>
        <v>0</v>
      </c>
      <c r="AI29" s="7">
        <f ca="1">MIN(IF(AH$1=0,MthRem,12), MAX(Inputs!$G$142-IF(AH$1=0,0,AH$1*12+MthOff), 0))*Inputs!$B$144</f>
        <v>0</v>
      </c>
      <c r="AJ29" s="7">
        <f ca="1">MIN(IF(AI$1=0,MthRem,12), MAX(Inputs!$G$142-IF(AI$1=0,0,AI$1*12+MthOff), 0))*Inputs!$B$144</f>
        <v>0</v>
      </c>
      <c r="AK29" s="7">
        <f ca="1">MIN(IF(AJ$1=0,MthRem,12), MAX(Inputs!$G$142-IF(AJ$1=0,0,AJ$1*12+MthOff), 0))*Inputs!$B$144</f>
        <v>0</v>
      </c>
      <c r="AL29" s="7">
        <f ca="1">MIN(IF(AK$1=0,MthRem,12), MAX(Inputs!$G$142-IF(AK$1=0,0,AK$1*12+MthOff), 0))*Inputs!$B$144</f>
        <v>0</v>
      </c>
      <c r="AM29" s="7">
        <f ca="1">MIN(IF(AL$1=0,MthRem,12), MAX(Inputs!$G$142-IF(AL$1=0,0,AL$1*12+MthOff), 0))*Inputs!$B$144</f>
        <v>0</v>
      </c>
    </row>
    <row r="30" spans="1:39" x14ac:dyDescent="0.2">
      <c r="A30" s="3" t="str">
        <f>TEXT(Inputs!$B$80,"")</f>
        <v>Marsa</v>
      </c>
      <c r="C30" s="7">
        <f ca="1">MIN(IF(B$1=0,MthRem,12), MAX(Inputs!$G$147-IF(B$1=0,0,B$1*12+MthOff), 0))*Inputs!$B$149</f>
        <v>1200</v>
      </c>
      <c r="D30" s="7">
        <f ca="1">MIN(IF(C$1=0,MthRem,12), MAX(Inputs!$G$147-IF(C$1=0,0,C$1*12+MthOff), 0))*Inputs!$B$149</f>
        <v>1440</v>
      </c>
      <c r="E30" s="7">
        <f ca="1">MIN(IF(D$1=0,MthRem,12), MAX(Inputs!$G$147-IF(D$1=0,0,D$1*12+MthOff), 0))*Inputs!$B$149</f>
        <v>1440</v>
      </c>
      <c r="F30" s="7">
        <f ca="1">MIN(IF(E$1=0,MthRem,12), MAX(Inputs!$G$147-IF(E$1=0,0,E$1*12+MthOff), 0))*Inputs!$B$149</f>
        <v>1440</v>
      </c>
      <c r="G30" s="7">
        <f ca="1">MIN(IF(F$1=0,MthRem,12), MAX(Inputs!$G$147-IF(F$1=0,0,F$1*12+MthOff), 0))*Inputs!$B$149</f>
        <v>1440</v>
      </c>
      <c r="H30" s="7">
        <f ca="1">MIN(IF(G$1=0,MthRem,12), MAX(Inputs!$G$147-IF(G$1=0,0,G$1*12+MthOff), 0))*Inputs!$B$149</f>
        <v>1440</v>
      </c>
      <c r="I30" s="7">
        <f ca="1">MIN(IF(H$1=0,MthRem,12), MAX(Inputs!$G$147-IF(H$1=0,0,H$1*12+MthOff), 0))*Inputs!$B$149</f>
        <v>1440</v>
      </c>
      <c r="J30" s="7">
        <f ca="1">MIN(IF(I$1=0,MthRem,12), MAX(Inputs!$G$147-IF(I$1=0,0,I$1*12+MthOff), 0))*Inputs!$B$149</f>
        <v>789.24880782033654</v>
      </c>
      <c r="K30" s="7">
        <f ca="1">MIN(IF(J$1=0,MthRem,12), MAX(Inputs!$G$147-IF(J$1=0,0,J$1*12+MthOff), 0))*Inputs!$B$149</f>
        <v>0</v>
      </c>
      <c r="L30" s="7">
        <f ca="1">MIN(IF(K$1=0,MthRem,12), MAX(Inputs!$G$147-IF(K$1=0,0,K$1*12+MthOff), 0))*Inputs!$B$149</f>
        <v>0</v>
      </c>
      <c r="M30" s="7">
        <f ca="1">MIN(IF(L$1=0,MthRem,12), MAX(Inputs!$G$147-IF(L$1=0,0,L$1*12+MthOff), 0))*Inputs!$B$149</f>
        <v>0</v>
      </c>
      <c r="N30" s="7">
        <f ca="1">MIN(IF(M$1=0,MthRem,12), MAX(Inputs!$G$147-IF(M$1=0,0,M$1*12+MthOff), 0))*Inputs!$B$149</f>
        <v>0</v>
      </c>
      <c r="O30" s="7">
        <f ca="1">MIN(IF(N$1=0,MthRem,12), MAX(Inputs!$G$147-IF(N$1=0,0,N$1*12+MthOff), 0))*Inputs!$B$149</f>
        <v>0</v>
      </c>
      <c r="P30" s="7">
        <f ca="1">MIN(IF(O$1=0,MthRem,12), MAX(Inputs!$G$147-IF(O$1=0,0,O$1*12+MthOff), 0))*Inputs!$B$149</f>
        <v>0</v>
      </c>
      <c r="Q30" s="7">
        <f ca="1">MIN(IF(P$1=0,MthRem,12), MAX(Inputs!$G$147-IF(P$1=0,0,P$1*12+MthOff), 0))*Inputs!$B$149</f>
        <v>0</v>
      </c>
      <c r="R30" s="7">
        <f ca="1">MIN(IF(Q$1=0,MthRem,12), MAX(Inputs!$G$147-IF(Q$1=0,0,Q$1*12+MthOff), 0))*Inputs!$B$149</f>
        <v>0</v>
      </c>
      <c r="S30" s="7">
        <f ca="1">MIN(IF(R$1=0,MthRem,12), MAX(Inputs!$G$147-IF(R$1=0,0,R$1*12+MthOff), 0))*Inputs!$B$149</f>
        <v>0</v>
      </c>
      <c r="T30" s="7">
        <f ca="1">MIN(IF(S$1=0,MthRem,12), MAX(Inputs!$G$147-IF(S$1=0,0,S$1*12+MthOff), 0))*Inputs!$B$149</f>
        <v>0</v>
      </c>
      <c r="U30" s="7">
        <f ca="1">MIN(IF(T$1=0,MthRem,12), MAX(Inputs!$G$147-IF(T$1=0,0,T$1*12+MthOff), 0))*Inputs!$B$149</f>
        <v>0</v>
      </c>
      <c r="V30" s="7">
        <f ca="1">MIN(IF(U$1=0,MthRem,12), MAX(Inputs!$G$147-IF(U$1=0,0,U$1*12+MthOff), 0))*Inputs!$B$149</f>
        <v>0</v>
      </c>
      <c r="W30" s="7">
        <f ca="1">MIN(IF(V$1=0,MthRem,12), MAX(Inputs!$G$147-IF(V$1=0,0,V$1*12+MthOff), 0))*Inputs!$B$149</f>
        <v>0</v>
      </c>
      <c r="X30" s="7">
        <f ca="1">MIN(IF(W$1=0,MthRem,12), MAX(Inputs!$G$147-IF(W$1=0,0,W$1*12+MthOff), 0))*Inputs!$B$149</f>
        <v>0</v>
      </c>
      <c r="Y30" s="7">
        <f ca="1">MIN(IF(X$1=0,MthRem,12), MAX(Inputs!$G$147-IF(X$1=0,0,X$1*12+MthOff), 0))*Inputs!$B$149</f>
        <v>0</v>
      </c>
      <c r="Z30" s="7">
        <f ca="1">MIN(IF(Y$1=0,MthRem,12), MAX(Inputs!$G$147-IF(Y$1=0,0,Y$1*12+MthOff), 0))*Inputs!$B$149</f>
        <v>0</v>
      </c>
      <c r="AA30" s="7">
        <f ca="1">MIN(IF(Z$1=0,MthRem,12), MAX(Inputs!$G$147-IF(Z$1=0,0,Z$1*12+MthOff), 0))*Inputs!$B$149</f>
        <v>0</v>
      </c>
      <c r="AB30" s="7">
        <f ca="1">MIN(IF(AA$1=0,MthRem,12), MAX(Inputs!$G$147-IF(AA$1=0,0,AA$1*12+MthOff), 0))*Inputs!$B$149</f>
        <v>0</v>
      </c>
      <c r="AC30" s="7">
        <f ca="1">MIN(IF(AB$1=0,MthRem,12), MAX(Inputs!$G$147-IF(AB$1=0,0,AB$1*12+MthOff), 0))*Inputs!$B$149</f>
        <v>0</v>
      </c>
      <c r="AD30" s="7">
        <f ca="1">MIN(IF(AC$1=0,MthRem,12), MAX(Inputs!$G$147-IF(AC$1=0,0,AC$1*12+MthOff), 0))*Inputs!$B$149</f>
        <v>0</v>
      </c>
      <c r="AE30" s="7">
        <f ca="1">MIN(IF(AD$1=0,MthRem,12), MAX(Inputs!$G$147-IF(AD$1=0,0,AD$1*12+MthOff), 0))*Inputs!$B$149</f>
        <v>0</v>
      </c>
      <c r="AF30" s="7">
        <f ca="1">MIN(IF(AE$1=0,MthRem,12), MAX(Inputs!$G$147-IF(AE$1=0,0,AE$1*12+MthOff), 0))*Inputs!$B$149</f>
        <v>0</v>
      </c>
      <c r="AG30" s="7">
        <f ca="1">MIN(IF(AF$1=0,MthRem,12), MAX(Inputs!$G$147-IF(AF$1=0,0,AF$1*12+MthOff), 0))*Inputs!$B$149</f>
        <v>0</v>
      </c>
      <c r="AH30" s="7">
        <f ca="1">MIN(IF(AG$1=0,MthRem,12), MAX(Inputs!$G$147-IF(AG$1=0,0,AG$1*12+MthOff), 0))*Inputs!$B$149</f>
        <v>0</v>
      </c>
      <c r="AI30" s="7">
        <f ca="1">MIN(IF(AH$1=0,MthRem,12), MAX(Inputs!$G$147-IF(AH$1=0,0,AH$1*12+MthOff), 0))*Inputs!$B$149</f>
        <v>0</v>
      </c>
      <c r="AJ30" s="7">
        <f ca="1">MIN(IF(AI$1=0,MthRem,12), MAX(Inputs!$G$147-IF(AI$1=0,0,AI$1*12+MthOff), 0))*Inputs!$B$149</f>
        <v>0</v>
      </c>
      <c r="AK30" s="7">
        <f ca="1">MIN(IF(AJ$1=0,MthRem,12), MAX(Inputs!$G$147-IF(AJ$1=0,0,AJ$1*12+MthOff), 0))*Inputs!$B$149</f>
        <v>0</v>
      </c>
      <c r="AL30" s="7">
        <f ca="1">MIN(IF(AK$1=0,MthRem,12), MAX(Inputs!$G$147-IF(AK$1=0,0,AK$1*12+MthOff), 0))*Inputs!$B$149</f>
        <v>0</v>
      </c>
      <c r="AM30" s="7">
        <f ca="1">MIN(IF(AL$1=0,MthRem,12), MAX(Inputs!$G$147-IF(AL$1=0,0,AL$1*12+MthOff), 0))*Inputs!$B$149</f>
        <v>0</v>
      </c>
    </row>
    <row r="31" spans="1:39" x14ac:dyDescent="0.2">
      <c r="A31" s="3" t="str">
        <f>TEXT(Inputs!$B$87,"")</f>
        <v>Jewelry</v>
      </c>
      <c r="C31" s="7">
        <f ca="1">MIN(IF(B$1=0,MthRem,12), MAX(Inputs!$G$152-IF(B$1=0,0,B$1*12+MthOff), 0))*Inputs!$B$154</f>
        <v>750</v>
      </c>
      <c r="D31" s="7">
        <f ca="1">MIN(IF(C$1=0,MthRem,12), MAX(Inputs!$G$152-IF(C$1=0,0,C$1*12+MthOff), 0))*Inputs!$B$154</f>
        <v>900</v>
      </c>
      <c r="E31" s="7">
        <f ca="1">MIN(IF(D$1=0,MthRem,12), MAX(Inputs!$G$152-IF(D$1=0,0,D$1*12+MthOff), 0))*Inputs!$B$154</f>
        <v>900</v>
      </c>
      <c r="F31" s="7">
        <f ca="1">MIN(IF(E$1=0,MthRem,12), MAX(Inputs!$G$152-IF(E$1=0,0,E$1*12+MthOff), 0))*Inputs!$B$154</f>
        <v>63.602878470047308</v>
      </c>
      <c r="G31" s="7">
        <f ca="1">MIN(IF(F$1=0,MthRem,12), MAX(Inputs!$G$152-IF(F$1=0,0,F$1*12+MthOff), 0))*Inputs!$B$154</f>
        <v>0</v>
      </c>
      <c r="H31" s="7">
        <f ca="1">MIN(IF(G$1=0,MthRem,12), MAX(Inputs!$G$152-IF(G$1=0,0,G$1*12+MthOff), 0))*Inputs!$B$154</f>
        <v>0</v>
      </c>
      <c r="I31" s="7">
        <f ca="1">MIN(IF(H$1=0,MthRem,12), MAX(Inputs!$G$152-IF(H$1=0,0,H$1*12+MthOff), 0))*Inputs!$B$154</f>
        <v>0</v>
      </c>
      <c r="J31" s="7">
        <f ca="1">MIN(IF(I$1=0,MthRem,12), MAX(Inputs!$G$152-IF(I$1=0,0,I$1*12+MthOff), 0))*Inputs!$B$154</f>
        <v>0</v>
      </c>
      <c r="K31" s="7">
        <f ca="1">MIN(IF(J$1=0,MthRem,12), MAX(Inputs!$G$152-IF(J$1=0,0,J$1*12+MthOff), 0))*Inputs!$B$154</f>
        <v>0</v>
      </c>
      <c r="L31" s="7">
        <f ca="1">MIN(IF(K$1=0,MthRem,12), MAX(Inputs!$G$152-IF(K$1=0,0,K$1*12+MthOff), 0))*Inputs!$B$154</f>
        <v>0</v>
      </c>
      <c r="M31" s="7">
        <f ca="1">MIN(IF(L$1=0,MthRem,12), MAX(Inputs!$G$152-IF(L$1=0,0,L$1*12+MthOff), 0))*Inputs!$B$154</f>
        <v>0</v>
      </c>
      <c r="N31" s="7">
        <f ca="1">MIN(IF(M$1=0,MthRem,12), MAX(Inputs!$G$152-IF(M$1=0,0,M$1*12+MthOff), 0))*Inputs!$B$154</f>
        <v>0</v>
      </c>
      <c r="O31" s="7">
        <f ca="1">MIN(IF(N$1=0,MthRem,12), MAX(Inputs!$G$152-IF(N$1=0,0,N$1*12+MthOff), 0))*Inputs!$B$154</f>
        <v>0</v>
      </c>
      <c r="P31" s="7">
        <f ca="1">MIN(IF(O$1=0,MthRem,12), MAX(Inputs!$G$152-IF(O$1=0,0,O$1*12+MthOff), 0))*Inputs!$B$154</f>
        <v>0</v>
      </c>
      <c r="Q31" s="7">
        <f ca="1">MIN(IF(P$1=0,MthRem,12), MAX(Inputs!$G$152-IF(P$1=0,0,P$1*12+MthOff), 0))*Inputs!$B$154</f>
        <v>0</v>
      </c>
      <c r="R31" s="7">
        <f ca="1">MIN(IF(Q$1=0,MthRem,12), MAX(Inputs!$G$152-IF(Q$1=0,0,Q$1*12+MthOff), 0))*Inputs!$B$154</f>
        <v>0</v>
      </c>
      <c r="S31" s="7">
        <f ca="1">MIN(IF(R$1=0,MthRem,12), MAX(Inputs!$G$152-IF(R$1=0,0,R$1*12+MthOff), 0))*Inputs!$B$154</f>
        <v>0</v>
      </c>
      <c r="T31" s="7">
        <f ca="1">MIN(IF(S$1=0,MthRem,12), MAX(Inputs!$G$152-IF(S$1=0,0,S$1*12+MthOff), 0))*Inputs!$B$154</f>
        <v>0</v>
      </c>
      <c r="U31" s="7">
        <f ca="1">MIN(IF(T$1=0,MthRem,12), MAX(Inputs!$G$152-IF(T$1=0,0,T$1*12+MthOff), 0))*Inputs!$B$154</f>
        <v>0</v>
      </c>
      <c r="V31" s="7">
        <f ca="1">MIN(IF(U$1=0,MthRem,12), MAX(Inputs!$G$152-IF(U$1=0,0,U$1*12+MthOff), 0))*Inputs!$B$154</f>
        <v>0</v>
      </c>
      <c r="W31" s="7">
        <f ca="1">MIN(IF(V$1=0,MthRem,12), MAX(Inputs!$G$152-IF(V$1=0,0,V$1*12+MthOff), 0))*Inputs!$B$154</f>
        <v>0</v>
      </c>
      <c r="X31" s="7">
        <f ca="1">MIN(IF(W$1=0,MthRem,12), MAX(Inputs!$G$152-IF(W$1=0,0,W$1*12+MthOff), 0))*Inputs!$B$154</f>
        <v>0</v>
      </c>
      <c r="Y31" s="7">
        <f ca="1">MIN(IF(X$1=0,MthRem,12), MAX(Inputs!$G$152-IF(X$1=0,0,X$1*12+MthOff), 0))*Inputs!$B$154</f>
        <v>0</v>
      </c>
      <c r="Z31" s="7">
        <f ca="1">MIN(IF(Y$1=0,MthRem,12), MAX(Inputs!$G$152-IF(Y$1=0,0,Y$1*12+MthOff), 0))*Inputs!$B$154</f>
        <v>0</v>
      </c>
      <c r="AA31" s="7">
        <f ca="1">MIN(IF(Z$1=0,MthRem,12), MAX(Inputs!$G$152-IF(Z$1=0,0,Z$1*12+MthOff), 0))*Inputs!$B$154</f>
        <v>0</v>
      </c>
      <c r="AB31" s="7">
        <f ca="1">MIN(IF(AA$1=0,MthRem,12), MAX(Inputs!$G$152-IF(AA$1=0,0,AA$1*12+MthOff), 0))*Inputs!$B$154</f>
        <v>0</v>
      </c>
      <c r="AC31" s="7">
        <f ca="1">MIN(IF(AB$1=0,MthRem,12), MAX(Inputs!$G$152-IF(AB$1=0,0,AB$1*12+MthOff), 0))*Inputs!$B$154</f>
        <v>0</v>
      </c>
      <c r="AD31" s="7">
        <f ca="1">MIN(IF(AC$1=0,MthRem,12), MAX(Inputs!$G$152-IF(AC$1=0,0,AC$1*12+MthOff), 0))*Inputs!$B$154</f>
        <v>0</v>
      </c>
      <c r="AE31" s="7">
        <f ca="1">MIN(IF(AD$1=0,MthRem,12), MAX(Inputs!$G$152-IF(AD$1=0,0,AD$1*12+MthOff), 0))*Inputs!$B$154</f>
        <v>0</v>
      </c>
      <c r="AF31" s="7">
        <f ca="1">MIN(IF(AE$1=0,MthRem,12), MAX(Inputs!$G$152-IF(AE$1=0,0,AE$1*12+MthOff), 0))*Inputs!$B$154</f>
        <v>0</v>
      </c>
      <c r="AG31" s="7">
        <f ca="1">MIN(IF(AF$1=0,MthRem,12), MAX(Inputs!$G$152-IF(AF$1=0,0,AF$1*12+MthOff), 0))*Inputs!$B$154</f>
        <v>0</v>
      </c>
      <c r="AH31" s="7">
        <f ca="1">MIN(IF(AG$1=0,MthRem,12), MAX(Inputs!$G$152-IF(AG$1=0,0,AG$1*12+MthOff), 0))*Inputs!$B$154</f>
        <v>0</v>
      </c>
      <c r="AI31" s="7">
        <f ca="1">MIN(IF(AH$1=0,MthRem,12), MAX(Inputs!$G$152-IF(AH$1=0,0,AH$1*12+MthOff), 0))*Inputs!$B$154</f>
        <v>0</v>
      </c>
      <c r="AJ31" s="7">
        <f ca="1">MIN(IF(AI$1=0,MthRem,12), MAX(Inputs!$G$152-IF(AI$1=0,0,AI$1*12+MthOff), 0))*Inputs!$B$154</f>
        <v>0</v>
      </c>
      <c r="AK31" s="7">
        <f ca="1">MIN(IF(AJ$1=0,MthRem,12), MAX(Inputs!$G$152-IF(AJ$1=0,0,AJ$1*12+MthOff), 0))*Inputs!$B$154</f>
        <v>0</v>
      </c>
      <c r="AL31" s="7">
        <f ca="1">MIN(IF(AK$1=0,MthRem,12), MAX(Inputs!$G$152-IF(AK$1=0,0,AK$1*12+MthOff), 0))*Inputs!$B$154</f>
        <v>0</v>
      </c>
      <c r="AM31" s="7">
        <f ca="1">MIN(IF(AL$1=0,MthRem,12), MAX(Inputs!$G$152-IF(AL$1=0,0,AL$1*12+MthOff), 0))*Inputs!$B$154</f>
        <v>0</v>
      </c>
    </row>
    <row r="32" spans="1:39" x14ac:dyDescent="0.2">
      <c r="A32" s="3" t="str">
        <f>TEXT(Inputs!$B$92,"")</f>
        <v>Car</v>
      </c>
      <c r="C32" s="7">
        <f ca="1">MIN(IF(B$1=0,MthRem,12), MAX(Inputs!$G$157-IF(B$1=0,0,B$1*12+MthOff), 0))*Inputs!$B$159</f>
        <v>860</v>
      </c>
      <c r="D32" s="7">
        <f ca="1">MIN(IF(C$1=0,MthRem,12), MAX(Inputs!$G$157-IF(C$1=0,0,C$1*12+MthOff), 0))*Inputs!$B$159</f>
        <v>1032</v>
      </c>
      <c r="E32" s="7">
        <f ca="1">MIN(IF(D$1=0,MthRem,12), MAX(Inputs!$G$157-IF(D$1=0,0,D$1*12+MthOff), 0))*Inputs!$B$159</f>
        <v>1032</v>
      </c>
      <c r="F32" s="7">
        <f ca="1">MIN(IF(E$1=0,MthRem,12), MAX(Inputs!$G$157-IF(E$1=0,0,E$1*12+MthOff), 0))*Inputs!$B$159</f>
        <v>1032</v>
      </c>
      <c r="G32" s="7">
        <f ca="1">MIN(IF(F$1=0,MthRem,12), MAX(Inputs!$G$157-IF(F$1=0,0,F$1*12+MthOff), 0))*Inputs!$B$159</f>
        <v>1032</v>
      </c>
      <c r="H32" s="7">
        <f ca="1">MIN(IF(G$1=0,MthRem,12), MAX(Inputs!$G$157-IF(G$1=0,0,G$1*12+MthOff), 0))*Inputs!$B$159</f>
        <v>1032</v>
      </c>
      <c r="I32" s="7">
        <f ca="1">MIN(IF(H$1=0,MthRem,12), MAX(Inputs!$G$157-IF(H$1=0,0,H$1*12+MthOff), 0))*Inputs!$B$159</f>
        <v>363.79405274184501</v>
      </c>
      <c r="J32" s="7">
        <f ca="1">MIN(IF(I$1=0,MthRem,12), MAX(Inputs!$G$157-IF(I$1=0,0,I$1*12+MthOff), 0))*Inputs!$B$159</f>
        <v>0</v>
      </c>
      <c r="K32" s="7">
        <f ca="1">MIN(IF(J$1=0,MthRem,12), MAX(Inputs!$G$157-IF(J$1=0,0,J$1*12+MthOff), 0))*Inputs!$B$159</f>
        <v>0</v>
      </c>
      <c r="L32" s="7">
        <f ca="1">MIN(IF(K$1=0,MthRem,12), MAX(Inputs!$G$157-IF(K$1=0,0,K$1*12+MthOff), 0))*Inputs!$B$159</f>
        <v>0</v>
      </c>
      <c r="M32" s="7">
        <f ca="1">MIN(IF(L$1=0,MthRem,12), MAX(Inputs!$G$157-IF(L$1=0,0,L$1*12+MthOff), 0))*Inputs!$B$159</f>
        <v>0</v>
      </c>
      <c r="N32" s="7">
        <f ca="1">MIN(IF(M$1=0,MthRem,12), MAX(Inputs!$G$157-IF(M$1=0,0,M$1*12+MthOff), 0))*Inputs!$B$159</f>
        <v>0</v>
      </c>
      <c r="O32" s="7">
        <f ca="1">MIN(IF(N$1=0,MthRem,12), MAX(Inputs!$G$157-IF(N$1=0,0,N$1*12+MthOff), 0))*Inputs!$B$159</f>
        <v>0</v>
      </c>
      <c r="P32" s="7">
        <f ca="1">MIN(IF(O$1=0,MthRem,12), MAX(Inputs!$G$157-IF(O$1=0,0,O$1*12+MthOff), 0))*Inputs!$B$159</f>
        <v>0</v>
      </c>
      <c r="Q32" s="7">
        <f ca="1">MIN(IF(P$1=0,MthRem,12), MAX(Inputs!$G$157-IF(P$1=0,0,P$1*12+MthOff), 0))*Inputs!$B$159</f>
        <v>0</v>
      </c>
      <c r="R32" s="7">
        <f ca="1">MIN(IF(Q$1=0,MthRem,12), MAX(Inputs!$G$157-IF(Q$1=0,0,Q$1*12+MthOff), 0))*Inputs!$B$159</f>
        <v>0</v>
      </c>
      <c r="S32" s="7">
        <f ca="1">MIN(IF(R$1=0,MthRem,12), MAX(Inputs!$G$157-IF(R$1=0,0,R$1*12+MthOff), 0))*Inputs!$B$159</f>
        <v>0</v>
      </c>
      <c r="T32" s="7">
        <f ca="1">MIN(IF(S$1=0,MthRem,12), MAX(Inputs!$G$157-IF(S$1=0,0,S$1*12+MthOff), 0))*Inputs!$B$159</f>
        <v>0</v>
      </c>
      <c r="U32" s="7">
        <f ca="1">MIN(IF(T$1=0,MthRem,12), MAX(Inputs!$G$157-IF(T$1=0,0,T$1*12+MthOff), 0))*Inputs!$B$159</f>
        <v>0</v>
      </c>
      <c r="V32" s="7">
        <f ca="1">MIN(IF(U$1=0,MthRem,12), MAX(Inputs!$G$157-IF(U$1=0,0,U$1*12+MthOff), 0))*Inputs!$B$159</f>
        <v>0</v>
      </c>
      <c r="W32" s="7">
        <f ca="1">MIN(IF(V$1=0,MthRem,12), MAX(Inputs!$G$157-IF(V$1=0,0,V$1*12+MthOff), 0))*Inputs!$B$159</f>
        <v>0</v>
      </c>
      <c r="X32" s="7">
        <f ca="1">MIN(IF(W$1=0,MthRem,12), MAX(Inputs!$G$157-IF(W$1=0,0,W$1*12+MthOff), 0))*Inputs!$B$159</f>
        <v>0</v>
      </c>
      <c r="Y32" s="7">
        <f ca="1">MIN(IF(X$1=0,MthRem,12), MAX(Inputs!$G$157-IF(X$1=0,0,X$1*12+MthOff), 0))*Inputs!$B$159</f>
        <v>0</v>
      </c>
      <c r="Z32" s="7">
        <f ca="1">MIN(IF(Y$1=0,MthRem,12), MAX(Inputs!$G$157-IF(Y$1=0,0,Y$1*12+MthOff), 0))*Inputs!$B$159</f>
        <v>0</v>
      </c>
      <c r="AA32" s="7">
        <f ca="1">MIN(IF(Z$1=0,MthRem,12), MAX(Inputs!$G$157-IF(Z$1=0,0,Z$1*12+MthOff), 0))*Inputs!$B$159</f>
        <v>0</v>
      </c>
      <c r="AB32" s="7">
        <f ca="1">MIN(IF(AA$1=0,MthRem,12), MAX(Inputs!$G$157-IF(AA$1=0,0,AA$1*12+MthOff), 0))*Inputs!$B$159</f>
        <v>0</v>
      </c>
      <c r="AC32" s="7">
        <f ca="1">MIN(IF(AB$1=0,MthRem,12), MAX(Inputs!$G$157-IF(AB$1=0,0,AB$1*12+MthOff), 0))*Inputs!$B$159</f>
        <v>0</v>
      </c>
      <c r="AD32" s="7">
        <f ca="1">MIN(IF(AC$1=0,MthRem,12), MAX(Inputs!$G$157-IF(AC$1=0,0,AC$1*12+MthOff), 0))*Inputs!$B$159</f>
        <v>0</v>
      </c>
      <c r="AE32" s="7">
        <f ca="1">MIN(IF(AD$1=0,MthRem,12), MAX(Inputs!$G$157-IF(AD$1=0,0,AD$1*12+MthOff), 0))*Inputs!$B$159</f>
        <v>0</v>
      </c>
      <c r="AF32" s="7">
        <f ca="1">MIN(IF(AE$1=0,MthRem,12), MAX(Inputs!$G$157-IF(AE$1=0,0,AE$1*12+MthOff), 0))*Inputs!$B$159</f>
        <v>0</v>
      </c>
      <c r="AG32" s="7">
        <f ca="1">MIN(IF(AF$1=0,MthRem,12), MAX(Inputs!$G$157-IF(AF$1=0,0,AF$1*12+MthOff), 0))*Inputs!$B$159</f>
        <v>0</v>
      </c>
      <c r="AH32" s="7">
        <f ca="1">MIN(IF(AG$1=0,MthRem,12), MAX(Inputs!$G$157-IF(AG$1=0,0,AG$1*12+MthOff), 0))*Inputs!$B$159</f>
        <v>0</v>
      </c>
      <c r="AI32" s="7">
        <f ca="1">MIN(IF(AH$1=0,MthRem,12), MAX(Inputs!$G$157-IF(AH$1=0,0,AH$1*12+MthOff), 0))*Inputs!$B$159</f>
        <v>0</v>
      </c>
      <c r="AJ32" s="7">
        <f ca="1">MIN(IF(AI$1=0,MthRem,12), MAX(Inputs!$G$157-IF(AI$1=0,0,AI$1*12+MthOff), 0))*Inputs!$B$159</f>
        <v>0</v>
      </c>
      <c r="AK32" s="7">
        <f ca="1">MIN(IF(AJ$1=0,MthRem,12), MAX(Inputs!$G$157-IF(AJ$1=0,0,AJ$1*12+MthOff), 0))*Inputs!$B$159</f>
        <v>0</v>
      </c>
      <c r="AL32" s="7">
        <f ca="1">MIN(IF(AK$1=0,MthRem,12), MAX(Inputs!$G$157-IF(AK$1=0,0,AK$1*12+MthOff), 0))*Inputs!$B$159</f>
        <v>0</v>
      </c>
      <c r="AM32" s="7">
        <f ca="1">MIN(IF(AL$1=0,MthRem,12), MAX(Inputs!$G$157-IF(AL$1=0,0,AL$1*12+MthOff), 0))*Inputs!$B$159</f>
        <v>0</v>
      </c>
    </row>
    <row r="33" spans="1:39" x14ac:dyDescent="0.2">
      <c r="A33" s="3" t="str">
        <f>TEXT(Inputs!$B$97,"")</f>
        <v>Painting</v>
      </c>
      <c r="C33" s="7">
        <f ca="1">MIN(IF(B$1=0,MthRem,12), MAX(Inputs!$G$162-IF(B$1=0,0,B$1*12+MthOff), 0))*Inputs!$B$164</f>
        <v>1250</v>
      </c>
      <c r="D33" s="7">
        <f ca="1">MIN(IF(C$1=0,MthRem,12), MAX(Inputs!$G$162-IF(C$1=0,0,C$1*12+MthOff), 0))*Inputs!$B$164</f>
        <v>1500</v>
      </c>
      <c r="E33" s="7">
        <f ca="1">MIN(IF(D$1=0,MthRem,12), MAX(Inputs!$G$162-IF(D$1=0,0,D$1*12+MthOff), 0))*Inputs!$B$164</f>
        <v>1500</v>
      </c>
      <c r="F33" s="7">
        <f ca="1">MIN(IF(E$1=0,MthRem,12), MAX(Inputs!$G$162-IF(E$1=0,0,E$1*12+MthOff), 0))*Inputs!$B$164</f>
        <v>1500</v>
      </c>
      <c r="G33" s="7">
        <f ca="1">MIN(IF(F$1=0,MthRem,12), MAX(Inputs!$G$162-IF(F$1=0,0,F$1*12+MthOff), 0))*Inputs!$B$164</f>
        <v>1500</v>
      </c>
      <c r="H33" s="7">
        <f ca="1">MIN(IF(G$1=0,MthRem,12), MAX(Inputs!$G$162-IF(G$1=0,0,G$1*12+MthOff), 0))*Inputs!$B$164</f>
        <v>1398.4298428251077</v>
      </c>
      <c r="I33" s="7">
        <f ca="1">MIN(IF(H$1=0,MthRem,12), MAX(Inputs!$G$162-IF(H$1=0,0,H$1*12+MthOff), 0))*Inputs!$B$164</f>
        <v>0</v>
      </c>
      <c r="J33" s="7">
        <f ca="1">MIN(IF(I$1=0,MthRem,12), MAX(Inputs!$G$162-IF(I$1=0,0,I$1*12+MthOff), 0))*Inputs!$B$164</f>
        <v>0</v>
      </c>
      <c r="K33" s="7">
        <f ca="1">MIN(IF(J$1=0,MthRem,12), MAX(Inputs!$G$162-IF(J$1=0,0,J$1*12+MthOff), 0))*Inputs!$B$164</f>
        <v>0</v>
      </c>
      <c r="L33" s="7">
        <f ca="1">MIN(IF(K$1=0,MthRem,12), MAX(Inputs!$G$162-IF(K$1=0,0,K$1*12+MthOff), 0))*Inputs!$B$164</f>
        <v>0</v>
      </c>
      <c r="M33" s="7">
        <f ca="1">MIN(IF(L$1=0,MthRem,12), MAX(Inputs!$G$162-IF(L$1=0,0,L$1*12+MthOff), 0))*Inputs!$B$164</f>
        <v>0</v>
      </c>
      <c r="N33" s="7">
        <f ca="1">MIN(IF(M$1=0,MthRem,12), MAX(Inputs!$G$162-IF(M$1=0,0,M$1*12+MthOff), 0))*Inputs!$B$164</f>
        <v>0</v>
      </c>
      <c r="O33" s="7">
        <f ca="1">MIN(IF(N$1=0,MthRem,12), MAX(Inputs!$G$162-IF(N$1=0,0,N$1*12+MthOff), 0))*Inputs!$B$164</f>
        <v>0</v>
      </c>
      <c r="P33" s="7">
        <f ca="1">MIN(IF(O$1=0,MthRem,12), MAX(Inputs!$G$162-IF(O$1=0,0,O$1*12+MthOff), 0))*Inputs!$B$164</f>
        <v>0</v>
      </c>
      <c r="Q33" s="7">
        <f ca="1">MIN(IF(P$1=0,MthRem,12), MAX(Inputs!$G$162-IF(P$1=0,0,P$1*12+MthOff), 0))*Inputs!$B$164</f>
        <v>0</v>
      </c>
      <c r="R33" s="7">
        <f ca="1">MIN(IF(Q$1=0,MthRem,12), MAX(Inputs!$G$162-IF(Q$1=0,0,Q$1*12+MthOff), 0))*Inputs!$B$164</f>
        <v>0</v>
      </c>
      <c r="S33" s="7">
        <f ca="1">MIN(IF(R$1=0,MthRem,12), MAX(Inputs!$G$162-IF(R$1=0,0,R$1*12+MthOff), 0))*Inputs!$B$164</f>
        <v>0</v>
      </c>
      <c r="T33" s="7">
        <f ca="1">MIN(IF(S$1=0,MthRem,12), MAX(Inputs!$G$162-IF(S$1=0,0,S$1*12+MthOff), 0))*Inputs!$B$164</f>
        <v>0</v>
      </c>
      <c r="U33" s="7">
        <f ca="1">MIN(IF(T$1=0,MthRem,12), MAX(Inputs!$G$162-IF(T$1=0,0,T$1*12+MthOff), 0))*Inputs!$B$164</f>
        <v>0</v>
      </c>
      <c r="V33" s="7">
        <f ca="1">MIN(IF(U$1=0,MthRem,12), MAX(Inputs!$G$162-IF(U$1=0,0,U$1*12+MthOff), 0))*Inputs!$B$164</f>
        <v>0</v>
      </c>
      <c r="W33" s="7">
        <f ca="1">MIN(IF(V$1=0,MthRem,12), MAX(Inputs!$G$162-IF(V$1=0,0,V$1*12+MthOff), 0))*Inputs!$B$164</f>
        <v>0</v>
      </c>
      <c r="X33" s="7">
        <f ca="1">MIN(IF(W$1=0,MthRem,12), MAX(Inputs!$G$162-IF(W$1=0,0,W$1*12+MthOff), 0))*Inputs!$B$164</f>
        <v>0</v>
      </c>
      <c r="Y33" s="7">
        <f ca="1">MIN(IF(X$1=0,MthRem,12), MAX(Inputs!$G$162-IF(X$1=0,0,X$1*12+MthOff), 0))*Inputs!$B$164</f>
        <v>0</v>
      </c>
      <c r="Z33" s="7">
        <f ca="1">MIN(IF(Y$1=0,MthRem,12), MAX(Inputs!$G$162-IF(Y$1=0,0,Y$1*12+MthOff), 0))*Inputs!$B$164</f>
        <v>0</v>
      </c>
      <c r="AA33" s="7">
        <f ca="1">MIN(IF(Z$1=0,MthRem,12), MAX(Inputs!$G$162-IF(Z$1=0,0,Z$1*12+MthOff), 0))*Inputs!$B$164</f>
        <v>0</v>
      </c>
      <c r="AB33" s="7">
        <f ca="1">MIN(IF(AA$1=0,MthRem,12), MAX(Inputs!$G$162-IF(AA$1=0,0,AA$1*12+MthOff), 0))*Inputs!$B$164</f>
        <v>0</v>
      </c>
      <c r="AC33" s="7">
        <f ca="1">MIN(IF(AB$1=0,MthRem,12), MAX(Inputs!$G$162-IF(AB$1=0,0,AB$1*12+MthOff), 0))*Inputs!$B$164</f>
        <v>0</v>
      </c>
      <c r="AD33" s="7">
        <f ca="1">MIN(IF(AC$1=0,MthRem,12), MAX(Inputs!$G$162-IF(AC$1=0,0,AC$1*12+MthOff), 0))*Inputs!$B$164</f>
        <v>0</v>
      </c>
      <c r="AE33" s="7">
        <f ca="1">MIN(IF(AD$1=0,MthRem,12), MAX(Inputs!$G$162-IF(AD$1=0,0,AD$1*12+MthOff), 0))*Inputs!$B$164</f>
        <v>0</v>
      </c>
      <c r="AF33" s="7">
        <f ca="1">MIN(IF(AE$1=0,MthRem,12), MAX(Inputs!$G$162-IF(AE$1=0,0,AE$1*12+MthOff), 0))*Inputs!$B$164</f>
        <v>0</v>
      </c>
      <c r="AG33" s="7">
        <f ca="1">MIN(IF(AF$1=0,MthRem,12), MAX(Inputs!$G$162-IF(AF$1=0,0,AF$1*12+MthOff), 0))*Inputs!$B$164</f>
        <v>0</v>
      </c>
      <c r="AH33" s="7">
        <f ca="1">MIN(IF(AG$1=0,MthRem,12), MAX(Inputs!$G$162-IF(AG$1=0,0,AG$1*12+MthOff), 0))*Inputs!$B$164</f>
        <v>0</v>
      </c>
      <c r="AI33" s="7">
        <f ca="1">MIN(IF(AH$1=0,MthRem,12), MAX(Inputs!$G$162-IF(AH$1=0,0,AH$1*12+MthOff), 0))*Inputs!$B$164</f>
        <v>0</v>
      </c>
      <c r="AJ33" s="7">
        <f ca="1">MIN(IF(AI$1=0,MthRem,12), MAX(Inputs!$G$162-IF(AI$1=0,0,AI$1*12+MthOff), 0))*Inputs!$B$164</f>
        <v>0</v>
      </c>
      <c r="AK33" s="7">
        <f ca="1">MIN(IF(AJ$1=0,MthRem,12), MAX(Inputs!$G$162-IF(AJ$1=0,0,AJ$1*12+MthOff), 0))*Inputs!$B$164</f>
        <v>0</v>
      </c>
      <c r="AL33" s="7">
        <f ca="1">MIN(IF(AK$1=0,MthRem,12), MAX(Inputs!$G$162-IF(AK$1=0,0,AK$1*12+MthOff), 0))*Inputs!$B$164</f>
        <v>0</v>
      </c>
      <c r="AM33" s="7">
        <f ca="1">MIN(IF(AL$1=0,MthRem,12), MAX(Inputs!$G$162-IF(AL$1=0,0,AL$1*12+MthOff), 0))*Inputs!$B$164</f>
        <v>0</v>
      </c>
    </row>
    <row r="34" spans="1:39" x14ac:dyDescent="0.2">
      <c r="A34" s="3" t="str">
        <f>TEXT(Inputs!$B$102,"")</f>
        <v>Boat</v>
      </c>
      <c r="C34" s="7">
        <f ca="1">MIN(IF(B$1=0,MthRem,12), MAX(Inputs!$G$167-IF(B$1=0,0,B$1*12+MthOff), 0))*Inputs!$B$169</f>
        <v>6240</v>
      </c>
      <c r="D34" s="7">
        <f ca="1">MIN(IF(C$1=0,MthRem,12), MAX(Inputs!$G$167-IF(C$1=0,0,C$1*12+MthOff), 0))*Inputs!$B$169</f>
        <v>7488</v>
      </c>
      <c r="E34" s="7">
        <f ca="1">MIN(IF(D$1=0,MthRem,12), MAX(Inputs!$G$167-IF(D$1=0,0,D$1*12+MthOff), 0))*Inputs!$B$169</f>
        <v>7488</v>
      </c>
      <c r="F34" s="7">
        <f ca="1">MIN(IF(E$1=0,MthRem,12), MAX(Inputs!$G$167-IF(E$1=0,0,E$1*12+MthOff), 0))*Inputs!$B$169</f>
        <v>7488</v>
      </c>
      <c r="G34" s="7">
        <f ca="1">MIN(IF(F$1=0,MthRem,12), MAX(Inputs!$G$167-IF(F$1=0,0,F$1*12+MthOff), 0))*Inputs!$B$169</f>
        <v>7488</v>
      </c>
      <c r="H34" s="7">
        <f ca="1">MIN(IF(G$1=0,MthRem,12), MAX(Inputs!$G$167-IF(G$1=0,0,G$1*12+MthOff), 0))*Inputs!$B$169</f>
        <v>7488</v>
      </c>
      <c r="I34" s="7">
        <f ca="1">MIN(IF(H$1=0,MthRem,12), MAX(Inputs!$G$167-IF(H$1=0,0,H$1*12+MthOff), 0))*Inputs!$B$169</f>
        <v>4665.2926184371663</v>
      </c>
      <c r="J34" s="7">
        <f ca="1">MIN(IF(I$1=0,MthRem,12), MAX(Inputs!$G$167-IF(I$1=0,0,I$1*12+MthOff), 0))*Inputs!$B$169</f>
        <v>0</v>
      </c>
      <c r="K34" s="7">
        <f ca="1">MIN(IF(J$1=0,MthRem,12), MAX(Inputs!$G$167-IF(J$1=0,0,J$1*12+MthOff), 0))*Inputs!$B$169</f>
        <v>0</v>
      </c>
      <c r="L34" s="7">
        <f ca="1">MIN(IF(K$1=0,MthRem,12), MAX(Inputs!$G$167-IF(K$1=0,0,K$1*12+MthOff), 0))*Inputs!$B$169</f>
        <v>0</v>
      </c>
      <c r="M34" s="7">
        <f ca="1">MIN(IF(L$1=0,MthRem,12), MAX(Inputs!$G$167-IF(L$1=0,0,L$1*12+MthOff), 0))*Inputs!$B$169</f>
        <v>0</v>
      </c>
      <c r="N34" s="7">
        <f ca="1">MIN(IF(M$1=0,MthRem,12), MAX(Inputs!$G$167-IF(M$1=0,0,M$1*12+MthOff), 0))*Inputs!$B$169</f>
        <v>0</v>
      </c>
      <c r="O34" s="7">
        <f ca="1">MIN(IF(N$1=0,MthRem,12), MAX(Inputs!$G$167-IF(N$1=0,0,N$1*12+MthOff), 0))*Inputs!$B$169</f>
        <v>0</v>
      </c>
      <c r="P34" s="7">
        <f ca="1">MIN(IF(O$1=0,MthRem,12), MAX(Inputs!$G$167-IF(O$1=0,0,O$1*12+MthOff), 0))*Inputs!$B$169</f>
        <v>0</v>
      </c>
      <c r="Q34" s="7">
        <f ca="1">MIN(IF(P$1=0,MthRem,12), MAX(Inputs!$G$167-IF(P$1=0,0,P$1*12+MthOff), 0))*Inputs!$B$169</f>
        <v>0</v>
      </c>
      <c r="R34" s="7">
        <f ca="1">MIN(IF(Q$1=0,MthRem,12), MAX(Inputs!$G$167-IF(Q$1=0,0,Q$1*12+MthOff), 0))*Inputs!$B$169</f>
        <v>0</v>
      </c>
      <c r="S34" s="7">
        <f ca="1">MIN(IF(R$1=0,MthRem,12), MAX(Inputs!$G$167-IF(R$1=0,0,R$1*12+MthOff), 0))*Inputs!$B$169</f>
        <v>0</v>
      </c>
      <c r="T34" s="7">
        <f ca="1">MIN(IF(S$1=0,MthRem,12), MAX(Inputs!$G$167-IF(S$1=0,0,S$1*12+MthOff), 0))*Inputs!$B$169</f>
        <v>0</v>
      </c>
      <c r="U34" s="7">
        <f ca="1">MIN(IF(T$1=0,MthRem,12), MAX(Inputs!$G$167-IF(T$1=0,0,T$1*12+MthOff), 0))*Inputs!$B$169</f>
        <v>0</v>
      </c>
      <c r="V34" s="7">
        <f ca="1">MIN(IF(U$1=0,MthRem,12), MAX(Inputs!$G$167-IF(U$1=0,0,U$1*12+MthOff), 0))*Inputs!$B$169</f>
        <v>0</v>
      </c>
      <c r="W34" s="7">
        <f ca="1">MIN(IF(V$1=0,MthRem,12), MAX(Inputs!$G$167-IF(V$1=0,0,V$1*12+MthOff), 0))*Inputs!$B$169</f>
        <v>0</v>
      </c>
      <c r="X34" s="7">
        <f ca="1">MIN(IF(W$1=0,MthRem,12), MAX(Inputs!$G$167-IF(W$1=0,0,W$1*12+MthOff), 0))*Inputs!$B$169</f>
        <v>0</v>
      </c>
      <c r="Y34" s="7">
        <f ca="1">MIN(IF(X$1=0,MthRem,12), MAX(Inputs!$G$167-IF(X$1=0,0,X$1*12+MthOff), 0))*Inputs!$B$169</f>
        <v>0</v>
      </c>
      <c r="Z34" s="7">
        <f ca="1">MIN(IF(Y$1=0,MthRem,12), MAX(Inputs!$G$167-IF(Y$1=0,0,Y$1*12+MthOff), 0))*Inputs!$B$169</f>
        <v>0</v>
      </c>
      <c r="AA34" s="7">
        <f ca="1">MIN(IF(Z$1=0,MthRem,12), MAX(Inputs!$G$167-IF(Z$1=0,0,Z$1*12+MthOff), 0))*Inputs!$B$169</f>
        <v>0</v>
      </c>
      <c r="AB34" s="7">
        <f ca="1">MIN(IF(AA$1=0,MthRem,12), MAX(Inputs!$G$167-IF(AA$1=0,0,AA$1*12+MthOff), 0))*Inputs!$B$169</f>
        <v>0</v>
      </c>
      <c r="AC34" s="7">
        <f ca="1">MIN(IF(AB$1=0,MthRem,12), MAX(Inputs!$G$167-IF(AB$1=0,0,AB$1*12+MthOff), 0))*Inputs!$B$169</f>
        <v>0</v>
      </c>
      <c r="AD34" s="7">
        <f ca="1">MIN(IF(AC$1=0,MthRem,12), MAX(Inputs!$G$167-IF(AC$1=0,0,AC$1*12+MthOff), 0))*Inputs!$B$169</f>
        <v>0</v>
      </c>
      <c r="AE34" s="7">
        <f ca="1">MIN(IF(AD$1=0,MthRem,12), MAX(Inputs!$G$167-IF(AD$1=0,0,AD$1*12+MthOff), 0))*Inputs!$B$169</f>
        <v>0</v>
      </c>
      <c r="AF34" s="7">
        <f ca="1">MIN(IF(AE$1=0,MthRem,12), MAX(Inputs!$G$167-IF(AE$1=0,0,AE$1*12+MthOff), 0))*Inputs!$B$169</f>
        <v>0</v>
      </c>
      <c r="AG34" s="7">
        <f ca="1">MIN(IF(AF$1=0,MthRem,12), MAX(Inputs!$G$167-IF(AF$1=0,0,AF$1*12+MthOff), 0))*Inputs!$B$169</f>
        <v>0</v>
      </c>
      <c r="AH34" s="7">
        <f ca="1">MIN(IF(AG$1=0,MthRem,12), MAX(Inputs!$G$167-IF(AG$1=0,0,AG$1*12+MthOff), 0))*Inputs!$B$169</f>
        <v>0</v>
      </c>
      <c r="AI34" s="7">
        <f ca="1">MIN(IF(AH$1=0,MthRem,12), MAX(Inputs!$G$167-IF(AH$1=0,0,AH$1*12+MthOff), 0))*Inputs!$B$169</f>
        <v>0</v>
      </c>
      <c r="AJ34" s="7">
        <f ca="1">MIN(IF(AI$1=0,MthRem,12), MAX(Inputs!$G$167-IF(AI$1=0,0,AI$1*12+MthOff), 0))*Inputs!$B$169</f>
        <v>0</v>
      </c>
      <c r="AK34" s="7">
        <f ca="1">MIN(IF(AJ$1=0,MthRem,12), MAX(Inputs!$G$167-IF(AJ$1=0,0,AJ$1*12+MthOff), 0))*Inputs!$B$169</f>
        <v>0</v>
      </c>
      <c r="AL34" s="7">
        <f ca="1">MIN(IF(AK$1=0,MthRem,12), MAX(Inputs!$G$167-IF(AK$1=0,0,AK$1*12+MthOff), 0))*Inputs!$B$169</f>
        <v>0</v>
      </c>
      <c r="AM34" s="7">
        <f ca="1">MIN(IF(AL$1=0,MthRem,12), MAX(Inputs!$G$167-IF(AL$1=0,0,AL$1*12+MthOff), 0))*Inputs!$B$169</f>
        <v>0</v>
      </c>
    </row>
    <row r="35" spans="1:39" x14ac:dyDescent="0.2">
      <c r="A35" s="3" t="str">
        <f>TEXT(Inputs!$B$107,"")</f>
        <v>Antiques</v>
      </c>
      <c r="C35" s="7">
        <f ca="1">MIN(IF(B$1=0,MthRem,12), MAX(Inputs!$G$172-IF(B$1=0,0,B$1*12+MthOff), 0))*Inputs!$B$174</f>
        <v>1100</v>
      </c>
      <c r="D35" s="7">
        <f ca="1">MIN(IF(C$1=0,MthRem,12), MAX(Inputs!$G$172-IF(C$1=0,0,C$1*12+MthOff), 0))*Inputs!$B$174</f>
        <v>1320</v>
      </c>
      <c r="E35" s="7">
        <f ca="1">MIN(IF(D$1=0,MthRem,12), MAX(Inputs!$G$172-IF(D$1=0,0,D$1*12+MthOff), 0))*Inputs!$B$174</f>
        <v>1320</v>
      </c>
      <c r="F35" s="7">
        <f ca="1">MIN(IF(E$1=0,MthRem,12), MAX(Inputs!$G$172-IF(E$1=0,0,E$1*12+MthOff), 0))*Inputs!$B$174</f>
        <v>239.1617627002698</v>
      </c>
      <c r="G35" s="7">
        <f ca="1">MIN(IF(F$1=0,MthRem,12), MAX(Inputs!$G$172-IF(F$1=0,0,F$1*12+MthOff), 0))*Inputs!$B$174</f>
        <v>0</v>
      </c>
      <c r="H35" s="7">
        <f ca="1">MIN(IF(G$1=0,MthRem,12), MAX(Inputs!$G$172-IF(G$1=0,0,G$1*12+MthOff), 0))*Inputs!$B$174</f>
        <v>0</v>
      </c>
      <c r="I35" s="7">
        <f ca="1">MIN(IF(H$1=0,MthRem,12), MAX(Inputs!$G$172-IF(H$1=0,0,H$1*12+MthOff), 0))*Inputs!$B$174</f>
        <v>0</v>
      </c>
      <c r="J35" s="7">
        <f ca="1">MIN(IF(I$1=0,MthRem,12), MAX(Inputs!$G$172-IF(I$1=0,0,I$1*12+MthOff), 0))*Inputs!$B$174</f>
        <v>0</v>
      </c>
      <c r="K35" s="7">
        <f ca="1">MIN(IF(J$1=0,MthRem,12), MAX(Inputs!$G$172-IF(J$1=0,0,J$1*12+MthOff), 0))*Inputs!$B$174</f>
        <v>0</v>
      </c>
      <c r="L35" s="7">
        <f ca="1">MIN(IF(K$1=0,MthRem,12), MAX(Inputs!$G$172-IF(K$1=0,0,K$1*12+MthOff), 0))*Inputs!$B$174</f>
        <v>0</v>
      </c>
      <c r="M35" s="7">
        <f ca="1">MIN(IF(L$1=0,MthRem,12), MAX(Inputs!$G$172-IF(L$1=0,0,L$1*12+MthOff), 0))*Inputs!$B$174</f>
        <v>0</v>
      </c>
      <c r="N35" s="7">
        <f ca="1">MIN(IF(M$1=0,MthRem,12), MAX(Inputs!$G$172-IF(M$1=0,0,M$1*12+MthOff), 0))*Inputs!$B$174</f>
        <v>0</v>
      </c>
      <c r="O35" s="7">
        <f ca="1">MIN(IF(N$1=0,MthRem,12), MAX(Inputs!$G$172-IF(N$1=0,0,N$1*12+MthOff), 0))*Inputs!$B$174</f>
        <v>0</v>
      </c>
      <c r="P35" s="7">
        <f ca="1">MIN(IF(O$1=0,MthRem,12), MAX(Inputs!$G$172-IF(O$1=0,0,O$1*12+MthOff), 0))*Inputs!$B$174</f>
        <v>0</v>
      </c>
      <c r="Q35" s="7">
        <f ca="1">MIN(IF(P$1=0,MthRem,12), MAX(Inputs!$G$172-IF(P$1=0,0,P$1*12+MthOff), 0))*Inputs!$B$174</f>
        <v>0</v>
      </c>
      <c r="R35" s="7">
        <f ca="1">MIN(IF(Q$1=0,MthRem,12), MAX(Inputs!$G$172-IF(Q$1=0,0,Q$1*12+MthOff), 0))*Inputs!$B$174</f>
        <v>0</v>
      </c>
      <c r="S35" s="7">
        <f ca="1">MIN(IF(R$1=0,MthRem,12), MAX(Inputs!$G$172-IF(R$1=0,0,R$1*12+MthOff), 0))*Inputs!$B$174</f>
        <v>0</v>
      </c>
      <c r="T35" s="7">
        <f ca="1">MIN(IF(S$1=0,MthRem,12), MAX(Inputs!$G$172-IF(S$1=0,0,S$1*12+MthOff), 0))*Inputs!$B$174</f>
        <v>0</v>
      </c>
      <c r="U35" s="7">
        <f ca="1">MIN(IF(T$1=0,MthRem,12), MAX(Inputs!$G$172-IF(T$1=0,0,T$1*12+MthOff), 0))*Inputs!$B$174</f>
        <v>0</v>
      </c>
      <c r="V35" s="7">
        <f ca="1">MIN(IF(U$1=0,MthRem,12), MAX(Inputs!$G$172-IF(U$1=0,0,U$1*12+MthOff), 0))*Inputs!$B$174</f>
        <v>0</v>
      </c>
      <c r="W35" s="7">
        <f ca="1">MIN(IF(V$1=0,MthRem,12), MAX(Inputs!$G$172-IF(V$1=0,0,V$1*12+MthOff), 0))*Inputs!$B$174</f>
        <v>0</v>
      </c>
      <c r="X35" s="7">
        <f ca="1">MIN(IF(W$1=0,MthRem,12), MAX(Inputs!$G$172-IF(W$1=0,0,W$1*12+MthOff), 0))*Inputs!$B$174</f>
        <v>0</v>
      </c>
      <c r="Y35" s="7">
        <f ca="1">MIN(IF(X$1=0,MthRem,12), MAX(Inputs!$G$172-IF(X$1=0,0,X$1*12+MthOff), 0))*Inputs!$B$174</f>
        <v>0</v>
      </c>
      <c r="Z35" s="7">
        <f ca="1">MIN(IF(Y$1=0,MthRem,12), MAX(Inputs!$G$172-IF(Y$1=0,0,Y$1*12+MthOff), 0))*Inputs!$B$174</f>
        <v>0</v>
      </c>
      <c r="AA35" s="7">
        <f ca="1">MIN(IF(Z$1=0,MthRem,12), MAX(Inputs!$G$172-IF(Z$1=0,0,Z$1*12+MthOff), 0))*Inputs!$B$174</f>
        <v>0</v>
      </c>
      <c r="AB35" s="7">
        <f ca="1">MIN(IF(AA$1=0,MthRem,12), MAX(Inputs!$G$172-IF(AA$1=0,0,AA$1*12+MthOff), 0))*Inputs!$B$174</f>
        <v>0</v>
      </c>
      <c r="AC35" s="7">
        <f ca="1">MIN(IF(AB$1=0,MthRem,12), MAX(Inputs!$G$172-IF(AB$1=0,0,AB$1*12+MthOff), 0))*Inputs!$B$174</f>
        <v>0</v>
      </c>
      <c r="AD35" s="7">
        <f ca="1">MIN(IF(AC$1=0,MthRem,12), MAX(Inputs!$G$172-IF(AC$1=0,0,AC$1*12+MthOff), 0))*Inputs!$B$174</f>
        <v>0</v>
      </c>
      <c r="AE35" s="7">
        <f ca="1">MIN(IF(AD$1=0,MthRem,12), MAX(Inputs!$G$172-IF(AD$1=0,0,AD$1*12+MthOff), 0))*Inputs!$B$174</f>
        <v>0</v>
      </c>
      <c r="AF35" s="7">
        <f ca="1">MIN(IF(AE$1=0,MthRem,12), MAX(Inputs!$G$172-IF(AE$1=0,0,AE$1*12+MthOff), 0))*Inputs!$B$174</f>
        <v>0</v>
      </c>
      <c r="AG35" s="7">
        <f ca="1">MIN(IF(AF$1=0,MthRem,12), MAX(Inputs!$G$172-IF(AF$1=0,0,AF$1*12+MthOff), 0))*Inputs!$B$174</f>
        <v>0</v>
      </c>
      <c r="AH35" s="7">
        <f ca="1">MIN(IF(AG$1=0,MthRem,12), MAX(Inputs!$G$172-IF(AG$1=0,0,AG$1*12+MthOff), 0))*Inputs!$B$174</f>
        <v>0</v>
      </c>
      <c r="AI35" s="7">
        <f ca="1">MIN(IF(AH$1=0,MthRem,12), MAX(Inputs!$G$172-IF(AH$1=0,0,AH$1*12+MthOff), 0))*Inputs!$B$174</f>
        <v>0</v>
      </c>
      <c r="AJ35" s="7">
        <f ca="1">MIN(IF(AI$1=0,MthRem,12), MAX(Inputs!$G$172-IF(AI$1=0,0,AI$1*12+MthOff), 0))*Inputs!$B$174</f>
        <v>0</v>
      </c>
      <c r="AK35" s="7">
        <f ca="1">MIN(IF(AJ$1=0,MthRem,12), MAX(Inputs!$G$172-IF(AJ$1=0,0,AJ$1*12+MthOff), 0))*Inputs!$B$174</f>
        <v>0</v>
      </c>
      <c r="AL35" s="7">
        <f ca="1">MIN(IF(AK$1=0,MthRem,12), MAX(Inputs!$G$172-IF(AK$1=0,0,AK$1*12+MthOff), 0))*Inputs!$B$174</f>
        <v>0</v>
      </c>
      <c r="AM35" s="7">
        <f ca="1">MIN(IF(AL$1=0,MthRem,12), MAX(Inputs!$G$172-IF(AL$1=0,0,AL$1*12+MthOff), 0))*Inputs!$B$174</f>
        <v>0</v>
      </c>
    </row>
    <row r="36" spans="1:39" x14ac:dyDescent="0.2">
      <c r="A36" s="4" t="s">
        <v>35</v>
      </c>
      <c r="C36" s="7">
        <f ca="1">MIN(IF(B$1=0,MthRem,12), MAX(Inputs!$G$177-IF(B$1=0,0,B$1*12+MthOff), 0))*Inputs!$B$179</f>
        <v>500</v>
      </c>
      <c r="D36" s="7">
        <f ca="1">MIN(IF(C$1=0,MthRem,12), MAX(Inputs!$G$177-IF(C$1=0,0,C$1*12+MthOff), 0))*Inputs!$B$179</f>
        <v>600</v>
      </c>
      <c r="E36" s="7">
        <f ca="1">MIN(IF(D$1=0,MthRem,12), MAX(Inputs!$G$177-IF(D$1=0,0,D$1*12+MthOff), 0))*Inputs!$B$179</f>
        <v>600</v>
      </c>
      <c r="F36" s="7">
        <f ca="1">MIN(IF(E$1=0,MthRem,12), MAX(Inputs!$G$177-IF(E$1=0,0,E$1*12+MthOff), 0))*Inputs!$B$179</f>
        <v>600</v>
      </c>
      <c r="G36" s="7">
        <f ca="1">MIN(IF(F$1=0,MthRem,12), MAX(Inputs!$G$177-IF(F$1=0,0,F$1*12+MthOff), 0))*Inputs!$B$179</f>
        <v>600</v>
      </c>
      <c r="H36" s="7">
        <f ca="1">MIN(IF(G$1=0,MthRem,12), MAX(Inputs!$G$177-IF(G$1=0,0,G$1*12+MthOff), 0))*Inputs!$B$179</f>
        <v>600</v>
      </c>
      <c r="I36" s="7">
        <f ca="1">MIN(IF(H$1=0,MthRem,12), MAX(Inputs!$G$177-IF(H$1=0,0,H$1*12+MthOff), 0))*Inputs!$B$179</f>
        <v>600</v>
      </c>
      <c r="J36" s="7">
        <f ca="1">MIN(IF(I$1=0,MthRem,12), MAX(Inputs!$G$177-IF(I$1=0,0,I$1*12+MthOff), 0))*Inputs!$B$179</f>
        <v>600</v>
      </c>
      <c r="K36" s="7">
        <f ca="1">MIN(IF(J$1=0,MthRem,12), MAX(Inputs!$G$177-IF(J$1=0,0,J$1*12+MthOff), 0))*Inputs!$B$179</f>
        <v>421.016262575219</v>
      </c>
      <c r="L36" s="7">
        <f ca="1">MIN(IF(K$1=0,MthRem,12), MAX(Inputs!$G$177-IF(K$1=0,0,K$1*12+MthOff), 0))*Inputs!$B$179</f>
        <v>0</v>
      </c>
      <c r="M36" s="7">
        <f ca="1">MIN(IF(L$1=0,MthRem,12), MAX(Inputs!$G$177-IF(L$1=0,0,L$1*12+MthOff), 0))*Inputs!$B$179</f>
        <v>0</v>
      </c>
      <c r="N36" s="7">
        <f ca="1">MIN(IF(M$1=0,MthRem,12), MAX(Inputs!$G$177-IF(M$1=0,0,M$1*12+MthOff), 0))*Inputs!$B$179</f>
        <v>0</v>
      </c>
      <c r="O36" s="7">
        <f ca="1">MIN(IF(N$1=0,MthRem,12), MAX(Inputs!$G$177-IF(N$1=0,0,N$1*12+MthOff), 0))*Inputs!$B$179</f>
        <v>0</v>
      </c>
      <c r="P36" s="7">
        <f ca="1">MIN(IF(O$1=0,MthRem,12), MAX(Inputs!$G$177-IF(O$1=0,0,O$1*12+MthOff), 0))*Inputs!$B$179</f>
        <v>0</v>
      </c>
      <c r="Q36" s="7">
        <f ca="1">MIN(IF(P$1=0,MthRem,12), MAX(Inputs!$G$177-IF(P$1=0,0,P$1*12+MthOff), 0))*Inputs!$B$179</f>
        <v>0</v>
      </c>
      <c r="R36" s="7">
        <f ca="1">MIN(IF(Q$1=0,MthRem,12), MAX(Inputs!$G$177-IF(Q$1=0,0,Q$1*12+MthOff), 0))*Inputs!$B$179</f>
        <v>0</v>
      </c>
      <c r="S36" s="7">
        <f ca="1">MIN(IF(R$1=0,MthRem,12), MAX(Inputs!$G$177-IF(R$1=0,0,R$1*12+MthOff), 0))*Inputs!$B$179</f>
        <v>0</v>
      </c>
      <c r="T36" s="7">
        <f ca="1">MIN(IF(S$1=0,MthRem,12), MAX(Inputs!$G$177-IF(S$1=0,0,S$1*12+MthOff), 0))*Inputs!$B$179</f>
        <v>0</v>
      </c>
      <c r="U36" s="7">
        <f ca="1">MIN(IF(T$1=0,MthRem,12), MAX(Inputs!$G$177-IF(T$1=0,0,T$1*12+MthOff), 0))*Inputs!$B$179</f>
        <v>0</v>
      </c>
      <c r="V36" s="7">
        <f ca="1">MIN(IF(U$1=0,MthRem,12), MAX(Inputs!$G$177-IF(U$1=0,0,U$1*12+MthOff), 0))*Inputs!$B$179</f>
        <v>0</v>
      </c>
      <c r="W36" s="7">
        <f ca="1">MIN(IF(V$1=0,MthRem,12), MAX(Inputs!$G$177-IF(V$1=0,0,V$1*12+MthOff), 0))*Inputs!$B$179</f>
        <v>0</v>
      </c>
      <c r="X36" s="7">
        <f ca="1">MIN(IF(W$1=0,MthRem,12), MAX(Inputs!$G$177-IF(W$1=0,0,W$1*12+MthOff), 0))*Inputs!$B$179</f>
        <v>0</v>
      </c>
      <c r="Y36" s="7">
        <f ca="1">MIN(IF(X$1=0,MthRem,12), MAX(Inputs!$G$177-IF(X$1=0,0,X$1*12+MthOff), 0))*Inputs!$B$179</f>
        <v>0</v>
      </c>
      <c r="Z36" s="7">
        <f ca="1">MIN(IF(Y$1=0,MthRem,12), MAX(Inputs!$G$177-IF(Y$1=0,0,Y$1*12+MthOff), 0))*Inputs!$B$179</f>
        <v>0</v>
      </c>
      <c r="AA36" s="7">
        <f ca="1">MIN(IF(Z$1=0,MthRem,12), MAX(Inputs!$G$177-IF(Z$1=0,0,Z$1*12+MthOff), 0))*Inputs!$B$179</f>
        <v>0</v>
      </c>
      <c r="AB36" s="7">
        <f ca="1">MIN(IF(AA$1=0,MthRem,12), MAX(Inputs!$G$177-IF(AA$1=0,0,AA$1*12+MthOff), 0))*Inputs!$B$179</f>
        <v>0</v>
      </c>
      <c r="AC36" s="7">
        <f ca="1">MIN(IF(AB$1=0,MthRem,12), MAX(Inputs!$G$177-IF(AB$1=0,0,AB$1*12+MthOff), 0))*Inputs!$B$179</f>
        <v>0</v>
      </c>
      <c r="AD36" s="7">
        <f ca="1">MIN(IF(AC$1=0,MthRem,12), MAX(Inputs!$G$177-IF(AC$1=0,0,AC$1*12+MthOff), 0))*Inputs!$B$179</f>
        <v>0</v>
      </c>
      <c r="AE36" s="7">
        <f ca="1">MIN(IF(AD$1=0,MthRem,12), MAX(Inputs!$G$177-IF(AD$1=0,0,AD$1*12+MthOff), 0))*Inputs!$B$179</f>
        <v>0</v>
      </c>
      <c r="AF36" s="7">
        <f ca="1">MIN(IF(AE$1=0,MthRem,12), MAX(Inputs!$G$177-IF(AE$1=0,0,AE$1*12+MthOff), 0))*Inputs!$B$179</f>
        <v>0</v>
      </c>
      <c r="AG36" s="7">
        <f ca="1">MIN(IF(AF$1=0,MthRem,12), MAX(Inputs!$G$177-IF(AF$1=0,0,AF$1*12+MthOff), 0))*Inputs!$B$179</f>
        <v>0</v>
      </c>
      <c r="AH36" s="7">
        <f ca="1">MIN(IF(AG$1=0,MthRem,12), MAX(Inputs!$G$177-IF(AG$1=0,0,AG$1*12+MthOff), 0))*Inputs!$B$179</f>
        <v>0</v>
      </c>
      <c r="AI36" s="7">
        <f ca="1">MIN(IF(AH$1=0,MthRem,12), MAX(Inputs!$G$177-IF(AH$1=0,0,AH$1*12+MthOff), 0))*Inputs!$B$179</f>
        <v>0</v>
      </c>
      <c r="AJ36" s="7">
        <f ca="1">MIN(IF(AI$1=0,MthRem,12), MAX(Inputs!$G$177-IF(AI$1=0,0,AI$1*12+MthOff), 0))*Inputs!$B$179</f>
        <v>0</v>
      </c>
      <c r="AK36" s="7">
        <f ca="1">MIN(IF(AJ$1=0,MthRem,12), MAX(Inputs!$G$177-IF(AJ$1=0,0,AJ$1*12+MthOff), 0))*Inputs!$B$179</f>
        <v>0</v>
      </c>
      <c r="AL36" s="7">
        <f ca="1">MIN(IF(AK$1=0,MthRem,12), MAX(Inputs!$G$177-IF(AK$1=0,0,AK$1*12+MthOff), 0))*Inputs!$B$179</f>
        <v>0</v>
      </c>
      <c r="AM36" s="7">
        <f ca="1">MIN(IF(AL$1=0,MthRem,12), MAX(Inputs!$G$177-IF(AL$1=0,0,AL$1*12+MthOff), 0))*Inputs!$B$179</f>
        <v>0</v>
      </c>
    </row>
    <row r="37" spans="1:39" x14ac:dyDescent="0.2">
      <c r="A37" s="4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x14ac:dyDescent="0.2">
      <c r="A38" s="3" t="str">
        <f>TEXT(Inputs!B33,"")</f>
        <v>John</v>
      </c>
      <c r="B38" s="8"/>
      <c r="C38" s="7">
        <f ca="1">IF(Inputs!$B$35&gt;=C$1,Inputs!$B$34,0)*(1+inf)^B$1*ProRate</f>
        <v>1666.6666666666667</v>
      </c>
      <c r="D38" s="7">
        <f>IF(Inputs!$B$35&gt;=D$1,Inputs!$B$34,0)*(1+inf)^C$1</f>
        <v>2050</v>
      </c>
      <c r="E38" s="7">
        <f>IF(Inputs!$B$35&gt;=E$1,Inputs!$B$34,0)*(1+inf)^D$1</f>
        <v>2101.25</v>
      </c>
      <c r="F38" s="7">
        <f>IF(Inputs!$B$35&gt;=F$1,Inputs!$B$34,0)*(1+inf)^E$1</f>
        <v>0</v>
      </c>
      <c r="G38" s="7">
        <f>IF(Inputs!$B$35&gt;=G$1,Inputs!$B$34,0)*(1+inf)^F$1</f>
        <v>0</v>
      </c>
      <c r="H38" s="7">
        <f>IF(Inputs!$B$35&gt;=H$1,Inputs!$B$34,0)*(1+inf)^G$1</f>
        <v>0</v>
      </c>
      <c r="I38" s="7">
        <f>IF(Inputs!$B$35&gt;=I$1,Inputs!$B$34,0)*(1+inf)^H$1</f>
        <v>0</v>
      </c>
      <c r="J38" s="7">
        <f>IF(Inputs!$B$35&gt;=J$1,Inputs!$B$34,0)*(1+inf)^I$1</f>
        <v>0</v>
      </c>
      <c r="K38" s="7">
        <f>IF(Inputs!$B$35&gt;=K$1,Inputs!$B$34,0)*(1+inf)^J$1</f>
        <v>0</v>
      </c>
      <c r="L38" s="7">
        <f>IF(Inputs!$B$35&gt;=L$1,Inputs!$B$34,0)*(1+inf)^K$1</f>
        <v>0</v>
      </c>
      <c r="M38" s="7">
        <f>IF(Inputs!$B$35&gt;=M$1,Inputs!$B$34,0)*(1+inf)^L$1</f>
        <v>0</v>
      </c>
      <c r="N38" s="7">
        <f>IF(Inputs!$B$35&gt;=N$1,Inputs!$B$34,0)*(1+inf)^M$1</f>
        <v>0</v>
      </c>
      <c r="O38" s="7">
        <f>IF(Inputs!$B$35&gt;=O$1,Inputs!$B$34,0)*(1+inf)^N$1</f>
        <v>0</v>
      </c>
      <c r="P38" s="7">
        <f>IF(Inputs!$B$35&gt;=P$1,Inputs!$B$34,0)*(1+inf)^O$1</f>
        <v>0</v>
      </c>
      <c r="Q38" s="7">
        <f>IF(Inputs!$B$35&gt;=Q$1,Inputs!$B$34,0)*(1+inf)^P$1</f>
        <v>0</v>
      </c>
      <c r="R38" s="7">
        <f>IF(Inputs!$B$35&gt;=R$1,Inputs!$B$34,0)*(1+inf)^Q$1</f>
        <v>0</v>
      </c>
      <c r="S38" s="7">
        <f>IF(Inputs!$B$35&gt;=S$1,Inputs!$B$34,0)*(1+inf)^R$1</f>
        <v>0</v>
      </c>
      <c r="T38" s="7">
        <f>IF(Inputs!$B$35&gt;=T$1,Inputs!$B$34,0)*(1+inf)^S$1</f>
        <v>0</v>
      </c>
      <c r="U38" s="7">
        <f>IF(Inputs!$B$35&gt;=U$1,Inputs!$B$34,0)*(1+inf)^T$1</f>
        <v>0</v>
      </c>
      <c r="V38" s="7">
        <f>IF(Inputs!$B$35&gt;=V$1,Inputs!$B$34,0)*(1+inf)^U$1</f>
        <v>0</v>
      </c>
      <c r="W38" s="7">
        <f>IF(Inputs!$B$35&gt;=W$1,Inputs!$B$34,0)*(1+inf)^V$1</f>
        <v>0</v>
      </c>
      <c r="X38" s="7">
        <f>IF(Inputs!$B$35&gt;=X$1,Inputs!$B$34,0)*(1+inf)^W$1</f>
        <v>0</v>
      </c>
      <c r="Y38" s="7">
        <f>IF(Inputs!$B$35&gt;=Y$1,Inputs!$B$34,0)*(1+inf)^X$1</f>
        <v>0</v>
      </c>
      <c r="Z38" s="7">
        <f>IF(Inputs!$B$35&gt;=Z$1,Inputs!$B$34,0)*(1+inf)^Y$1</f>
        <v>0</v>
      </c>
      <c r="AA38" s="7">
        <f>IF(Inputs!$B$35&gt;=AA$1,Inputs!$B$34,0)*(1+inf)^Z$1</f>
        <v>0</v>
      </c>
      <c r="AB38" s="7">
        <f>IF(Inputs!$B$35&gt;=AB$1,Inputs!$B$34,0)*(1+inf)^AA$1</f>
        <v>0</v>
      </c>
      <c r="AC38" s="7">
        <f>IF(Inputs!$B$35&gt;=AC$1,Inputs!$B$34,0)*(1+inf)^AB$1</f>
        <v>0</v>
      </c>
      <c r="AD38" s="7">
        <f>IF(Inputs!$B$35&gt;=AD$1,Inputs!$B$34,0)*(1+inf)^AC$1</f>
        <v>0</v>
      </c>
      <c r="AE38" s="7">
        <f>IF(Inputs!$B$35&gt;=AE$1,Inputs!$B$34,0)*(1+inf)^AD$1</f>
        <v>0</v>
      </c>
      <c r="AF38" s="7">
        <f>IF(Inputs!$B$35&gt;=AF$1,Inputs!$B$34,0)*(1+inf)^AE$1</f>
        <v>0</v>
      </c>
      <c r="AG38" s="7">
        <f>IF(Inputs!$B$35&gt;=AG$1,Inputs!$B$34,0)*(1+inf)^AF$1</f>
        <v>0</v>
      </c>
      <c r="AH38" s="7">
        <f>IF(Inputs!$B$35&gt;=AH$1,Inputs!$B$34,0)*(1+inf)^AG$1</f>
        <v>0</v>
      </c>
      <c r="AI38" s="7">
        <f>IF(Inputs!$B$35&gt;=AI$1,Inputs!$B$34,0)*(1+inf)^AH$1</f>
        <v>0</v>
      </c>
      <c r="AJ38" s="7">
        <f>IF(Inputs!$B$35&gt;=AJ$1,Inputs!$B$34,0)*(1+inf)^AI$1</f>
        <v>0</v>
      </c>
      <c r="AK38" s="7">
        <f>IF(Inputs!$B$35&gt;=AK$1,Inputs!$B$34,0)*(1+inf)^AJ$1</f>
        <v>0</v>
      </c>
      <c r="AL38" s="7">
        <f>IF(Inputs!$B$35&gt;=AL$1,Inputs!$B$34,0)*(1+inf)^AK$1</f>
        <v>0</v>
      </c>
      <c r="AM38" s="7">
        <f>IF(Inputs!$B$35&gt;=AM$1,Inputs!$B$34,0)*(1+inf)^AL$1</f>
        <v>0</v>
      </c>
    </row>
    <row r="39" spans="1:39" x14ac:dyDescent="0.2">
      <c r="A39" s="3" t="str">
        <f>TEXT(Inputs!B38,"")</f>
        <v>Jack</v>
      </c>
      <c r="B39" s="8"/>
      <c r="C39" s="7">
        <f ca="1">IF(Inputs!$B$40&gt;=C$1,Inputs!$B$39,0)*(1+inf)^B$1*ProRate</f>
        <v>833.33333333333337</v>
      </c>
      <c r="D39" s="7">
        <f>IF(Inputs!$B$40&gt;=D$1,Inputs!$B$39,0)*(1+inf)^C$1</f>
        <v>1025</v>
      </c>
      <c r="E39" s="7">
        <f>IF(Inputs!$B$40&gt;=E$1,Inputs!$B$39,0)*(1+inf)^D$1</f>
        <v>1050.625</v>
      </c>
      <c r="F39" s="7">
        <f>IF(Inputs!$B$40&gt;=F$1,Inputs!$B$39,0)*(1+inf)^E$1</f>
        <v>1076.8906249999998</v>
      </c>
      <c r="G39" s="7">
        <f>IF(Inputs!$B$40&gt;=G$1,Inputs!$B$39,0)*(1+inf)^F$1</f>
        <v>1103.8128906249997</v>
      </c>
      <c r="H39" s="7">
        <f>IF(Inputs!$B$40&gt;=H$1,Inputs!$B$39,0)*(1+inf)^G$1</f>
        <v>0</v>
      </c>
      <c r="I39" s="7">
        <f>IF(Inputs!$B$40&gt;=I$1,Inputs!$B$39,0)*(1+inf)^H$1</f>
        <v>0</v>
      </c>
      <c r="J39" s="7">
        <f>IF(Inputs!$B$40&gt;=J$1,Inputs!$B$39,0)*(1+inf)^I$1</f>
        <v>0</v>
      </c>
      <c r="K39" s="7">
        <f>IF(Inputs!$B$40&gt;=K$1,Inputs!$B$39,0)*(1+inf)^J$1</f>
        <v>0</v>
      </c>
      <c r="L39" s="7">
        <f>IF(Inputs!$B$40&gt;=L$1,Inputs!$B$39,0)*(1+inf)^K$1</f>
        <v>0</v>
      </c>
      <c r="M39" s="7">
        <f>IF(Inputs!$B$40&gt;=M$1,Inputs!$B$39,0)*(1+inf)^L$1</f>
        <v>0</v>
      </c>
      <c r="N39" s="7">
        <f>IF(Inputs!$B$40&gt;=N$1,Inputs!$B$39,0)*(1+inf)^M$1</f>
        <v>0</v>
      </c>
      <c r="O39" s="7">
        <f>IF(Inputs!$B$40&gt;=O$1,Inputs!$B$39,0)*(1+inf)^N$1</f>
        <v>0</v>
      </c>
      <c r="P39" s="7">
        <f>IF(Inputs!$B$40&gt;=P$1,Inputs!$B$39,0)*(1+inf)^O$1</f>
        <v>0</v>
      </c>
      <c r="Q39" s="7">
        <f>IF(Inputs!$B$40&gt;=Q$1,Inputs!$B$39,0)*(1+inf)^P$1</f>
        <v>0</v>
      </c>
      <c r="R39" s="7">
        <f>IF(Inputs!$B$40&gt;=R$1,Inputs!$B$39,0)*(1+inf)^Q$1</f>
        <v>0</v>
      </c>
      <c r="S39" s="7">
        <f>IF(Inputs!$B$40&gt;=S$1,Inputs!$B$39,0)*(1+inf)^R$1</f>
        <v>0</v>
      </c>
      <c r="T39" s="7">
        <f>IF(Inputs!$B$40&gt;=T$1,Inputs!$B$39,0)*(1+inf)^S$1</f>
        <v>0</v>
      </c>
      <c r="U39" s="7">
        <f>IF(Inputs!$B$40&gt;=U$1,Inputs!$B$39,0)*(1+inf)^T$1</f>
        <v>0</v>
      </c>
      <c r="V39" s="7">
        <f>IF(Inputs!$B$40&gt;=V$1,Inputs!$B$39,0)*(1+inf)^U$1</f>
        <v>0</v>
      </c>
      <c r="W39" s="7">
        <f>IF(Inputs!$B$40&gt;=W$1,Inputs!$B$39,0)*(1+inf)^V$1</f>
        <v>0</v>
      </c>
      <c r="X39" s="7">
        <f>IF(Inputs!$B$40&gt;=X$1,Inputs!$B$39,0)*(1+inf)^W$1</f>
        <v>0</v>
      </c>
      <c r="Y39" s="7">
        <f>IF(Inputs!$B$40&gt;=Y$1,Inputs!$B$39,0)*(1+inf)^X$1</f>
        <v>0</v>
      </c>
      <c r="Z39" s="7">
        <f>IF(Inputs!$B$40&gt;=Z$1,Inputs!$B$39,0)*(1+inf)^Y$1</f>
        <v>0</v>
      </c>
      <c r="AA39" s="7">
        <f>IF(Inputs!$B$40&gt;=AA$1,Inputs!$B$39,0)*(1+inf)^Z$1</f>
        <v>0</v>
      </c>
      <c r="AB39" s="7">
        <f>IF(Inputs!$B$40&gt;=AB$1,Inputs!$B$39,0)*(1+inf)^AA$1</f>
        <v>0</v>
      </c>
      <c r="AC39" s="7">
        <f>IF(Inputs!$B$40&gt;=AC$1,Inputs!$B$39,0)*(1+inf)^AB$1</f>
        <v>0</v>
      </c>
      <c r="AD39" s="7">
        <f>IF(Inputs!$B$40&gt;=AD$1,Inputs!$B$39,0)*(1+inf)^AC$1</f>
        <v>0</v>
      </c>
      <c r="AE39" s="7">
        <f>IF(Inputs!$B$40&gt;=AE$1,Inputs!$B$39,0)*(1+inf)^AD$1</f>
        <v>0</v>
      </c>
      <c r="AF39" s="7">
        <f>IF(Inputs!$B$40&gt;=AF$1,Inputs!$B$39,0)*(1+inf)^AE$1</f>
        <v>0</v>
      </c>
      <c r="AG39" s="7">
        <f>IF(Inputs!$B$40&gt;=AG$1,Inputs!$B$39,0)*(1+inf)^AF$1</f>
        <v>0</v>
      </c>
      <c r="AH39" s="7">
        <f>IF(Inputs!$B$40&gt;=AH$1,Inputs!$B$39,0)*(1+inf)^AG$1</f>
        <v>0</v>
      </c>
      <c r="AI39" s="7">
        <f>IF(Inputs!$B$40&gt;=AI$1,Inputs!$B$39,0)*(1+inf)^AH$1</f>
        <v>0</v>
      </c>
      <c r="AJ39" s="7">
        <f>IF(Inputs!$B$40&gt;=AJ$1,Inputs!$B$39,0)*(1+inf)^AI$1</f>
        <v>0</v>
      </c>
      <c r="AK39" s="7">
        <f>IF(Inputs!$B$40&gt;=AK$1,Inputs!$B$39,0)*(1+inf)^AJ$1</f>
        <v>0</v>
      </c>
      <c r="AL39" s="7">
        <f>IF(Inputs!$B$40&gt;=AL$1,Inputs!$B$39,0)*(1+inf)^AK$1</f>
        <v>0</v>
      </c>
      <c r="AM39" s="7">
        <f>IF(Inputs!$B$40&gt;=AM$1,Inputs!$B$39,0)*(1+inf)^AL$1</f>
        <v>0</v>
      </c>
    </row>
    <row r="40" spans="1:39" x14ac:dyDescent="0.2">
      <c r="A40" s="3" t="str">
        <f>TEXT(Inputs!B43,"")</f>
        <v>Bill</v>
      </c>
      <c r="B40" s="8"/>
      <c r="C40" s="7">
        <f ca="1">IF(Inputs!$B$45&gt;=C$1,Inputs!$B$44,0)*(1+inf)^B$1*ProRate</f>
        <v>3333.3333333333335</v>
      </c>
      <c r="D40" s="7">
        <f>IF(Inputs!$B$45&gt;=D$1,Inputs!$B$44,0)*(1+inf)^C$1</f>
        <v>4100</v>
      </c>
      <c r="E40" s="7">
        <f>IF(Inputs!$B$45&gt;=E$1,Inputs!$B$44,0)*(1+inf)^D$1</f>
        <v>0</v>
      </c>
      <c r="F40" s="7">
        <f>IF(Inputs!$B$45&gt;=F$1,Inputs!$B$44,0)*(1+inf)^E$1</f>
        <v>0</v>
      </c>
      <c r="G40" s="7">
        <f>IF(Inputs!$B$45&gt;=G$1,Inputs!$B$44,0)*(1+inf)^F$1</f>
        <v>0</v>
      </c>
      <c r="H40" s="7">
        <f>IF(Inputs!$B$45&gt;=H$1,Inputs!$B$44,0)*(1+inf)^G$1</f>
        <v>0</v>
      </c>
      <c r="I40" s="7">
        <f>IF(Inputs!$B$45&gt;=I$1,Inputs!$B$44,0)*(1+inf)^H$1</f>
        <v>0</v>
      </c>
      <c r="J40" s="7">
        <f>IF(Inputs!$B$45&gt;=J$1,Inputs!$B$44,0)*(1+inf)^I$1</f>
        <v>0</v>
      </c>
      <c r="K40" s="7">
        <f>IF(Inputs!$B$45&gt;=K$1,Inputs!$B$44,0)*(1+inf)^J$1</f>
        <v>0</v>
      </c>
      <c r="L40" s="7">
        <f>IF(Inputs!$B$45&gt;=L$1,Inputs!$B$44,0)*(1+inf)^K$1</f>
        <v>0</v>
      </c>
      <c r="M40" s="7">
        <f>IF(Inputs!$B$45&gt;=M$1,Inputs!$B$44,0)*(1+inf)^L$1</f>
        <v>0</v>
      </c>
      <c r="N40" s="7">
        <f>IF(Inputs!$B$45&gt;=N$1,Inputs!$B$44,0)*(1+inf)^M$1</f>
        <v>0</v>
      </c>
      <c r="O40" s="7">
        <f>IF(Inputs!$B$45&gt;=O$1,Inputs!$B$44,0)*(1+inf)^N$1</f>
        <v>0</v>
      </c>
      <c r="P40" s="7">
        <f>IF(Inputs!$B$45&gt;=P$1,Inputs!$B$44,0)*(1+inf)^O$1</f>
        <v>0</v>
      </c>
      <c r="Q40" s="7">
        <f>IF(Inputs!$B$45&gt;=Q$1,Inputs!$B$44,0)*(1+inf)^P$1</f>
        <v>0</v>
      </c>
      <c r="R40" s="7">
        <f>IF(Inputs!$B$45&gt;=R$1,Inputs!$B$44,0)*(1+inf)^Q$1</f>
        <v>0</v>
      </c>
      <c r="S40" s="7">
        <f>IF(Inputs!$B$45&gt;=S$1,Inputs!$B$44,0)*(1+inf)^R$1</f>
        <v>0</v>
      </c>
      <c r="T40" s="7">
        <f>IF(Inputs!$B$45&gt;=T$1,Inputs!$B$44,0)*(1+inf)^S$1</f>
        <v>0</v>
      </c>
      <c r="U40" s="7">
        <f>IF(Inputs!$B$45&gt;=U$1,Inputs!$B$44,0)*(1+inf)^T$1</f>
        <v>0</v>
      </c>
      <c r="V40" s="7">
        <f>IF(Inputs!$B$45&gt;=V$1,Inputs!$B$44,0)*(1+inf)^U$1</f>
        <v>0</v>
      </c>
      <c r="W40" s="7">
        <f>IF(Inputs!$B$45&gt;=W$1,Inputs!$B$44,0)*(1+inf)^V$1</f>
        <v>0</v>
      </c>
      <c r="X40" s="7">
        <f>IF(Inputs!$B$45&gt;=X$1,Inputs!$B$44,0)*(1+inf)^W$1</f>
        <v>0</v>
      </c>
      <c r="Y40" s="7">
        <f>IF(Inputs!$B$45&gt;=Y$1,Inputs!$B$44,0)*(1+inf)^X$1</f>
        <v>0</v>
      </c>
      <c r="Z40" s="7">
        <f>IF(Inputs!$B$45&gt;=Z$1,Inputs!$B$44,0)*(1+inf)^Y$1</f>
        <v>0</v>
      </c>
      <c r="AA40" s="7">
        <f>IF(Inputs!$B$45&gt;=AA$1,Inputs!$B$44,0)*(1+inf)^Z$1</f>
        <v>0</v>
      </c>
      <c r="AB40" s="7">
        <f>IF(Inputs!$B$45&gt;=AB$1,Inputs!$B$44,0)*(1+inf)^AA$1</f>
        <v>0</v>
      </c>
      <c r="AC40" s="7">
        <f>IF(Inputs!$B$45&gt;=AC$1,Inputs!$B$44,0)*(1+inf)^AB$1</f>
        <v>0</v>
      </c>
      <c r="AD40" s="7">
        <f>IF(Inputs!$B$45&gt;=AD$1,Inputs!$B$44,0)*(1+inf)^AC$1</f>
        <v>0</v>
      </c>
      <c r="AE40" s="7">
        <f>IF(Inputs!$B$45&gt;=AE$1,Inputs!$B$44,0)*(1+inf)^AD$1</f>
        <v>0</v>
      </c>
      <c r="AF40" s="7">
        <f>IF(Inputs!$B$45&gt;=AF$1,Inputs!$B$44,0)*(1+inf)^AE$1</f>
        <v>0</v>
      </c>
      <c r="AG40" s="7">
        <f>IF(Inputs!$B$45&gt;=AG$1,Inputs!$B$44,0)*(1+inf)^AF$1</f>
        <v>0</v>
      </c>
      <c r="AH40" s="7">
        <f>IF(Inputs!$B$45&gt;=AH$1,Inputs!$B$44,0)*(1+inf)^AG$1</f>
        <v>0</v>
      </c>
      <c r="AI40" s="7">
        <f>IF(Inputs!$B$45&gt;=AI$1,Inputs!$B$44,0)*(1+inf)^AH$1</f>
        <v>0</v>
      </c>
      <c r="AJ40" s="7">
        <f>IF(Inputs!$B$45&gt;=AJ$1,Inputs!$B$44,0)*(1+inf)^AI$1</f>
        <v>0</v>
      </c>
      <c r="AK40" s="7">
        <f>IF(Inputs!$B$45&gt;=AK$1,Inputs!$B$44,0)*(1+inf)^AJ$1</f>
        <v>0</v>
      </c>
      <c r="AL40" s="7">
        <f>IF(Inputs!$B$45&gt;=AL$1,Inputs!$B$44,0)*(1+inf)^AK$1</f>
        <v>0</v>
      </c>
      <c r="AM40" s="7">
        <f>IF(Inputs!$B$45&gt;=AM$1,Inputs!$B$44,0)*(1+inf)^AL$1</f>
        <v>0</v>
      </c>
    </row>
    <row r="41" spans="1:39" x14ac:dyDescent="0.2">
      <c r="A41" s="3" t="str">
        <f>TEXT(Inputs!B48,"")</f>
        <v>Stephen</v>
      </c>
      <c r="B41" s="8"/>
      <c r="C41" s="7">
        <f ca="1">IF(Inputs!$B$50&gt;=C$1,Inputs!$B$49,0)*(1+inf)^B$1*ProRate</f>
        <v>2083.3333333333335</v>
      </c>
      <c r="D41" s="7">
        <f>IF(Inputs!$B$50&gt;=D$1,Inputs!$B$49,0)*(1+inf)^C$1</f>
        <v>2562.5</v>
      </c>
      <c r="E41" s="7">
        <f>IF(Inputs!$B$50&gt;=E$1,Inputs!$B$49,0)*(1+inf)^D$1</f>
        <v>2626.5625</v>
      </c>
      <c r="F41" s="7">
        <f>IF(Inputs!$B$50&gt;=F$1,Inputs!$B$49,0)*(1+inf)^E$1</f>
        <v>0</v>
      </c>
      <c r="G41" s="7">
        <f>IF(Inputs!$B$50&gt;=G$1,Inputs!$B$49,0)*(1+inf)^F$1</f>
        <v>0</v>
      </c>
      <c r="H41" s="7">
        <f>IF(Inputs!$B$50&gt;=H$1,Inputs!$B$49,0)*(1+inf)^G$1</f>
        <v>0</v>
      </c>
      <c r="I41" s="7">
        <f>IF(Inputs!$B$50&gt;=I$1,Inputs!$B$49,0)*(1+inf)^H$1</f>
        <v>0</v>
      </c>
      <c r="J41" s="7">
        <f>IF(Inputs!$B$50&gt;=J$1,Inputs!$B$49,0)*(1+inf)^I$1</f>
        <v>0</v>
      </c>
      <c r="K41" s="7">
        <f>IF(Inputs!$B$50&gt;=K$1,Inputs!$B$49,0)*(1+inf)^J$1</f>
        <v>0</v>
      </c>
      <c r="L41" s="7">
        <f>IF(Inputs!$B$50&gt;=L$1,Inputs!$B$49,0)*(1+inf)^K$1</f>
        <v>0</v>
      </c>
      <c r="M41" s="7">
        <f>IF(Inputs!$B$50&gt;=M$1,Inputs!$B$49,0)*(1+inf)^L$1</f>
        <v>0</v>
      </c>
      <c r="N41" s="7">
        <f>IF(Inputs!$B$50&gt;=N$1,Inputs!$B$49,0)*(1+inf)^M$1</f>
        <v>0</v>
      </c>
      <c r="O41" s="7">
        <f>IF(Inputs!$B$50&gt;=O$1,Inputs!$B$49,0)*(1+inf)^N$1</f>
        <v>0</v>
      </c>
      <c r="P41" s="7">
        <f>IF(Inputs!$B$50&gt;=P$1,Inputs!$B$49,0)*(1+inf)^O$1</f>
        <v>0</v>
      </c>
      <c r="Q41" s="7">
        <f>IF(Inputs!$B$50&gt;=Q$1,Inputs!$B$49,0)*(1+inf)^P$1</f>
        <v>0</v>
      </c>
      <c r="R41" s="7">
        <f>IF(Inputs!$B$50&gt;=R$1,Inputs!$B$49,0)*(1+inf)^Q$1</f>
        <v>0</v>
      </c>
      <c r="S41" s="7">
        <f>IF(Inputs!$B$50&gt;=S$1,Inputs!$B$49,0)*(1+inf)^R$1</f>
        <v>0</v>
      </c>
      <c r="T41" s="7">
        <f>IF(Inputs!$B$50&gt;=T$1,Inputs!$B$49,0)*(1+inf)^S$1</f>
        <v>0</v>
      </c>
      <c r="U41" s="7">
        <f>IF(Inputs!$B$50&gt;=U$1,Inputs!$B$49,0)*(1+inf)^T$1</f>
        <v>0</v>
      </c>
      <c r="V41" s="7">
        <f>IF(Inputs!$B$50&gt;=V$1,Inputs!$B$49,0)*(1+inf)^U$1</f>
        <v>0</v>
      </c>
      <c r="W41" s="7">
        <f>IF(Inputs!$B$50&gt;=W$1,Inputs!$B$49,0)*(1+inf)^V$1</f>
        <v>0</v>
      </c>
      <c r="X41" s="7">
        <f>IF(Inputs!$B$50&gt;=X$1,Inputs!$B$49,0)*(1+inf)^W$1</f>
        <v>0</v>
      </c>
      <c r="Y41" s="7">
        <f>IF(Inputs!$B$50&gt;=Y$1,Inputs!$B$49,0)*(1+inf)^X$1</f>
        <v>0</v>
      </c>
      <c r="Z41" s="7">
        <f>IF(Inputs!$B$50&gt;=Z$1,Inputs!$B$49,0)*(1+inf)^Y$1</f>
        <v>0</v>
      </c>
      <c r="AA41" s="7">
        <f>IF(Inputs!$B$50&gt;=AA$1,Inputs!$B$49,0)*(1+inf)^Z$1</f>
        <v>0</v>
      </c>
      <c r="AB41" s="7">
        <f>IF(Inputs!$B$50&gt;=AB$1,Inputs!$B$49,0)*(1+inf)^AA$1</f>
        <v>0</v>
      </c>
      <c r="AC41" s="7">
        <f>IF(Inputs!$B$50&gt;=AC$1,Inputs!$B$49,0)*(1+inf)^AB$1</f>
        <v>0</v>
      </c>
      <c r="AD41" s="7">
        <f>IF(Inputs!$B$50&gt;=AD$1,Inputs!$B$49,0)*(1+inf)^AC$1</f>
        <v>0</v>
      </c>
      <c r="AE41" s="7">
        <f>IF(Inputs!$B$50&gt;=AE$1,Inputs!$B$49,0)*(1+inf)^AD$1</f>
        <v>0</v>
      </c>
      <c r="AF41" s="7">
        <f>IF(Inputs!$B$50&gt;=AF$1,Inputs!$B$49,0)*(1+inf)^AE$1</f>
        <v>0</v>
      </c>
      <c r="AG41" s="7">
        <f>IF(Inputs!$B$50&gt;=AG$1,Inputs!$B$49,0)*(1+inf)^AF$1</f>
        <v>0</v>
      </c>
      <c r="AH41" s="7">
        <f>IF(Inputs!$B$50&gt;=AH$1,Inputs!$B$49,0)*(1+inf)^AG$1</f>
        <v>0</v>
      </c>
      <c r="AI41" s="7">
        <f>IF(Inputs!$B$50&gt;=AI$1,Inputs!$B$49,0)*(1+inf)^AH$1</f>
        <v>0</v>
      </c>
      <c r="AJ41" s="7">
        <f>IF(Inputs!$B$50&gt;=AJ$1,Inputs!$B$49,0)*(1+inf)^AI$1</f>
        <v>0</v>
      </c>
      <c r="AK41" s="7">
        <f>IF(Inputs!$B$50&gt;=AK$1,Inputs!$B$49,0)*(1+inf)^AJ$1</f>
        <v>0</v>
      </c>
      <c r="AL41" s="7">
        <f>IF(Inputs!$B$50&gt;=AL$1,Inputs!$B$49,0)*(1+inf)^AK$1</f>
        <v>0</v>
      </c>
      <c r="AM41" s="7">
        <f>IF(Inputs!$B$50&gt;=AM$1,Inputs!$B$49,0)*(1+inf)^AL$1</f>
        <v>0</v>
      </c>
    </row>
    <row r="42" spans="1:39" x14ac:dyDescent="0.2">
      <c r="A42" s="3" t="str">
        <f>TEXT(Inputs!B53,"")</f>
        <v>Jane</v>
      </c>
      <c r="B42" s="8"/>
      <c r="C42" s="7">
        <f ca="1">IF(Inputs!$B$55&gt;=C$1,Inputs!$B$54,0)*(1+inf)^B$1*ProRate</f>
        <v>2383.3333333333335</v>
      </c>
      <c r="D42" s="7">
        <f>IF(Inputs!$B$55&gt;=D$1,Inputs!$B$54,0)*(1+inf)^C$1</f>
        <v>2931.4999999999995</v>
      </c>
      <c r="E42" s="7">
        <f>IF(Inputs!$B$55&gt;=E$1,Inputs!$B$54,0)*(1+inf)^D$1</f>
        <v>3004.7874999999999</v>
      </c>
      <c r="F42" s="7">
        <f>IF(Inputs!$B$55&gt;=F$1,Inputs!$B$54,0)*(1+inf)^E$1</f>
        <v>3079.9071874999995</v>
      </c>
      <c r="G42" s="7">
        <f>IF(Inputs!$B$55&gt;=G$1,Inputs!$B$54,0)*(1+inf)^F$1</f>
        <v>3156.9048671874993</v>
      </c>
      <c r="H42" s="7">
        <f>IF(Inputs!$B$55&gt;=H$1,Inputs!$B$54,0)*(1+inf)^G$1</f>
        <v>3235.8274888671867</v>
      </c>
      <c r="I42" s="7">
        <f>IF(Inputs!$B$55&gt;=I$1,Inputs!$B$54,0)*(1+inf)^H$1</f>
        <v>0</v>
      </c>
      <c r="J42" s="7">
        <f>IF(Inputs!$B$55&gt;=J$1,Inputs!$B$54,0)*(1+inf)^I$1</f>
        <v>0</v>
      </c>
      <c r="K42" s="7">
        <f>IF(Inputs!$B$55&gt;=K$1,Inputs!$B$54,0)*(1+inf)^J$1</f>
        <v>0</v>
      </c>
      <c r="L42" s="7">
        <f>IF(Inputs!$B$55&gt;=L$1,Inputs!$B$54,0)*(1+inf)^K$1</f>
        <v>0</v>
      </c>
      <c r="M42" s="7">
        <f>IF(Inputs!$B$55&gt;=M$1,Inputs!$B$54,0)*(1+inf)^L$1</f>
        <v>0</v>
      </c>
      <c r="N42" s="7">
        <f>IF(Inputs!$B$55&gt;=N$1,Inputs!$B$54,0)*(1+inf)^M$1</f>
        <v>0</v>
      </c>
      <c r="O42" s="7">
        <f>IF(Inputs!$B$55&gt;=O$1,Inputs!$B$54,0)*(1+inf)^N$1</f>
        <v>0</v>
      </c>
      <c r="P42" s="7">
        <f>IF(Inputs!$B$55&gt;=P$1,Inputs!$B$54,0)*(1+inf)^O$1</f>
        <v>0</v>
      </c>
      <c r="Q42" s="7">
        <f>IF(Inputs!$B$55&gt;=Q$1,Inputs!$B$54,0)*(1+inf)^P$1</f>
        <v>0</v>
      </c>
      <c r="R42" s="7">
        <f>IF(Inputs!$B$55&gt;=R$1,Inputs!$B$54,0)*(1+inf)^Q$1</f>
        <v>0</v>
      </c>
      <c r="S42" s="7">
        <f>IF(Inputs!$B$55&gt;=S$1,Inputs!$B$54,0)*(1+inf)^R$1</f>
        <v>0</v>
      </c>
      <c r="T42" s="7">
        <f>IF(Inputs!$B$55&gt;=T$1,Inputs!$B$54,0)*(1+inf)^S$1</f>
        <v>0</v>
      </c>
      <c r="U42" s="7">
        <f>IF(Inputs!$B$55&gt;=U$1,Inputs!$B$54,0)*(1+inf)^T$1</f>
        <v>0</v>
      </c>
      <c r="V42" s="7">
        <f>IF(Inputs!$B$55&gt;=V$1,Inputs!$B$54,0)*(1+inf)^U$1</f>
        <v>0</v>
      </c>
      <c r="W42" s="7">
        <f>IF(Inputs!$B$55&gt;=W$1,Inputs!$B$54,0)*(1+inf)^V$1</f>
        <v>0</v>
      </c>
      <c r="X42" s="7">
        <f>IF(Inputs!$B$55&gt;=X$1,Inputs!$B$54,0)*(1+inf)^W$1</f>
        <v>0</v>
      </c>
      <c r="Y42" s="7">
        <f>IF(Inputs!$B$55&gt;=Y$1,Inputs!$B$54,0)*(1+inf)^X$1</f>
        <v>0</v>
      </c>
      <c r="Z42" s="7">
        <f>IF(Inputs!$B$55&gt;=Z$1,Inputs!$B$54,0)*(1+inf)^Y$1</f>
        <v>0</v>
      </c>
      <c r="AA42" s="7">
        <f>IF(Inputs!$B$55&gt;=AA$1,Inputs!$B$54,0)*(1+inf)^Z$1</f>
        <v>0</v>
      </c>
      <c r="AB42" s="7">
        <f>IF(Inputs!$B$55&gt;=AB$1,Inputs!$B$54,0)*(1+inf)^AA$1</f>
        <v>0</v>
      </c>
      <c r="AC42" s="7">
        <f>IF(Inputs!$B$55&gt;=AC$1,Inputs!$B$54,0)*(1+inf)^AB$1</f>
        <v>0</v>
      </c>
      <c r="AD42" s="7">
        <f>IF(Inputs!$B$55&gt;=AD$1,Inputs!$B$54,0)*(1+inf)^AC$1</f>
        <v>0</v>
      </c>
      <c r="AE42" s="7">
        <f>IF(Inputs!$B$55&gt;=AE$1,Inputs!$B$54,0)*(1+inf)^AD$1</f>
        <v>0</v>
      </c>
      <c r="AF42" s="7">
        <f>IF(Inputs!$B$55&gt;=AF$1,Inputs!$B$54,0)*(1+inf)^AE$1</f>
        <v>0</v>
      </c>
      <c r="AG42" s="7">
        <f>IF(Inputs!$B$55&gt;=AG$1,Inputs!$B$54,0)*(1+inf)^AF$1</f>
        <v>0</v>
      </c>
      <c r="AH42" s="7">
        <f>IF(Inputs!$B$55&gt;=AH$1,Inputs!$B$54,0)*(1+inf)^AG$1</f>
        <v>0</v>
      </c>
      <c r="AI42" s="7">
        <f>IF(Inputs!$B$55&gt;=AI$1,Inputs!$B$54,0)*(1+inf)^AH$1</f>
        <v>0</v>
      </c>
      <c r="AJ42" s="7">
        <f>IF(Inputs!$B$55&gt;=AJ$1,Inputs!$B$54,0)*(1+inf)^AI$1</f>
        <v>0</v>
      </c>
      <c r="AK42" s="7">
        <f>IF(Inputs!$B$55&gt;=AK$1,Inputs!$B$54,0)*(1+inf)^AJ$1</f>
        <v>0</v>
      </c>
      <c r="AL42" s="7">
        <f>IF(Inputs!$B$55&gt;=AL$1,Inputs!$B$54,0)*(1+inf)^AK$1</f>
        <v>0</v>
      </c>
      <c r="AM42" s="7">
        <f>IF(Inputs!$B$55&gt;=AM$1,Inputs!$B$54,0)*(1+inf)^AL$1</f>
        <v>0</v>
      </c>
    </row>
    <row r="43" spans="1:39" x14ac:dyDescent="0.2">
      <c r="A43" s="4" t="s">
        <v>5</v>
      </c>
      <c r="B43" s="8"/>
      <c r="C43" s="7">
        <f ca="1">Inputs!$B$23*(1+inf)^B$1*ProRate</f>
        <v>0</v>
      </c>
      <c r="D43" s="7">
        <f>Inputs!$B$23*(1+inf)^C$1</f>
        <v>0</v>
      </c>
      <c r="E43" s="7">
        <f>Inputs!$B$23*(1+inf)^D$1</f>
        <v>0</v>
      </c>
      <c r="F43" s="7">
        <f>Inputs!$B$23*(1+inf)^E$1</f>
        <v>0</v>
      </c>
      <c r="G43" s="7">
        <f>Inputs!$B$23*(1+inf)^F$1</f>
        <v>0</v>
      </c>
      <c r="H43" s="7">
        <f>Inputs!$B$23*(1+inf)^G$1</f>
        <v>0</v>
      </c>
      <c r="I43" s="7">
        <f>Inputs!$B$23*(1+inf)^H$1</f>
        <v>0</v>
      </c>
      <c r="J43" s="7">
        <f>Inputs!$B$23*(1+inf)^I$1</f>
        <v>0</v>
      </c>
      <c r="K43" s="7">
        <f>Inputs!$B$23*(1+inf)^J$1</f>
        <v>0</v>
      </c>
      <c r="L43" s="7">
        <f>Inputs!$B$23*(1+inf)^K$1</f>
        <v>0</v>
      </c>
      <c r="M43" s="7">
        <f>Inputs!$B$23*(1+inf)^L$1</f>
        <v>0</v>
      </c>
      <c r="N43" s="7">
        <f>Inputs!$B$23*(1+inf)^M$1</f>
        <v>0</v>
      </c>
      <c r="O43" s="7">
        <f>Inputs!$B$23*(1+inf)^N$1</f>
        <v>0</v>
      </c>
      <c r="P43" s="7">
        <f>Inputs!$B$23*(1+inf)^O$1</f>
        <v>0</v>
      </c>
      <c r="Q43" s="7">
        <f>Inputs!$B$23*(1+inf)^P$1</f>
        <v>0</v>
      </c>
      <c r="R43" s="7">
        <f>Inputs!$B$23*(1+inf)^Q$1</f>
        <v>0</v>
      </c>
      <c r="S43" s="7">
        <f>Inputs!$B$23*(1+inf)^R$1</f>
        <v>0</v>
      </c>
      <c r="T43" s="7">
        <f>Inputs!$B$23*(1+inf)^S$1</f>
        <v>0</v>
      </c>
      <c r="U43" s="7">
        <f>Inputs!$B$23*(1+inf)^T$1</f>
        <v>0</v>
      </c>
      <c r="V43" s="7">
        <f>Inputs!$B$23*(1+inf)^U$1</f>
        <v>0</v>
      </c>
      <c r="W43" s="7">
        <f>Inputs!$B$23*(1+inf)^V$1</f>
        <v>0</v>
      </c>
      <c r="X43" s="7">
        <f>Inputs!$B$23*(1+inf)^W$1</f>
        <v>0</v>
      </c>
      <c r="Y43" s="7">
        <f>Inputs!$B$23*(1+inf)^X$1</f>
        <v>0</v>
      </c>
      <c r="Z43" s="7">
        <f>Inputs!$B$23*(1+inf)^Y$1</f>
        <v>0</v>
      </c>
      <c r="AA43" s="7">
        <f>Inputs!$B$23*(1+inf)^Z$1</f>
        <v>0</v>
      </c>
      <c r="AB43" s="7">
        <f>Inputs!$B$23*(1+inf)^AA$1</f>
        <v>0</v>
      </c>
      <c r="AC43" s="7">
        <f>Inputs!$B$23*(1+inf)^AB$1</f>
        <v>0</v>
      </c>
      <c r="AD43" s="7">
        <f>Inputs!$B$23*(1+inf)^AC$1</f>
        <v>0</v>
      </c>
      <c r="AE43" s="7">
        <f>Inputs!$B$23*(1+inf)^AD$1</f>
        <v>0</v>
      </c>
      <c r="AF43" s="7">
        <f>Inputs!$B$23*(1+inf)^AE$1</f>
        <v>0</v>
      </c>
      <c r="AG43" s="7">
        <f>Inputs!$B$23*(1+inf)^AF$1</f>
        <v>0</v>
      </c>
      <c r="AH43" s="7">
        <f>Inputs!$B$23*(1+inf)^AG$1</f>
        <v>0</v>
      </c>
      <c r="AI43" s="7">
        <f>Inputs!$B$23*(1+inf)^AH$1</f>
        <v>0</v>
      </c>
      <c r="AJ43" s="7">
        <f>Inputs!$B$23*(1+inf)^AI$1</f>
        <v>0</v>
      </c>
      <c r="AK43" s="7">
        <f>Inputs!$B$23*(1+inf)^AJ$1</f>
        <v>0</v>
      </c>
      <c r="AL43" s="7">
        <f>Inputs!$B$23*(1+inf)^AK$1</f>
        <v>0</v>
      </c>
      <c r="AM43" s="7">
        <f>Inputs!$B$23*(1+inf)^AL$1</f>
        <v>0</v>
      </c>
    </row>
    <row r="44" spans="1:39" x14ac:dyDescent="0.2">
      <c r="A44" s="4" t="s">
        <v>53</v>
      </c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">
      <c r="A45" s="3" t="str">
        <f>TEXT(Inputs!$B$60,"")</f>
        <v>Sliema</v>
      </c>
      <c r="B45" s="8"/>
      <c r="C45" s="7">
        <f ca="1">Inputs!$B62*(1+inf)^B$1*ProRate</f>
        <v>4166.666666666667</v>
      </c>
      <c r="D45" s="7">
        <f>Inputs!$B62*(1+inf)^C$1</f>
        <v>5125</v>
      </c>
      <c r="E45" s="7">
        <f>Inputs!$B62*(1+inf)^D$1</f>
        <v>5253.125</v>
      </c>
      <c r="F45" s="7">
        <f>Inputs!$B62*(1+inf)^E$1</f>
        <v>5384.4531249999991</v>
      </c>
      <c r="G45" s="7">
        <f>Inputs!$B62*(1+inf)^F$1</f>
        <v>5519.0644531249991</v>
      </c>
      <c r="H45" s="7">
        <f>Inputs!$B62*(1+inf)^G$1</f>
        <v>5657.041064453123</v>
      </c>
      <c r="I45" s="7">
        <f>Inputs!$B62*(1+inf)^H$1</f>
        <v>5798.4670910644509</v>
      </c>
      <c r="J45" s="7">
        <f>Inputs!$B62*(1+inf)^I$1</f>
        <v>5943.4287683410621</v>
      </c>
      <c r="K45" s="7">
        <f>Inputs!$B62*(1+inf)^J$1</f>
        <v>6092.0144875495889</v>
      </c>
      <c r="L45" s="7">
        <f>Inputs!$B62*(1+inf)^K$1</f>
        <v>6244.3148497383272</v>
      </c>
      <c r="M45" s="7">
        <f>Inputs!$B62*(1+inf)^L$1</f>
        <v>6400.4227209817855</v>
      </c>
      <c r="N45" s="7">
        <f>Inputs!$B62*(1+inf)^M$1</f>
        <v>6560.4332890063297</v>
      </c>
      <c r="O45" s="7">
        <f>Inputs!$B62*(1+inf)^N$1</f>
        <v>6724.4441212314878</v>
      </c>
      <c r="P45" s="7">
        <f>Inputs!$B62*(1+inf)^O$1</f>
        <v>6892.5552242622744</v>
      </c>
      <c r="Q45" s="7">
        <f>Inputs!$B62*(1+inf)^P$1</f>
        <v>7064.8691048688306</v>
      </c>
      <c r="R45" s="7">
        <f>Inputs!$B62*(1+inf)^Q$1</f>
        <v>7241.4908324905527</v>
      </c>
      <c r="S45" s="7">
        <f>Inputs!$B62*(1+inf)^R$1</f>
        <v>7422.5281033028159</v>
      </c>
      <c r="T45" s="7">
        <f>Inputs!$B62*(1+inf)^S$1</f>
        <v>7608.0913058853848</v>
      </c>
      <c r="U45" s="7">
        <f>Inputs!$B62*(1+inf)^T$1</f>
        <v>7798.2935885325196</v>
      </c>
      <c r="V45" s="7">
        <f>Inputs!$B62*(1+inf)^U$1</f>
        <v>7993.2509282458332</v>
      </c>
      <c r="W45" s="7">
        <f>Inputs!$B62*(1+inf)^V$1</f>
        <v>8193.0822014519781</v>
      </c>
      <c r="X45" s="7">
        <f>Inputs!$B62*(1+inf)^W$1</f>
        <v>8397.9092564882758</v>
      </c>
      <c r="Y45" s="7">
        <f>Inputs!$B62*(1+inf)^X$1</f>
        <v>8607.8569879004826</v>
      </c>
      <c r="Z45" s="7">
        <f>Inputs!$B62*(1+inf)^Y$1</f>
        <v>8823.0534125979957</v>
      </c>
      <c r="AA45" s="7">
        <f>Inputs!$B62*(1+inf)^Z$1</f>
        <v>9043.6297479129444</v>
      </c>
      <c r="AB45" s="7">
        <f>Inputs!$B62*(1+inf)^AA$1</f>
        <v>9269.7204916107676</v>
      </c>
      <c r="AC45" s="7">
        <f>Inputs!$B62*(1+inf)^AB$1</f>
        <v>9501.4635039010354</v>
      </c>
      <c r="AD45" s="7">
        <f>Inputs!$B62*(1+inf)^AC$1</f>
        <v>9739.0000914985612</v>
      </c>
      <c r="AE45" s="7">
        <f>Inputs!$B62*(1+inf)^AD$1</f>
        <v>9982.4750937860244</v>
      </c>
      <c r="AF45" s="7">
        <f>Inputs!$B62*(1+inf)^AE$1</f>
        <v>10232.036971130676</v>
      </c>
      <c r="AG45" s="7">
        <f>Inputs!$B62*(1+inf)^AF$1</f>
        <v>10487.83789540894</v>
      </c>
      <c r="AH45" s="7">
        <f>Inputs!$B62*(1+inf)^AG$1</f>
        <v>10750.033842794166</v>
      </c>
      <c r="AI45" s="7">
        <f>Inputs!$B62*(1+inf)^AH$1</f>
        <v>11018.784688864018</v>
      </c>
      <c r="AJ45" s="7">
        <f>Inputs!$B62*(1+inf)^AI$1</f>
        <v>11294.254306085619</v>
      </c>
      <c r="AK45" s="7">
        <f>Inputs!$B62*(1+inf)^AJ$1</f>
        <v>11576.610663737758</v>
      </c>
      <c r="AL45" s="7">
        <f>Inputs!$B62*(1+inf)^AK$1</f>
        <v>11866.025930331201</v>
      </c>
      <c r="AM45" s="7">
        <f>Inputs!$B62*(1+inf)^AL$1</f>
        <v>12162.676578589482</v>
      </c>
    </row>
    <row r="46" spans="1:39" x14ac:dyDescent="0.2">
      <c r="A46" s="3" t="str">
        <f>TEXT(Inputs!$B$65,"")</f>
        <v>Gzira</v>
      </c>
      <c r="B46" s="8"/>
      <c r="C46" s="7">
        <f ca="1">Inputs!$B67*(1+inf)^B$1*ProRate</f>
        <v>1666.6666666666667</v>
      </c>
      <c r="D46" s="7">
        <f>Inputs!$B67*(1+inf)^C$1</f>
        <v>2050</v>
      </c>
      <c r="E46" s="7">
        <f>Inputs!$B67*(1+inf)^D$1</f>
        <v>2101.25</v>
      </c>
      <c r="F46" s="7">
        <f>Inputs!$B67*(1+inf)^E$1</f>
        <v>2153.7812499999995</v>
      </c>
      <c r="G46" s="7">
        <f>Inputs!$B67*(1+inf)^F$1</f>
        <v>2207.6257812499994</v>
      </c>
      <c r="H46" s="7">
        <f>Inputs!$B67*(1+inf)^G$1</f>
        <v>2262.8164257812491</v>
      </c>
      <c r="I46" s="7">
        <f>Inputs!$B67*(1+inf)^H$1</f>
        <v>2319.3868364257805</v>
      </c>
      <c r="J46" s="7">
        <f>Inputs!$B67*(1+inf)^I$1</f>
        <v>2377.3715073364251</v>
      </c>
      <c r="K46" s="7">
        <f>Inputs!$B67*(1+inf)^J$1</f>
        <v>2436.8057950198354</v>
      </c>
      <c r="L46" s="7">
        <f>Inputs!$B67*(1+inf)^K$1</f>
        <v>2497.7259398953311</v>
      </c>
      <c r="M46" s="7">
        <f>Inputs!$B67*(1+inf)^L$1</f>
        <v>2560.169088392714</v>
      </c>
      <c r="N46" s="7">
        <f>Inputs!$B67*(1+inf)^M$1</f>
        <v>2624.1733156025321</v>
      </c>
      <c r="O46" s="7">
        <f>Inputs!$B67*(1+inf)^N$1</f>
        <v>2689.7776484925948</v>
      </c>
      <c r="P46" s="7">
        <f>Inputs!$B67*(1+inf)^O$1</f>
        <v>2757.0220897049098</v>
      </c>
      <c r="Q46" s="7">
        <f>Inputs!$B67*(1+inf)^P$1</f>
        <v>2825.9476419475322</v>
      </c>
      <c r="R46" s="7">
        <f>Inputs!$B67*(1+inf)^Q$1</f>
        <v>2896.596332996221</v>
      </c>
      <c r="S46" s="7">
        <f>Inputs!$B67*(1+inf)^R$1</f>
        <v>2969.0112413211264</v>
      </c>
      <c r="T46" s="7">
        <f>Inputs!$B67*(1+inf)^S$1</f>
        <v>3043.2365223541542</v>
      </c>
      <c r="U46" s="7">
        <f>Inputs!$B67*(1+inf)^T$1</f>
        <v>3119.3174354130078</v>
      </c>
      <c r="V46" s="7">
        <f>Inputs!$B67*(1+inf)^U$1</f>
        <v>3197.3003712983332</v>
      </c>
      <c r="W46" s="7">
        <f>Inputs!$B67*(1+inf)^V$1</f>
        <v>3277.2328805807911</v>
      </c>
      <c r="X46" s="7">
        <f>Inputs!$B67*(1+inf)^W$1</f>
        <v>3359.1637025953105</v>
      </c>
      <c r="Y46" s="7">
        <f>Inputs!$B67*(1+inf)^X$1</f>
        <v>3443.1427951601931</v>
      </c>
      <c r="Z46" s="7">
        <f>Inputs!$B67*(1+inf)^Y$1</f>
        <v>3529.2213650391982</v>
      </c>
      <c r="AA46" s="7">
        <f>Inputs!$B67*(1+inf)^Z$1</f>
        <v>3617.451899165178</v>
      </c>
      <c r="AB46" s="7">
        <f>Inputs!$B67*(1+inf)^AA$1</f>
        <v>3707.8881966443068</v>
      </c>
      <c r="AC46" s="7">
        <f>Inputs!$B67*(1+inf)^AB$1</f>
        <v>3800.5854015604141</v>
      </c>
      <c r="AD46" s="7">
        <f>Inputs!$B67*(1+inf)^AC$1</f>
        <v>3895.6000365994241</v>
      </c>
      <c r="AE46" s="7">
        <f>Inputs!$B67*(1+inf)^AD$1</f>
        <v>3992.9900375144098</v>
      </c>
      <c r="AF46" s="7">
        <f>Inputs!$B67*(1+inf)^AE$1</f>
        <v>4092.8147884522705</v>
      </c>
      <c r="AG46" s="7">
        <f>Inputs!$B67*(1+inf)^AF$1</f>
        <v>4195.1351581635763</v>
      </c>
      <c r="AH46" s="7">
        <f>Inputs!$B67*(1+inf)^AG$1</f>
        <v>4300.0135371176666</v>
      </c>
      <c r="AI46" s="7">
        <f>Inputs!$B67*(1+inf)^AH$1</f>
        <v>4407.5138755456073</v>
      </c>
      <c r="AJ46" s="7">
        <f>Inputs!$B67*(1+inf)^AI$1</f>
        <v>4517.7017224342471</v>
      </c>
      <c r="AK46" s="7">
        <f>Inputs!$B67*(1+inf)^AJ$1</f>
        <v>4630.6442654951034</v>
      </c>
      <c r="AL46" s="7">
        <f>Inputs!$B67*(1+inf)^AK$1</f>
        <v>4746.41037213248</v>
      </c>
      <c r="AM46" s="7">
        <f>Inputs!$B67*(1+inf)^AL$1</f>
        <v>4865.0706314357931</v>
      </c>
    </row>
    <row r="47" spans="1:39" x14ac:dyDescent="0.2">
      <c r="A47" s="3" t="str">
        <f>TEXT(Inputs!$B$70,"")</f>
        <v>Qormi</v>
      </c>
      <c r="B47" s="8"/>
      <c r="C47" s="7">
        <f ca="1">Inputs!$B72*(1+inf)^B$1*ProRate</f>
        <v>1000</v>
      </c>
      <c r="D47" s="7">
        <f>Inputs!$B72*(1+inf)^C$1</f>
        <v>1230</v>
      </c>
      <c r="E47" s="7">
        <f>Inputs!$B72*(1+inf)^D$1</f>
        <v>1260.75</v>
      </c>
      <c r="F47" s="7">
        <f>Inputs!$B72*(1+inf)^E$1</f>
        <v>1292.26875</v>
      </c>
      <c r="G47" s="7">
        <f>Inputs!$B72*(1+inf)^F$1</f>
        <v>1324.5754687499998</v>
      </c>
      <c r="H47" s="7">
        <f>Inputs!$B72*(1+inf)^G$1</f>
        <v>1357.6898554687496</v>
      </c>
      <c r="I47" s="7">
        <f>Inputs!$B72*(1+inf)^H$1</f>
        <v>1391.6321018554681</v>
      </c>
      <c r="J47" s="7">
        <f>Inputs!$B72*(1+inf)^I$1</f>
        <v>1426.422904401855</v>
      </c>
      <c r="K47" s="7">
        <f>Inputs!$B72*(1+inf)^J$1</f>
        <v>1462.0834770119013</v>
      </c>
      <c r="L47" s="7">
        <f>Inputs!$B72*(1+inf)^K$1</f>
        <v>1498.6355639371984</v>
      </c>
      <c r="M47" s="7">
        <f>Inputs!$B72*(1+inf)^L$1</f>
        <v>1536.1014530356285</v>
      </c>
      <c r="N47" s="7">
        <f>Inputs!$B72*(1+inf)^M$1</f>
        <v>1574.5039893615192</v>
      </c>
      <c r="O47" s="7">
        <f>Inputs!$B72*(1+inf)^N$1</f>
        <v>1613.8665890955569</v>
      </c>
      <c r="P47" s="7">
        <f>Inputs!$B72*(1+inf)^O$1</f>
        <v>1654.2132538229459</v>
      </c>
      <c r="Q47" s="7">
        <f>Inputs!$B72*(1+inf)^P$1</f>
        <v>1695.5685851685193</v>
      </c>
      <c r="R47" s="7">
        <f>Inputs!$B72*(1+inf)^Q$1</f>
        <v>1737.9577997977326</v>
      </c>
      <c r="S47" s="7">
        <f>Inputs!$B72*(1+inf)^R$1</f>
        <v>1781.4067447926757</v>
      </c>
      <c r="T47" s="7">
        <f>Inputs!$B72*(1+inf)^S$1</f>
        <v>1825.9419134124923</v>
      </c>
      <c r="U47" s="7">
        <f>Inputs!$B72*(1+inf)^T$1</f>
        <v>1871.5904612478048</v>
      </c>
      <c r="V47" s="7">
        <f>Inputs!$B72*(1+inf)^U$1</f>
        <v>1918.380222779</v>
      </c>
      <c r="W47" s="7">
        <f>Inputs!$B72*(1+inf)^V$1</f>
        <v>1966.3397283484746</v>
      </c>
      <c r="X47" s="7">
        <f>Inputs!$B72*(1+inf)^W$1</f>
        <v>2015.4982215571863</v>
      </c>
      <c r="Y47" s="7">
        <f>Inputs!$B72*(1+inf)^X$1</f>
        <v>2065.8856770961161</v>
      </c>
      <c r="Z47" s="7">
        <f>Inputs!$B72*(1+inf)^Y$1</f>
        <v>2117.5328190235191</v>
      </c>
      <c r="AA47" s="7">
        <f>Inputs!$B72*(1+inf)^Z$1</f>
        <v>2170.4711394991068</v>
      </c>
      <c r="AB47" s="7">
        <f>Inputs!$B72*(1+inf)^AA$1</f>
        <v>2224.7329179865842</v>
      </c>
      <c r="AC47" s="7">
        <f>Inputs!$B72*(1+inf)^AB$1</f>
        <v>2280.3512409362484</v>
      </c>
      <c r="AD47" s="7">
        <f>Inputs!$B72*(1+inf)^AC$1</f>
        <v>2337.3600219596547</v>
      </c>
      <c r="AE47" s="7">
        <f>Inputs!$B72*(1+inf)^AD$1</f>
        <v>2395.7940225086459</v>
      </c>
      <c r="AF47" s="7">
        <f>Inputs!$B72*(1+inf)^AE$1</f>
        <v>2455.6888730713622</v>
      </c>
      <c r="AG47" s="7">
        <f>Inputs!$B72*(1+inf)^AF$1</f>
        <v>2517.0810948981457</v>
      </c>
      <c r="AH47" s="7">
        <f>Inputs!$B72*(1+inf)^AG$1</f>
        <v>2580.0081222705999</v>
      </c>
      <c r="AI47" s="7">
        <f>Inputs!$B72*(1+inf)^AH$1</f>
        <v>2644.5083253273642</v>
      </c>
      <c r="AJ47" s="7">
        <f>Inputs!$B72*(1+inf)^AI$1</f>
        <v>2710.6210334605485</v>
      </c>
      <c r="AK47" s="7">
        <f>Inputs!$B72*(1+inf)^AJ$1</f>
        <v>2778.3865592970619</v>
      </c>
      <c r="AL47" s="7">
        <f>Inputs!$B72*(1+inf)^AK$1</f>
        <v>2847.8462232794882</v>
      </c>
      <c r="AM47" s="7">
        <f>Inputs!$B72*(1+inf)^AL$1</f>
        <v>2919.0423788614758</v>
      </c>
    </row>
    <row r="48" spans="1:39" x14ac:dyDescent="0.2">
      <c r="A48" s="3" t="str">
        <f>TEXT(Inputs!$B$75,"")</f>
        <v>Gudja</v>
      </c>
      <c r="B48" s="8"/>
      <c r="C48" s="7">
        <f ca="1">Inputs!$B77*(1+inf)^B$1*ProRate</f>
        <v>833.33333333333337</v>
      </c>
      <c r="D48" s="7">
        <f>Inputs!$B77*(1+inf)^C$1</f>
        <v>1025</v>
      </c>
      <c r="E48" s="7">
        <f>Inputs!$B77*(1+inf)^D$1</f>
        <v>1050.625</v>
      </c>
      <c r="F48" s="7">
        <f>Inputs!$B77*(1+inf)^E$1</f>
        <v>1076.8906249999998</v>
      </c>
      <c r="G48" s="7">
        <f>Inputs!$B77*(1+inf)^F$1</f>
        <v>1103.8128906249997</v>
      </c>
      <c r="H48" s="7">
        <f>Inputs!$B77*(1+inf)^G$1</f>
        <v>1131.4082128906246</v>
      </c>
      <c r="I48" s="7">
        <f>Inputs!$B77*(1+inf)^H$1</f>
        <v>1159.6934182128903</v>
      </c>
      <c r="J48" s="7">
        <f>Inputs!$B77*(1+inf)^I$1</f>
        <v>1188.6857536682126</v>
      </c>
      <c r="K48" s="7">
        <f>Inputs!$B77*(1+inf)^J$1</f>
        <v>1218.4028975099177</v>
      </c>
      <c r="L48" s="7">
        <f>Inputs!$B77*(1+inf)^K$1</f>
        <v>1248.8629699476655</v>
      </c>
      <c r="M48" s="7">
        <f>Inputs!$B77*(1+inf)^L$1</f>
        <v>1280.084544196357</v>
      </c>
      <c r="N48" s="7">
        <f>Inputs!$B77*(1+inf)^M$1</f>
        <v>1312.086657801266</v>
      </c>
      <c r="O48" s="7">
        <f>Inputs!$B77*(1+inf)^N$1</f>
        <v>1344.8888242462974</v>
      </c>
      <c r="P48" s="7">
        <f>Inputs!$B77*(1+inf)^O$1</f>
        <v>1378.5110448524549</v>
      </c>
      <c r="Q48" s="7">
        <f>Inputs!$B77*(1+inf)^P$1</f>
        <v>1412.9738209737661</v>
      </c>
      <c r="R48" s="7">
        <f>Inputs!$B77*(1+inf)^Q$1</f>
        <v>1448.2981664981105</v>
      </c>
      <c r="S48" s="7">
        <f>Inputs!$B77*(1+inf)^R$1</f>
        <v>1484.5056206605632</v>
      </c>
      <c r="T48" s="7">
        <f>Inputs!$B77*(1+inf)^S$1</f>
        <v>1521.6182611770771</v>
      </c>
      <c r="U48" s="7">
        <f>Inputs!$B77*(1+inf)^T$1</f>
        <v>1559.6587177065039</v>
      </c>
      <c r="V48" s="7">
        <f>Inputs!$B77*(1+inf)^U$1</f>
        <v>1598.6501856491666</v>
      </c>
      <c r="W48" s="7">
        <f>Inputs!$B77*(1+inf)^V$1</f>
        <v>1638.6164402903955</v>
      </c>
      <c r="X48" s="7">
        <f>Inputs!$B77*(1+inf)^W$1</f>
        <v>1679.5818512976552</v>
      </c>
      <c r="Y48" s="7">
        <f>Inputs!$B77*(1+inf)^X$1</f>
        <v>1721.5713975800966</v>
      </c>
      <c r="Z48" s="7">
        <f>Inputs!$B77*(1+inf)^Y$1</f>
        <v>1764.6106825195991</v>
      </c>
      <c r="AA48" s="7">
        <f>Inputs!$B77*(1+inf)^Z$1</f>
        <v>1808.725949582589</v>
      </c>
      <c r="AB48" s="7">
        <f>Inputs!$B77*(1+inf)^AA$1</f>
        <v>1853.9440983221534</v>
      </c>
      <c r="AC48" s="7">
        <f>Inputs!$B77*(1+inf)^AB$1</f>
        <v>1900.292700780207</v>
      </c>
      <c r="AD48" s="7">
        <f>Inputs!$B77*(1+inf)^AC$1</f>
        <v>1947.8000182997121</v>
      </c>
      <c r="AE48" s="7">
        <f>Inputs!$B77*(1+inf)^AD$1</f>
        <v>1996.4950187572049</v>
      </c>
      <c r="AF48" s="7">
        <f>Inputs!$B77*(1+inf)^AE$1</f>
        <v>2046.4073942261352</v>
      </c>
      <c r="AG48" s="7">
        <f>Inputs!$B77*(1+inf)^AF$1</f>
        <v>2097.5675790817882</v>
      </c>
      <c r="AH48" s="7">
        <f>Inputs!$B77*(1+inf)^AG$1</f>
        <v>2150.0067685588333</v>
      </c>
      <c r="AI48" s="7">
        <f>Inputs!$B77*(1+inf)^AH$1</f>
        <v>2203.7569377728037</v>
      </c>
      <c r="AJ48" s="7">
        <f>Inputs!$B77*(1+inf)^AI$1</f>
        <v>2258.8508612171236</v>
      </c>
      <c r="AK48" s="7">
        <f>Inputs!$B77*(1+inf)^AJ$1</f>
        <v>2315.3221327475517</v>
      </c>
      <c r="AL48" s="7">
        <f>Inputs!$B77*(1+inf)^AK$1</f>
        <v>2373.20518606624</v>
      </c>
      <c r="AM48" s="7">
        <f>Inputs!$B77*(1+inf)^AL$1</f>
        <v>2432.5353157178965</v>
      </c>
    </row>
    <row r="49" spans="1:39" x14ac:dyDescent="0.2">
      <c r="A49" s="3" t="str">
        <f>TEXT(Inputs!$B$80,"")</f>
        <v>Marsa</v>
      </c>
      <c r="B49" s="8"/>
      <c r="C49" s="7">
        <f ca="1">Inputs!$B82*(1+inf)^B$1*ProRate</f>
        <v>666.66666666666674</v>
      </c>
      <c r="D49" s="7">
        <f>Inputs!$B82*(1+inf)^C$1</f>
        <v>819.99999999999989</v>
      </c>
      <c r="E49" s="7">
        <f>Inputs!$B82*(1+inf)^D$1</f>
        <v>840.49999999999989</v>
      </c>
      <c r="F49" s="7">
        <f>Inputs!$B82*(1+inf)^E$1</f>
        <v>861.51249999999993</v>
      </c>
      <c r="G49" s="7">
        <f>Inputs!$B82*(1+inf)^F$1</f>
        <v>883.05031249999979</v>
      </c>
      <c r="H49" s="7">
        <f>Inputs!$B82*(1+inf)^G$1</f>
        <v>905.12657031249978</v>
      </c>
      <c r="I49" s="7">
        <f>Inputs!$B82*(1+inf)^H$1</f>
        <v>927.75473457031217</v>
      </c>
      <c r="J49" s="7">
        <f>Inputs!$B82*(1+inf)^I$1</f>
        <v>950.94860293456998</v>
      </c>
      <c r="K49" s="7">
        <f>Inputs!$B82*(1+inf)^J$1</f>
        <v>974.72231800793418</v>
      </c>
      <c r="L49" s="7">
        <f>Inputs!$B82*(1+inf)^K$1</f>
        <v>999.09037595813231</v>
      </c>
      <c r="M49" s="7">
        <f>Inputs!$B82*(1+inf)^L$1</f>
        <v>1024.0676353570857</v>
      </c>
      <c r="N49" s="7">
        <f>Inputs!$B82*(1+inf)^M$1</f>
        <v>1049.6693262410129</v>
      </c>
      <c r="O49" s="7">
        <f>Inputs!$B82*(1+inf)^N$1</f>
        <v>1075.9110593970381</v>
      </c>
      <c r="P49" s="7">
        <f>Inputs!$B82*(1+inf)^O$1</f>
        <v>1102.8088358819639</v>
      </c>
      <c r="Q49" s="7">
        <f>Inputs!$B82*(1+inf)^P$1</f>
        <v>1130.3790567790129</v>
      </c>
      <c r="R49" s="7">
        <f>Inputs!$B82*(1+inf)^Q$1</f>
        <v>1158.6385331984884</v>
      </c>
      <c r="S49" s="7">
        <f>Inputs!$B82*(1+inf)^R$1</f>
        <v>1187.6044965284505</v>
      </c>
      <c r="T49" s="7">
        <f>Inputs!$B82*(1+inf)^S$1</f>
        <v>1217.2946089416616</v>
      </c>
      <c r="U49" s="7">
        <f>Inputs!$B82*(1+inf)^T$1</f>
        <v>1247.7269741652033</v>
      </c>
      <c r="V49" s="7">
        <f>Inputs!$B82*(1+inf)^U$1</f>
        <v>1278.9201485193332</v>
      </c>
      <c r="W49" s="7">
        <f>Inputs!$B82*(1+inf)^V$1</f>
        <v>1310.8931522323164</v>
      </c>
      <c r="X49" s="7">
        <f>Inputs!$B82*(1+inf)^W$1</f>
        <v>1343.6654810381242</v>
      </c>
      <c r="Y49" s="7">
        <f>Inputs!$B82*(1+inf)^X$1</f>
        <v>1377.2571180640773</v>
      </c>
      <c r="Z49" s="7">
        <f>Inputs!$B82*(1+inf)^Y$1</f>
        <v>1411.6885460156793</v>
      </c>
      <c r="AA49" s="7">
        <f>Inputs!$B82*(1+inf)^Z$1</f>
        <v>1446.9807596660712</v>
      </c>
      <c r="AB49" s="7">
        <f>Inputs!$B82*(1+inf)^AA$1</f>
        <v>1483.1552786577226</v>
      </c>
      <c r="AC49" s="7">
        <f>Inputs!$B82*(1+inf)^AB$1</f>
        <v>1520.2341606241657</v>
      </c>
      <c r="AD49" s="7">
        <f>Inputs!$B82*(1+inf)^AC$1</f>
        <v>1558.2400146397697</v>
      </c>
      <c r="AE49" s="7">
        <f>Inputs!$B82*(1+inf)^AD$1</f>
        <v>1597.1960150057639</v>
      </c>
      <c r="AF49" s="7">
        <f>Inputs!$B82*(1+inf)^AE$1</f>
        <v>1637.1259153809081</v>
      </c>
      <c r="AG49" s="7">
        <f>Inputs!$B82*(1+inf)^AF$1</f>
        <v>1678.0540632654304</v>
      </c>
      <c r="AH49" s="7">
        <f>Inputs!$B82*(1+inf)^AG$1</f>
        <v>1720.0054148470667</v>
      </c>
      <c r="AI49" s="7">
        <f>Inputs!$B82*(1+inf)^AH$1</f>
        <v>1763.0055502182429</v>
      </c>
      <c r="AJ49" s="7">
        <f>Inputs!$B82*(1+inf)^AI$1</f>
        <v>1807.0806889736989</v>
      </c>
      <c r="AK49" s="7">
        <f>Inputs!$B82*(1+inf)^AJ$1</f>
        <v>1852.2577061980414</v>
      </c>
      <c r="AL49" s="7">
        <f>Inputs!$B82*(1+inf)^AK$1</f>
        <v>1898.5641488529923</v>
      </c>
      <c r="AM49" s="7">
        <f>Inputs!$B82*(1+inf)^AL$1</f>
        <v>1946.0282525743171</v>
      </c>
    </row>
    <row r="50" spans="1:39" x14ac:dyDescent="0.2">
      <c r="A50" s="4" t="s">
        <v>16</v>
      </c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">
      <c r="A51" s="3" t="s">
        <v>54</v>
      </c>
      <c r="B51" s="8"/>
      <c r="C51" s="7">
        <f ca="1">Inputs!$B$25*(1+inf)^B$1*ProRate</f>
        <v>41666.666666666672</v>
      </c>
      <c r="D51" s="7">
        <f>Inputs!$B$25*(1+inf)^C$1</f>
        <v>51249.999999999993</v>
      </c>
      <c r="E51" s="7">
        <f>Inputs!$B$25*(1+inf)^D$1</f>
        <v>52531.249999999993</v>
      </c>
      <c r="F51" s="7">
        <f>Inputs!$B$25*(1+inf)^E$1</f>
        <v>53844.531249999993</v>
      </c>
      <c r="G51" s="7">
        <f>Inputs!$B$25*(1+inf)^F$1</f>
        <v>55190.644531249985</v>
      </c>
      <c r="H51" s="7">
        <f>Inputs!$B$25*(1+inf)^G$1</f>
        <v>56570.410644531235</v>
      </c>
      <c r="I51" s="7">
        <f>Inputs!$B$25*(1+inf)^H$1</f>
        <v>57984.670910644512</v>
      </c>
      <c r="J51" s="7">
        <f>Inputs!$B$25*(1+inf)^I$1</f>
        <v>59434.287683410628</v>
      </c>
      <c r="K51" s="7">
        <f>Inputs!$B$25*(1+inf)^J$1</f>
        <v>60920.144875495884</v>
      </c>
      <c r="L51" s="7">
        <f>Inputs!$B$25*(1+inf)^K$1</f>
        <v>62443.14849738327</v>
      </c>
      <c r="M51" s="7">
        <f>Inputs!$B$25*(1+inf)^L$1</f>
        <v>64004.227209817851</v>
      </c>
      <c r="N51" s="7">
        <f>Inputs!$B$25*(1+inf)^M$1</f>
        <v>65604.332890063306</v>
      </c>
      <c r="O51" s="7">
        <f>Inputs!$B$25*(1+inf)^N$1</f>
        <v>67244.44121231488</v>
      </c>
      <c r="P51" s="7">
        <f>Inputs!$B$25*(1+inf)^O$1</f>
        <v>68925.55224262274</v>
      </c>
      <c r="Q51" s="7">
        <f>Inputs!$B$25*(1+inf)^P$1</f>
        <v>70648.691048688299</v>
      </c>
      <c r="R51" s="7">
        <f>Inputs!$B$25*(1+inf)^Q$1</f>
        <v>72414.908324905526</v>
      </c>
      <c r="S51" s="7">
        <f>Inputs!$B$25*(1+inf)^R$1</f>
        <v>74225.28103302815</v>
      </c>
      <c r="T51" s="7">
        <f>Inputs!$B$25*(1+inf)^S$1</f>
        <v>76080.913058853854</v>
      </c>
      <c r="U51" s="7">
        <f>Inputs!$B$25*(1+inf)^T$1</f>
        <v>77982.935885325205</v>
      </c>
      <c r="V51" s="7">
        <f>Inputs!$B$25*(1+inf)^U$1</f>
        <v>79932.509282458326</v>
      </c>
      <c r="W51" s="7">
        <f>Inputs!$B$25*(1+inf)^V$1</f>
        <v>81930.82201451977</v>
      </c>
      <c r="X51" s="7">
        <f>Inputs!$B$25*(1+inf)^W$1</f>
        <v>83979.092564882769</v>
      </c>
      <c r="Y51" s="7">
        <f>Inputs!$B$25*(1+inf)^X$1</f>
        <v>86078.569879004834</v>
      </c>
      <c r="Z51" s="7">
        <f>Inputs!$B$25*(1+inf)^Y$1</f>
        <v>88230.534125979961</v>
      </c>
      <c r="AA51" s="7">
        <f>Inputs!$B$25*(1+inf)^Z$1</f>
        <v>90436.29747912944</v>
      </c>
      <c r="AB51" s="7">
        <f>Inputs!$B$25*(1+inf)^AA$1</f>
        <v>92697.204916107672</v>
      </c>
      <c r="AC51" s="7">
        <f>Inputs!$B$25*(1+inf)^AB$1</f>
        <v>95014.635039010347</v>
      </c>
      <c r="AD51" s="7">
        <f>Inputs!$B$25*(1+inf)^AC$1</f>
        <v>97390.000914985605</v>
      </c>
      <c r="AE51" s="7">
        <f>Inputs!$B$25*(1+inf)^AD$1</f>
        <v>99824.750937860241</v>
      </c>
      <c r="AF51" s="7">
        <f>Inputs!$B$25*(1+inf)^AE$1</f>
        <v>102320.36971130676</v>
      </c>
      <c r="AG51" s="7">
        <f>Inputs!$B$25*(1+inf)^AF$1</f>
        <v>104878.37895408941</v>
      </c>
      <c r="AH51" s="7">
        <f>Inputs!$B$25*(1+inf)^AG$1</f>
        <v>107500.33842794166</v>
      </c>
      <c r="AI51" s="7">
        <f>Inputs!$B$25*(1+inf)^AH$1</f>
        <v>110187.84688864018</v>
      </c>
      <c r="AJ51" s="7">
        <f>Inputs!$B$25*(1+inf)^AI$1</f>
        <v>112942.54306085619</v>
      </c>
      <c r="AK51" s="7">
        <f>Inputs!$B$25*(1+inf)^AJ$1</f>
        <v>115766.10663737758</v>
      </c>
      <c r="AL51" s="7">
        <f>Inputs!$B$25*(1+inf)^AK$1</f>
        <v>118660.25930331201</v>
      </c>
      <c r="AM51" s="7">
        <f>Inputs!$B$25*(1+inf)^AL$1</f>
        <v>121626.76578589482</v>
      </c>
    </row>
    <row r="52" spans="1:39" x14ac:dyDescent="0.2">
      <c r="A52" s="3" t="str">
        <f>"Adjustment "&amp;Inputs!A247</f>
        <v>Adjustment from now to 65</v>
      </c>
      <c r="B52" s="8"/>
      <c r="C52" s="7">
        <f ca="1">IF(C$3&lt;=65,Inputs!$B$247*C$51,0)</f>
        <v>0</v>
      </c>
      <c r="D52" s="7">
        <f>IF(D$3&lt;=65,Inputs!$B$247*D$51,0)</f>
        <v>0</v>
      </c>
      <c r="E52" s="7">
        <f>IF(E$3&lt;=65,Inputs!$B$247*E$51,0)</f>
        <v>0</v>
      </c>
      <c r="F52" s="7">
        <f>IF(F$3&lt;=65,Inputs!$B$247*F$51,0)</f>
        <v>0</v>
      </c>
      <c r="G52" s="7">
        <f>IF(G$3&lt;=65,Inputs!$B$247*G$51,0)</f>
        <v>0</v>
      </c>
      <c r="H52" s="7">
        <f>IF(H$3&lt;=65,Inputs!$B$247*H$51,0)</f>
        <v>0</v>
      </c>
      <c r="I52" s="7">
        <f>IF(I$3&lt;=65,Inputs!$B$247*I$51,0)</f>
        <v>0</v>
      </c>
      <c r="J52" s="7">
        <f>IF(J$3&lt;=65,Inputs!$B$247*J$51,0)</f>
        <v>0</v>
      </c>
      <c r="K52" s="7">
        <f>IF(K$3&lt;=65,Inputs!$B$247*K$51,0)</f>
        <v>0</v>
      </c>
      <c r="L52" s="7">
        <f>IF(L$3&lt;=65,Inputs!$B$247*L$51,0)</f>
        <v>0</v>
      </c>
      <c r="M52" s="7">
        <f>IF(M$3&lt;=65,Inputs!$B$247*M$51,0)</f>
        <v>0</v>
      </c>
      <c r="N52" s="7">
        <f>IF(N$3&lt;=65,Inputs!$B$247*N$51,0)</f>
        <v>0</v>
      </c>
      <c r="O52" s="7">
        <f>IF(O$3&lt;=65,Inputs!$B$247*O$51,0)</f>
        <v>0</v>
      </c>
      <c r="P52" s="7">
        <f>IF(P$3&lt;=65,Inputs!$B$247*P$51,0)</f>
        <v>0</v>
      </c>
      <c r="Q52" s="7">
        <f>IF(Q$3&lt;=65,Inputs!$B$247*Q$51,0)</f>
        <v>0</v>
      </c>
      <c r="R52" s="7">
        <f>IF(R$3&lt;=65,Inputs!$B$247*R$51,0)</f>
        <v>0</v>
      </c>
      <c r="S52" s="7">
        <f>IF(S$3&lt;=65,Inputs!$B$247*S$51,0)</f>
        <v>0</v>
      </c>
      <c r="T52" s="7">
        <f>IF(T$3&lt;=65,Inputs!$B$247*T$51,0)</f>
        <v>0</v>
      </c>
      <c r="U52" s="7">
        <f>IF(U$3&lt;=65,Inputs!$B$247*U$51,0)</f>
        <v>0</v>
      </c>
      <c r="V52" s="7">
        <f>IF(V$3&lt;=65,Inputs!$B$247*V$51,0)</f>
        <v>0</v>
      </c>
      <c r="W52" s="7">
        <f>IF(W$3&lt;=65,Inputs!$B$247*W$51,0)</f>
        <v>0</v>
      </c>
      <c r="X52" s="7">
        <f>IF(X$3&lt;=65,Inputs!$B$247*X$51,0)</f>
        <v>0</v>
      </c>
      <c r="Y52" s="7">
        <f>IF(Y$3&lt;=65,Inputs!$B$247*Y$51,0)</f>
        <v>0</v>
      </c>
      <c r="Z52" s="7">
        <f>IF(Z$3&lt;=65,Inputs!$B$247*Z$51,0)</f>
        <v>0</v>
      </c>
      <c r="AA52" s="7">
        <f>IF(AA$3&lt;=65,Inputs!$B$247*AA$51,0)</f>
        <v>0</v>
      </c>
      <c r="AB52" s="7">
        <f>IF(AB$3&lt;=65,Inputs!$B$247*AB$51,0)</f>
        <v>0</v>
      </c>
      <c r="AC52" s="7">
        <f>IF(AC$3&lt;=65,Inputs!$B$247*AC$51,0)</f>
        <v>0</v>
      </c>
      <c r="AD52" s="7">
        <f>IF(AD$3&lt;=65,Inputs!$B$247*AD$51,0)</f>
        <v>0</v>
      </c>
      <c r="AE52" s="7">
        <f>IF(AE$3&lt;=65,Inputs!$B$247*AE$51,0)</f>
        <v>0</v>
      </c>
      <c r="AF52" s="7">
        <f>IF(AF$3&lt;=65,Inputs!$B$247*AF$51,0)</f>
        <v>0</v>
      </c>
      <c r="AG52" s="7">
        <f>IF(AG$3&lt;=65,Inputs!$B$247*AG$51,0)</f>
        <v>0</v>
      </c>
      <c r="AH52" s="7">
        <f>IF(AH$3&lt;=65,Inputs!$B$247*AH$51,0)</f>
        <v>0</v>
      </c>
      <c r="AI52" s="7">
        <f>IF(AI$3&lt;=65,Inputs!$B$247*AI$51,0)</f>
        <v>0</v>
      </c>
      <c r="AJ52" s="7">
        <f>IF(AJ$3&lt;=65,Inputs!$B$247*AJ$51,0)</f>
        <v>0</v>
      </c>
      <c r="AK52" s="7">
        <f>IF(AK$3&lt;=65,Inputs!$B$247*AK$51,0)</f>
        <v>0</v>
      </c>
      <c r="AL52" s="7">
        <f>IF(AL$3&lt;=65,Inputs!$B$247*AL$51,0)</f>
        <v>0</v>
      </c>
      <c r="AM52" s="7">
        <f>IF(AM$3&lt;=65,Inputs!$B$247*AM$51,0)</f>
        <v>0</v>
      </c>
    </row>
    <row r="53" spans="1:39" x14ac:dyDescent="0.2">
      <c r="A53" s="3" t="str">
        <f>"Adjustment "&amp;Inputs!A248</f>
        <v>Adjustment from 66-75</v>
      </c>
      <c r="B53" s="8"/>
      <c r="C53" s="7">
        <f>IF(AND(C$3&gt;65,C$3&lt;=75),Inputs!$B$248*C51,0)</f>
        <v>0</v>
      </c>
      <c r="D53" s="7">
        <f>IF(AND(D$3&gt;65,D$3&lt;=75),Inputs!$B$248*D51,0)</f>
        <v>0</v>
      </c>
      <c r="E53" s="7">
        <f>IF(AND(E$3&gt;65,E$3&lt;=75),Inputs!$B$248*E51,0)</f>
        <v>0</v>
      </c>
      <c r="F53" s="7">
        <f>IF(AND(F$3&gt;65,F$3&lt;=75),Inputs!$B$248*F51,0)</f>
        <v>0</v>
      </c>
      <c r="G53" s="7">
        <f>IF(AND(G$3&gt;65,G$3&lt;=75),Inputs!$B$248*G51,0)</f>
        <v>0</v>
      </c>
      <c r="H53" s="7">
        <f>IF(AND(H$3&gt;65,H$3&lt;=75),Inputs!$B$248*H51,0)</f>
        <v>0</v>
      </c>
      <c r="I53" s="7">
        <f>IF(AND(I$3&gt;65,I$3&lt;=75),Inputs!$B$248*I51,0)</f>
        <v>0</v>
      </c>
      <c r="J53" s="7">
        <f>IF(AND(J$3&gt;65,J$3&lt;=75),Inputs!$B$248*J51,0)</f>
        <v>0</v>
      </c>
      <c r="K53" s="7">
        <f>IF(AND(K$3&gt;65,K$3&lt;=75),Inputs!$B$248*K51,0)</f>
        <v>0</v>
      </c>
      <c r="L53" s="7">
        <f>IF(AND(L$3&gt;65,L$3&lt;=75),Inputs!$B$248*L51,0)</f>
        <v>0</v>
      </c>
      <c r="M53" s="7">
        <f>IF(AND(M$3&gt;65,M$3&lt;=75),Inputs!$B$248*M51,0)</f>
        <v>0</v>
      </c>
      <c r="N53" s="7">
        <f>IF(AND(N$3&gt;65,N$3&lt;=75),Inputs!$B$248*N51,0)</f>
        <v>0</v>
      </c>
      <c r="O53" s="7">
        <f>IF(AND(O$3&gt;65,O$3&lt;=75),Inputs!$B$248*O51,0)</f>
        <v>0</v>
      </c>
      <c r="P53" s="7">
        <f>IF(AND(P$3&gt;65,P$3&lt;=75),Inputs!$B$248*P51,0)</f>
        <v>0</v>
      </c>
      <c r="Q53" s="7">
        <f>IF(AND(Q$3&gt;65,Q$3&lt;=75),Inputs!$B$248*Q51,0)</f>
        <v>0</v>
      </c>
      <c r="R53" s="7">
        <f>IF(AND(R$3&gt;65,R$3&lt;=75),Inputs!$B$248*R51,0)</f>
        <v>0</v>
      </c>
      <c r="S53" s="7">
        <f>IF(AND(S$3&gt;65,S$3&lt;=75),Inputs!$B$248*S51,0)</f>
        <v>0</v>
      </c>
      <c r="T53" s="7">
        <f>IF(AND(T$3&gt;65,T$3&lt;=75),Inputs!$B$248*T51,0)</f>
        <v>0</v>
      </c>
      <c r="U53" s="7">
        <f>IF(AND(U$3&gt;65,U$3&lt;=75),Inputs!$B$248*U51,0)</f>
        <v>-7798.2935885325205</v>
      </c>
      <c r="V53" s="7">
        <f>IF(AND(V$3&gt;65,V$3&lt;=75),Inputs!$B$248*V51,0)</f>
        <v>-7993.2509282458332</v>
      </c>
      <c r="W53" s="7">
        <f>IF(AND(W$3&gt;65,W$3&lt;=75),Inputs!$B$248*W51,0)</f>
        <v>-8193.0822014519781</v>
      </c>
      <c r="X53" s="7">
        <f>IF(AND(X$3&gt;65,X$3&lt;=75),Inputs!$B$248*X51,0)</f>
        <v>-8397.9092564882776</v>
      </c>
      <c r="Y53" s="7">
        <f>IF(AND(Y$3&gt;65,Y$3&lt;=75),Inputs!$B$248*Y51,0)</f>
        <v>-8607.8569879004845</v>
      </c>
      <c r="Z53" s="7">
        <f>IF(AND(Z$3&gt;65,Z$3&lt;=75),Inputs!$B$248*Z51,0)</f>
        <v>-8823.0534125979957</v>
      </c>
      <c r="AA53" s="7">
        <f>IF(AND(AA$3&gt;65,AA$3&lt;=75),Inputs!$B$248*AA51,0)</f>
        <v>-9043.6297479129444</v>
      </c>
      <c r="AB53" s="7">
        <f>IF(AND(AB$3&gt;65,AB$3&lt;=75),Inputs!$B$248*AB51,0)</f>
        <v>-9269.7204916107676</v>
      </c>
      <c r="AC53" s="7">
        <f>IF(AND(AC$3&gt;65,AC$3&lt;=75),Inputs!$B$248*AC51,0)</f>
        <v>-9501.4635039010354</v>
      </c>
      <c r="AD53" s="7">
        <f>IF(AND(AD$3&gt;65,AD$3&lt;=75),Inputs!$B$248*AD51,0)</f>
        <v>-9739.0000914985612</v>
      </c>
      <c r="AE53" s="7">
        <f>IF(AND(AE$3&gt;65,AE$3&lt;=75),Inputs!$B$248*AE51,0)</f>
        <v>0</v>
      </c>
      <c r="AF53" s="7">
        <f>IF(AND(AF$3&gt;65,AF$3&lt;=75),Inputs!$B$248*AF51,0)</f>
        <v>0</v>
      </c>
      <c r="AG53" s="7">
        <f>IF(AND(AG$3&gt;65,AG$3&lt;=75),Inputs!$B$248*AG51,0)</f>
        <v>0</v>
      </c>
      <c r="AH53" s="7">
        <f>IF(AND(AH$3&gt;65,AH$3&lt;=75),Inputs!$B$248*AH51,0)</f>
        <v>0</v>
      </c>
      <c r="AI53" s="7">
        <f>IF(AND(AI$3&gt;65,AI$3&lt;=75),Inputs!$B$248*AI51,0)</f>
        <v>0</v>
      </c>
      <c r="AJ53" s="7">
        <f>IF(AND(AJ$3&gt;65,AJ$3&lt;=75),Inputs!$B$248*AJ51,0)</f>
        <v>0</v>
      </c>
      <c r="AK53" s="7">
        <f>IF(AND(AK$3&gt;65,AK$3&lt;=75),Inputs!$B$248*AK51,0)</f>
        <v>0</v>
      </c>
      <c r="AL53" s="7">
        <f>IF(AND(AL$3&gt;65,AL$3&lt;=75),Inputs!$B$248*AL51,0)</f>
        <v>0</v>
      </c>
      <c r="AM53" s="7">
        <f>IF(AND(AM$3&gt;65,AM$3&lt;=75),Inputs!$B$248*AM51,0)</f>
        <v>0</v>
      </c>
    </row>
    <row r="54" spans="1:39" x14ac:dyDescent="0.2">
      <c r="A54" s="3" t="str">
        <f>"Adjustment "&amp;Inputs!A249</f>
        <v>Adjustment from age 76</v>
      </c>
      <c r="B54" s="8"/>
      <c r="C54" s="7">
        <f>IF(C$3&gt;75,Inputs!$B$249*C$51,0)</f>
        <v>0</v>
      </c>
      <c r="D54" s="7">
        <f>IF(D$3&gt;75,Inputs!$B$249*D$51,0)</f>
        <v>0</v>
      </c>
      <c r="E54" s="7">
        <f>IF(E$3&gt;75,Inputs!$B$249*E$51,0)</f>
        <v>0</v>
      </c>
      <c r="F54" s="7">
        <f>IF(F$3&gt;75,Inputs!$B$249*F$51,0)</f>
        <v>0</v>
      </c>
      <c r="G54" s="7">
        <f>IF(G$3&gt;75,Inputs!$B$249*G$51,0)</f>
        <v>0</v>
      </c>
      <c r="H54" s="7">
        <f>IF(H$3&gt;75,Inputs!$B$249*H$51,0)</f>
        <v>0</v>
      </c>
      <c r="I54" s="7">
        <f>IF(I$3&gt;75,Inputs!$B$249*I$51,0)</f>
        <v>0</v>
      </c>
      <c r="J54" s="7">
        <f>IF(J$3&gt;75,Inputs!$B$249*J$51,0)</f>
        <v>0</v>
      </c>
      <c r="K54" s="7">
        <f>IF(K$3&gt;75,Inputs!$B$249*K$51,0)</f>
        <v>0</v>
      </c>
      <c r="L54" s="7">
        <f>IF(L$3&gt;75,Inputs!$B$249*L$51,0)</f>
        <v>0</v>
      </c>
      <c r="M54" s="7">
        <f>IF(M$3&gt;75,Inputs!$B$249*M$51,0)</f>
        <v>0</v>
      </c>
      <c r="N54" s="7">
        <f>IF(N$3&gt;75,Inputs!$B$249*N$51,0)</f>
        <v>0</v>
      </c>
      <c r="O54" s="7">
        <f>IF(O$3&gt;75,Inputs!$B$249*O$51,0)</f>
        <v>0</v>
      </c>
      <c r="P54" s="7">
        <f>IF(P$3&gt;75,Inputs!$B$249*P$51,0)</f>
        <v>0</v>
      </c>
      <c r="Q54" s="7">
        <f>IF(Q$3&gt;75,Inputs!$B$249*Q$51,0)</f>
        <v>0</v>
      </c>
      <c r="R54" s="7">
        <f>IF(R$3&gt;75,Inputs!$B$249*R$51,0)</f>
        <v>0</v>
      </c>
      <c r="S54" s="7">
        <f>IF(S$3&gt;75,Inputs!$B$249*S$51,0)</f>
        <v>0</v>
      </c>
      <c r="T54" s="7">
        <f>IF(T$3&gt;75,Inputs!$B$249*T$51,0)</f>
        <v>0</v>
      </c>
      <c r="U54" s="7">
        <f>IF(U$3&gt;75,Inputs!$B$249*U$51,0)</f>
        <v>0</v>
      </c>
      <c r="V54" s="7">
        <f>IF(V$3&gt;75,Inputs!$B$249*V$51,0)</f>
        <v>0</v>
      </c>
      <c r="W54" s="7">
        <f>IF(W$3&gt;75,Inputs!$B$249*W$51,0)</f>
        <v>0</v>
      </c>
      <c r="X54" s="7">
        <f>IF(X$3&gt;75,Inputs!$B$249*X$51,0)</f>
        <v>0</v>
      </c>
      <c r="Y54" s="7">
        <f>IF(Y$3&gt;75,Inputs!$B$249*Y$51,0)</f>
        <v>0</v>
      </c>
      <c r="Z54" s="7">
        <f>IF(Z$3&gt;75,Inputs!$B$249*Z$51,0)</f>
        <v>0</v>
      </c>
      <c r="AA54" s="7">
        <f>IF(AA$3&gt;75,Inputs!$B$249*AA$51,0)</f>
        <v>0</v>
      </c>
      <c r="AB54" s="7">
        <f>IF(AB$3&gt;75,Inputs!$B$249*AB$51,0)</f>
        <v>0</v>
      </c>
      <c r="AC54" s="7">
        <f>IF(AC$3&gt;75,Inputs!$B$249*AC$51,0)</f>
        <v>0</v>
      </c>
      <c r="AD54" s="7">
        <f>IF(AD$3&gt;75,Inputs!$B$249*AD$51,0)</f>
        <v>0</v>
      </c>
      <c r="AE54" s="7">
        <f>IF(AE$3&gt;75,Inputs!$B$249*AE$51,0)</f>
        <v>-19964.950187572049</v>
      </c>
      <c r="AF54" s="7">
        <f>IF(AF$3&gt;75,Inputs!$B$249*AF$51,0)</f>
        <v>-20464.073942261355</v>
      </c>
      <c r="AG54" s="7">
        <f>IF(AG$3&gt;75,Inputs!$B$249*AG$51,0)</f>
        <v>-20975.675790817884</v>
      </c>
      <c r="AH54" s="7">
        <f>IF(AH$3&gt;75,Inputs!$B$249*AH$51,0)</f>
        <v>-21500.067685588336</v>
      </c>
      <c r="AI54" s="7">
        <f>IF(AI$3&gt;75,Inputs!$B$249*AI$51,0)</f>
        <v>-22037.569377728039</v>
      </c>
      <c r="AJ54" s="7">
        <f>IF(AJ$3&gt;75,Inputs!$B$249*AJ$51,0)</f>
        <v>-22588.508612171237</v>
      </c>
      <c r="AK54" s="7">
        <f>IF(AK$3&gt;75,Inputs!$B$249*AK$51,0)</f>
        <v>-23153.22132747552</v>
      </c>
      <c r="AL54" s="7">
        <f>IF(AL$3&gt;75,Inputs!$B$249*AL$51,0)</f>
        <v>-23732.051860662403</v>
      </c>
      <c r="AM54" s="7">
        <f>IF(AM$3&gt;75,Inputs!$B$249*AM$51,0)</f>
        <v>-24325.353157178964</v>
      </c>
    </row>
    <row r="55" spans="1:39" x14ac:dyDescent="0.2">
      <c r="A55" s="4" t="s">
        <v>58</v>
      </c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x14ac:dyDescent="0.2">
      <c r="A56" s="3" t="str">
        <f>TEXT(Inputs!$B$201,"")</f>
        <v>Wedding</v>
      </c>
      <c r="B56" s="8"/>
      <c r="C56" s="7">
        <f ca="1">IF(C$2=Inputs!$B203,Inputs!$B202,0)*(1+inf)^B$1</f>
        <v>0</v>
      </c>
      <c r="D56" s="7">
        <f ca="1">IF(D$2=Inputs!$B203,Inputs!$B202,0)*(1+inf)^C$1</f>
        <v>0</v>
      </c>
      <c r="E56" s="7">
        <f ca="1">IF(E$2=Inputs!$B203,Inputs!$B202,0)*(1+inf)^D$1</f>
        <v>0</v>
      </c>
      <c r="F56" s="7">
        <f ca="1">IF(F$2=Inputs!$B203,Inputs!$B202,0)*(1+inf)^E$1</f>
        <v>0</v>
      </c>
      <c r="G56" s="7">
        <f ca="1">IF(G$2=Inputs!$B203,Inputs!$B202,0)*(1+inf)^F$1</f>
        <v>0</v>
      </c>
      <c r="H56" s="7">
        <f ca="1">IF(H$2=Inputs!$B203,Inputs!$B202,0)*(1+inf)^G$1</f>
        <v>0</v>
      </c>
      <c r="I56" s="7">
        <f ca="1">IF(I$2=Inputs!$B203,Inputs!$B202,0)*(1+inf)^H$1</f>
        <v>0</v>
      </c>
      <c r="J56" s="7">
        <f ca="1">IF(J$2=Inputs!$B203,Inputs!$B202,0)*(1+inf)^I$1</f>
        <v>0</v>
      </c>
      <c r="K56" s="7">
        <f ca="1">IF(K$2=Inputs!$B203,Inputs!$B202,0)*(1+inf)^J$1</f>
        <v>0</v>
      </c>
      <c r="L56" s="7">
        <f ca="1">IF(L$2=Inputs!$B203,Inputs!$B202,0)*(1+inf)^K$1</f>
        <v>0</v>
      </c>
      <c r="M56" s="7">
        <f ca="1">IF(M$2=Inputs!$B203,Inputs!$B202,0)*(1+inf)^L$1</f>
        <v>51203.381767854284</v>
      </c>
      <c r="N56" s="7">
        <f ca="1">IF(N$2=Inputs!$B203,Inputs!$B202,0)*(1+inf)^M$1</f>
        <v>0</v>
      </c>
      <c r="O56" s="7">
        <f ca="1">IF(O$2=Inputs!$B203,Inputs!$B202,0)*(1+inf)^N$1</f>
        <v>0</v>
      </c>
      <c r="P56" s="7">
        <f ca="1">IF(P$2=Inputs!$B203,Inputs!$B202,0)*(1+inf)^O$1</f>
        <v>0</v>
      </c>
      <c r="Q56" s="7">
        <f ca="1">IF(Q$2=Inputs!$B203,Inputs!$B202,0)*(1+inf)^P$1</f>
        <v>0</v>
      </c>
      <c r="R56" s="7">
        <f ca="1">IF(R$2=Inputs!$B203,Inputs!$B202,0)*(1+inf)^Q$1</f>
        <v>0</v>
      </c>
      <c r="S56" s="7">
        <f ca="1">IF(S$2=Inputs!$B203,Inputs!$B202,0)*(1+inf)^R$1</f>
        <v>0</v>
      </c>
      <c r="T56" s="7">
        <f ca="1">IF(T$2=Inputs!$B203,Inputs!$B202,0)*(1+inf)^S$1</f>
        <v>0</v>
      </c>
      <c r="U56" s="7">
        <f ca="1">IF(U$2=Inputs!$B203,Inputs!$B202,0)*(1+inf)^T$1</f>
        <v>0</v>
      </c>
      <c r="V56" s="7">
        <f ca="1">IF(V$2=Inputs!$B203,Inputs!$B202,0)*(1+inf)^U$1</f>
        <v>0</v>
      </c>
      <c r="W56" s="7">
        <f ca="1">IF(W$2=Inputs!$B203,Inputs!$B202,0)*(1+inf)^V$1</f>
        <v>0</v>
      </c>
      <c r="X56" s="7">
        <f ca="1">IF(X$2=Inputs!$B203,Inputs!$B202,0)*(1+inf)^W$1</f>
        <v>0</v>
      </c>
      <c r="Y56" s="7">
        <f ca="1">IF(Y$2=Inputs!$B203,Inputs!$B202,0)*(1+inf)^X$1</f>
        <v>0</v>
      </c>
      <c r="Z56" s="7">
        <f ca="1">IF(Z$2=Inputs!$B203,Inputs!$B202,0)*(1+inf)^Y$1</f>
        <v>0</v>
      </c>
      <c r="AA56" s="7">
        <f ca="1">IF(AA$2=Inputs!$B203,Inputs!$B202,0)*(1+inf)^Z$1</f>
        <v>0</v>
      </c>
      <c r="AB56" s="7">
        <f ca="1">IF(AB$2=Inputs!$B203,Inputs!$B202,0)*(1+inf)^AA$1</f>
        <v>0</v>
      </c>
      <c r="AC56" s="7">
        <f ca="1">IF(AC$2=Inputs!$B203,Inputs!$B202,0)*(1+inf)^AB$1</f>
        <v>0</v>
      </c>
      <c r="AD56" s="7">
        <f ca="1">IF(AD$2=Inputs!$B203,Inputs!$B202,0)*(1+inf)^AC$1</f>
        <v>0</v>
      </c>
      <c r="AE56" s="7">
        <f ca="1">IF(AE$2=Inputs!$B203,Inputs!$B202,0)*(1+inf)^AD$1</f>
        <v>0</v>
      </c>
      <c r="AF56" s="7">
        <f ca="1">IF(AF$2=Inputs!$B203,Inputs!$B202,0)*(1+inf)^AE$1</f>
        <v>0</v>
      </c>
      <c r="AG56" s="7">
        <f ca="1">IF(AG$2=Inputs!$B203,Inputs!$B202,0)*(1+inf)^AF$1</f>
        <v>0</v>
      </c>
      <c r="AH56" s="7">
        <f ca="1">IF(AH$2=Inputs!$B203,Inputs!$B202,0)*(1+inf)^AG$1</f>
        <v>0</v>
      </c>
      <c r="AI56" s="7">
        <f ca="1">IF(AI$2=Inputs!$B203,Inputs!$B202,0)*(1+inf)^AH$1</f>
        <v>0</v>
      </c>
      <c r="AJ56" s="7">
        <f ca="1">IF(AJ$2=Inputs!$B203,Inputs!$B202,0)*(1+inf)^AI$1</f>
        <v>0</v>
      </c>
      <c r="AK56" s="7">
        <f ca="1">IF(AK$2=Inputs!$B203,Inputs!$B202,0)*(1+inf)^AJ$1</f>
        <v>0</v>
      </c>
      <c r="AL56" s="7">
        <f ca="1">IF(AL$2=Inputs!$B203,Inputs!$B202,0)*(1+inf)^AK$1</f>
        <v>0</v>
      </c>
      <c r="AM56" s="7">
        <f ca="1">IF(AM$2=Inputs!$B203,Inputs!$B202,0)*(1+inf)^AL$1</f>
        <v>0</v>
      </c>
    </row>
    <row r="57" spans="1:39" x14ac:dyDescent="0.2">
      <c r="A57" s="3" t="str">
        <f>TEXT(Inputs!$B$206,"")</f>
        <v>New Car</v>
      </c>
      <c r="B57" s="8"/>
      <c r="C57" s="7">
        <f ca="1">IF(C$2=Inputs!$B208,Inputs!$B207,0)*(1+inf)^B$1</f>
        <v>0</v>
      </c>
      <c r="D57" s="7">
        <f ca="1">IF(D$2=Inputs!$B208,Inputs!$B207,0)*(1+inf)^C$1</f>
        <v>0</v>
      </c>
      <c r="E57" s="7">
        <f ca="1">IF(E$2=Inputs!$B208,Inputs!$B207,0)*(1+inf)^D$1</f>
        <v>0</v>
      </c>
      <c r="F57" s="7">
        <f ca="1">IF(F$2=Inputs!$B208,Inputs!$B207,0)*(1+inf)^E$1</f>
        <v>37691.171874999993</v>
      </c>
      <c r="G57" s="7">
        <f ca="1">IF(G$2=Inputs!$B208,Inputs!$B207,0)*(1+inf)^F$1</f>
        <v>0</v>
      </c>
      <c r="H57" s="7">
        <f ca="1">IF(H$2=Inputs!$B208,Inputs!$B207,0)*(1+inf)^G$1</f>
        <v>0</v>
      </c>
      <c r="I57" s="7">
        <f ca="1">IF(I$2=Inputs!$B208,Inputs!$B207,0)*(1+inf)^H$1</f>
        <v>0</v>
      </c>
      <c r="J57" s="7">
        <f ca="1">IF(J$2=Inputs!$B208,Inputs!$B207,0)*(1+inf)^I$1</f>
        <v>0</v>
      </c>
      <c r="K57" s="7">
        <f ca="1">IF(K$2=Inputs!$B208,Inputs!$B207,0)*(1+inf)^J$1</f>
        <v>0</v>
      </c>
      <c r="L57" s="7">
        <f ca="1">IF(L$2=Inputs!$B208,Inputs!$B207,0)*(1+inf)^K$1</f>
        <v>0</v>
      </c>
      <c r="M57" s="7">
        <f ca="1">IF(M$2=Inputs!$B208,Inputs!$B207,0)*(1+inf)^L$1</f>
        <v>0</v>
      </c>
      <c r="N57" s="7">
        <f ca="1">IF(N$2=Inputs!$B208,Inputs!$B207,0)*(1+inf)^M$1</f>
        <v>0</v>
      </c>
      <c r="O57" s="7">
        <f ca="1">IF(O$2=Inputs!$B208,Inputs!$B207,0)*(1+inf)^N$1</f>
        <v>0</v>
      </c>
      <c r="P57" s="7">
        <f ca="1">IF(P$2=Inputs!$B208,Inputs!$B207,0)*(1+inf)^O$1</f>
        <v>0</v>
      </c>
      <c r="Q57" s="7">
        <f ca="1">IF(Q$2=Inputs!$B208,Inputs!$B207,0)*(1+inf)^P$1</f>
        <v>0</v>
      </c>
      <c r="R57" s="7">
        <f ca="1">IF(R$2=Inputs!$B208,Inputs!$B207,0)*(1+inf)^Q$1</f>
        <v>0</v>
      </c>
      <c r="S57" s="7">
        <f ca="1">IF(S$2=Inputs!$B208,Inputs!$B207,0)*(1+inf)^R$1</f>
        <v>0</v>
      </c>
      <c r="T57" s="7">
        <f ca="1">IF(T$2=Inputs!$B208,Inputs!$B207,0)*(1+inf)^S$1</f>
        <v>0</v>
      </c>
      <c r="U57" s="7">
        <f ca="1">IF(U$2=Inputs!$B208,Inputs!$B207,0)*(1+inf)^T$1</f>
        <v>0</v>
      </c>
      <c r="V57" s="7">
        <f ca="1">IF(V$2=Inputs!$B208,Inputs!$B207,0)*(1+inf)^U$1</f>
        <v>0</v>
      </c>
      <c r="W57" s="7">
        <f ca="1">IF(W$2=Inputs!$B208,Inputs!$B207,0)*(1+inf)^V$1</f>
        <v>0</v>
      </c>
      <c r="X57" s="7">
        <f ca="1">IF(X$2=Inputs!$B208,Inputs!$B207,0)*(1+inf)^W$1</f>
        <v>0</v>
      </c>
      <c r="Y57" s="7">
        <f ca="1">IF(Y$2=Inputs!$B208,Inputs!$B207,0)*(1+inf)^X$1</f>
        <v>0</v>
      </c>
      <c r="Z57" s="7">
        <f ca="1">IF(Z$2=Inputs!$B208,Inputs!$B207,0)*(1+inf)^Y$1</f>
        <v>0</v>
      </c>
      <c r="AA57" s="7">
        <f ca="1">IF(AA$2=Inputs!$B208,Inputs!$B207,0)*(1+inf)^Z$1</f>
        <v>0</v>
      </c>
      <c r="AB57" s="7">
        <f ca="1">IF(AB$2=Inputs!$B208,Inputs!$B207,0)*(1+inf)^AA$1</f>
        <v>0</v>
      </c>
      <c r="AC57" s="7">
        <f ca="1">IF(AC$2=Inputs!$B208,Inputs!$B207,0)*(1+inf)^AB$1</f>
        <v>0</v>
      </c>
      <c r="AD57" s="7">
        <f ca="1">IF(AD$2=Inputs!$B208,Inputs!$B207,0)*(1+inf)^AC$1</f>
        <v>0</v>
      </c>
      <c r="AE57" s="7">
        <f ca="1">IF(AE$2=Inputs!$B208,Inputs!$B207,0)*(1+inf)^AD$1</f>
        <v>0</v>
      </c>
      <c r="AF57" s="7">
        <f ca="1">IF(AF$2=Inputs!$B208,Inputs!$B207,0)*(1+inf)^AE$1</f>
        <v>0</v>
      </c>
      <c r="AG57" s="7">
        <f ca="1">IF(AG$2=Inputs!$B208,Inputs!$B207,0)*(1+inf)^AF$1</f>
        <v>0</v>
      </c>
      <c r="AH57" s="7">
        <f ca="1">IF(AH$2=Inputs!$B208,Inputs!$B207,0)*(1+inf)^AG$1</f>
        <v>0</v>
      </c>
      <c r="AI57" s="7">
        <f ca="1">IF(AI$2=Inputs!$B208,Inputs!$B207,0)*(1+inf)^AH$1</f>
        <v>0</v>
      </c>
      <c r="AJ57" s="7">
        <f ca="1">IF(AJ$2=Inputs!$B208,Inputs!$B207,0)*(1+inf)^AI$1</f>
        <v>0</v>
      </c>
      <c r="AK57" s="7">
        <f ca="1">IF(AK$2=Inputs!$B208,Inputs!$B207,0)*(1+inf)^AJ$1</f>
        <v>0</v>
      </c>
      <c r="AL57" s="7">
        <f ca="1">IF(AL$2=Inputs!$B208,Inputs!$B207,0)*(1+inf)^AK$1</f>
        <v>0</v>
      </c>
      <c r="AM57" s="7">
        <f ca="1">IF(AM$2=Inputs!$B208,Inputs!$B207,0)*(1+inf)^AL$1</f>
        <v>0</v>
      </c>
    </row>
    <row r="58" spans="1:39" x14ac:dyDescent="0.2">
      <c r="A58" s="3" t="str">
        <f>TEXT(Inputs!$B$211,"")</f>
        <v>New AC</v>
      </c>
      <c r="B58" s="8"/>
      <c r="C58" s="7">
        <f ca="1">IF(C$2=Inputs!$B213,Inputs!$B212,0)*(1+inf)^B$1</f>
        <v>0</v>
      </c>
      <c r="D58" s="7">
        <f ca="1">IF(D$2=Inputs!$B213,Inputs!$B212,0)*(1+inf)^C$1</f>
        <v>0</v>
      </c>
      <c r="E58" s="7">
        <f ca="1">IF(E$2=Inputs!$B213,Inputs!$B212,0)*(1+inf)^D$1</f>
        <v>0</v>
      </c>
      <c r="F58" s="7">
        <f ca="1">IF(F$2=Inputs!$B213,Inputs!$B212,0)*(1+inf)^E$1</f>
        <v>0</v>
      </c>
      <c r="G58" s="7">
        <f ca="1">IF(G$2=Inputs!$B213,Inputs!$B212,0)*(1+inf)^F$1</f>
        <v>0</v>
      </c>
      <c r="H58" s="7">
        <f ca="1">IF(H$2=Inputs!$B213,Inputs!$B212,0)*(1+inf)^G$1</f>
        <v>0</v>
      </c>
      <c r="I58" s="7">
        <f ca="1">IF(I$2=Inputs!$B213,Inputs!$B212,0)*(1+inf)^H$1</f>
        <v>0</v>
      </c>
      <c r="J58" s="7">
        <f ca="1">IF(J$2=Inputs!$B213,Inputs!$B212,0)*(1+inf)^I$1</f>
        <v>0</v>
      </c>
      <c r="K58" s="7">
        <f ca="1">IF(K$2=Inputs!$B213,Inputs!$B212,0)*(1+inf)^J$1</f>
        <v>18276.043462648766</v>
      </c>
      <c r="L58" s="7">
        <f ca="1">IF(L$2=Inputs!$B213,Inputs!$B212,0)*(1+inf)^K$1</f>
        <v>0</v>
      </c>
      <c r="M58" s="7">
        <f ca="1">IF(M$2=Inputs!$B213,Inputs!$B212,0)*(1+inf)^L$1</f>
        <v>0</v>
      </c>
      <c r="N58" s="7">
        <f ca="1">IF(N$2=Inputs!$B213,Inputs!$B212,0)*(1+inf)^M$1</f>
        <v>0</v>
      </c>
      <c r="O58" s="7">
        <f ca="1">IF(O$2=Inputs!$B213,Inputs!$B212,0)*(1+inf)^N$1</f>
        <v>0</v>
      </c>
      <c r="P58" s="7">
        <f ca="1">IF(P$2=Inputs!$B213,Inputs!$B212,0)*(1+inf)^O$1</f>
        <v>0</v>
      </c>
      <c r="Q58" s="7">
        <f ca="1">IF(Q$2=Inputs!$B213,Inputs!$B212,0)*(1+inf)^P$1</f>
        <v>0</v>
      </c>
      <c r="R58" s="7">
        <f ca="1">IF(R$2=Inputs!$B213,Inputs!$B212,0)*(1+inf)^Q$1</f>
        <v>0</v>
      </c>
      <c r="S58" s="7">
        <f ca="1">IF(S$2=Inputs!$B213,Inputs!$B212,0)*(1+inf)^R$1</f>
        <v>0</v>
      </c>
      <c r="T58" s="7">
        <f ca="1">IF(T$2=Inputs!$B213,Inputs!$B212,0)*(1+inf)^S$1</f>
        <v>0</v>
      </c>
      <c r="U58" s="7">
        <f ca="1">IF(U$2=Inputs!$B213,Inputs!$B212,0)*(1+inf)^T$1</f>
        <v>0</v>
      </c>
      <c r="V58" s="7">
        <f ca="1">IF(V$2=Inputs!$B213,Inputs!$B212,0)*(1+inf)^U$1</f>
        <v>0</v>
      </c>
      <c r="W58" s="7">
        <f ca="1">IF(W$2=Inputs!$B213,Inputs!$B212,0)*(1+inf)^V$1</f>
        <v>0</v>
      </c>
      <c r="X58" s="7">
        <f ca="1">IF(X$2=Inputs!$B213,Inputs!$B212,0)*(1+inf)^W$1</f>
        <v>0</v>
      </c>
      <c r="Y58" s="7">
        <f ca="1">IF(Y$2=Inputs!$B213,Inputs!$B212,0)*(1+inf)^X$1</f>
        <v>0</v>
      </c>
      <c r="Z58" s="7">
        <f ca="1">IF(Z$2=Inputs!$B213,Inputs!$B212,0)*(1+inf)^Y$1</f>
        <v>0</v>
      </c>
      <c r="AA58" s="7">
        <f ca="1">IF(AA$2=Inputs!$B213,Inputs!$B212,0)*(1+inf)^Z$1</f>
        <v>0</v>
      </c>
      <c r="AB58" s="7">
        <f ca="1">IF(AB$2=Inputs!$B213,Inputs!$B212,0)*(1+inf)^AA$1</f>
        <v>0</v>
      </c>
      <c r="AC58" s="7">
        <f ca="1">IF(AC$2=Inputs!$B213,Inputs!$B212,0)*(1+inf)^AB$1</f>
        <v>0</v>
      </c>
      <c r="AD58" s="7">
        <f ca="1">IF(AD$2=Inputs!$B213,Inputs!$B212,0)*(1+inf)^AC$1</f>
        <v>0</v>
      </c>
      <c r="AE58" s="7">
        <f ca="1">IF(AE$2=Inputs!$B213,Inputs!$B212,0)*(1+inf)^AD$1</f>
        <v>0</v>
      </c>
      <c r="AF58" s="7">
        <f ca="1">IF(AF$2=Inputs!$B213,Inputs!$B212,0)*(1+inf)^AE$1</f>
        <v>0</v>
      </c>
      <c r="AG58" s="7">
        <f ca="1">IF(AG$2=Inputs!$B213,Inputs!$B212,0)*(1+inf)^AF$1</f>
        <v>0</v>
      </c>
      <c r="AH58" s="7">
        <f ca="1">IF(AH$2=Inputs!$B213,Inputs!$B212,0)*(1+inf)^AG$1</f>
        <v>0</v>
      </c>
      <c r="AI58" s="7">
        <f ca="1">IF(AI$2=Inputs!$B213,Inputs!$B212,0)*(1+inf)^AH$1</f>
        <v>0</v>
      </c>
      <c r="AJ58" s="7">
        <f ca="1">IF(AJ$2=Inputs!$B213,Inputs!$B212,0)*(1+inf)^AI$1</f>
        <v>0</v>
      </c>
      <c r="AK58" s="7">
        <f ca="1">IF(AK$2=Inputs!$B213,Inputs!$B212,0)*(1+inf)^AJ$1</f>
        <v>0</v>
      </c>
      <c r="AL58" s="7">
        <f ca="1">IF(AL$2=Inputs!$B213,Inputs!$B212,0)*(1+inf)^AK$1</f>
        <v>0</v>
      </c>
      <c r="AM58" s="7">
        <f ca="1">IF(AM$2=Inputs!$B213,Inputs!$B212,0)*(1+inf)^AL$1</f>
        <v>0</v>
      </c>
    </row>
    <row r="59" spans="1:39" x14ac:dyDescent="0.2">
      <c r="A59" s="4"/>
      <c r="C59" s="9">
        <f t="shared" ref="C59:G59" ca="1" si="36">SUM(C22:C58)</f>
        <v>91500</v>
      </c>
      <c r="D59" s="9">
        <f t="shared" ca="1" si="36"/>
        <v>110409</v>
      </c>
      <c r="E59" s="9">
        <f t="shared" ca="1" si="36"/>
        <v>108060.72499999999</v>
      </c>
      <c r="F59" s="9">
        <f t="shared" ca="1" si="36"/>
        <v>140407.57473062762</v>
      </c>
      <c r="G59" s="9">
        <f t="shared" ca="1" si="36"/>
        <v>102109.49119531248</v>
      </c>
      <c r="H59" s="9">
        <f t="shared" ref="H59:AM59" ca="1" si="37">SUM(H22:H58)</f>
        <v>100199.49148471367</v>
      </c>
      <c r="I59" s="9">
        <f t="shared" ca="1" si="37"/>
        <v>82650.691763952433</v>
      </c>
      <c r="J59" s="9">
        <f t="shared" ca="1" si="37"/>
        <v>78710.394027913091</v>
      </c>
      <c r="K59" s="9">
        <f t="shared" ca="1" si="37"/>
        <v>97801.233575819046</v>
      </c>
      <c r="L59" s="9">
        <f t="shared" ca="1" si="37"/>
        <v>79540.083275847108</v>
      </c>
      <c r="M59" s="9">
        <f t="shared" ca="1" si="37"/>
        <v>128008.4544196357</v>
      </c>
      <c r="N59" s="9">
        <f t="shared" ca="1" si="37"/>
        <v>78725.199468075967</v>
      </c>
      <c r="O59" s="9">
        <f t="shared" ca="1" si="37"/>
        <v>80693.32945477785</v>
      </c>
      <c r="P59" s="9">
        <f t="shared" ca="1" si="37"/>
        <v>82710.662691147285</v>
      </c>
      <c r="Q59" s="9">
        <f t="shared" ca="1" si="37"/>
        <v>84778.429258425953</v>
      </c>
      <c r="R59" s="9">
        <f t="shared" ca="1" si="37"/>
        <v>86897.889989886637</v>
      </c>
      <c r="S59" s="9">
        <f t="shared" ca="1" si="37"/>
        <v>89070.33723963378</v>
      </c>
      <c r="T59" s="9">
        <f t="shared" ca="1" si="37"/>
        <v>91297.095670624622</v>
      </c>
      <c r="U59" s="9">
        <f t="shared" ca="1" si="37"/>
        <v>85781.229473857733</v>
      </c>
      <c r="V59" s="9">
        <f t="shared" ca="1" si="37"/>
        <v>87925.76021070416</v>
      </c>
      <c r="W59" s="9">
        <f t="shared" ca="1" si="37"/>
        <v>90123.90421597175</v>
      </c>
      <c r="X59" s="9">
        <f t="shared" ca="1" si="37"/>
        <v>92377.001821371043</v>
      </c>
      <c r="Y59" s="9">
        <f t="shared" ca="1" si="37"/>
        <v>94686.426866905327</v>
      </c>
      <c r="Z59" s="9">
        <f t="shared" ca="1" si="37"/>
        <v>97053.587538577965</v>
      </c>
      <c r="AA59" s="9">
        <f t="shared" ca="1" si="37"/>
        <v>99479.927227042383</v>
      </c>
      <c r="AB59" s="9">
        <f t="shared" ca="1" si="37"/>
        <v>101966.92540771843</v>
      </c>
      <c r="AC59" s="9">
        <f t="shared" ca="1" si="37"/>
        <v>104516.09854291138</v>
      </c>
      <c r="AD59" s="9">
        <f t="shared" ca="1" si="37"/>
        <v>107129.00100648416</v>
      </c>
      <c r="AE59" s="9">
        <f t="shared" ca="1" si="37"/>
        <v>99824.750937860241</v>
      </c>
      <c r="AF59" s="9">
        <f t="shared" ca="1" si="37"/>
        <v>102320.36971130676</v>
      </c>
      <c r="AG59" s="9">
        <f t="shared" ca="1" si="37"/>
        <v>104878.37895408941</v>
      </c>
      <c r="AH59" s="9">
        <f t="shared" ca="1" si="37"/>
        <v>107500.33842794166</v>
      </c>
      <c r="AI59" s="9">
        <f t="shared" ca="1" si="37"/>
        <v>110187.84688864017</v>
      </c>
      <c r="AJ59" s="9">
        <f t="shared" ca="1" si="37"/>
        <v>112942.54306085619</v>
      </c>
      <c r="AK59" s="9">
        <f t="shared" ca="1" si="37"/>
        <v>115766.10663737757</v>
      </c>
      <c r="AL59" s="9">
        <f t="shared" ca="1" si="37"/>
        <v>118660.25930331199</v>
      </c>
      <c r="AM59" s="9">
        <f t="shared" ca="1" si="37"/>
        <v>121626.76578589482</v>
      </c>
    </row>
    <row r="60" spans="1:39" x14ac:dyDescent="0.2">
      <c r="A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9" x14ac:dyDescent="0.25">
      <c r="A61" s="12" t="s">
        <v>19</v>
      </c>
      <c r="C61" s="7">
        <f t="shared" ref="C61:AM61" ca="1" si="38">C21-C59</f>
        <v>12809.375000000015</v>
      </c>
      <c r="D61" s="7">
        <f t="shared" ca="1" si="38"/>
        <v>11352.840625000012</v>
      </c>
      <c r="E61" s="7">
        <f t="shared" ca="1" si="38"/>
        <v>17651.063515625021</v>
      </c>
      <c r="F61" s="7">
        <f t="shared" ca="1" si="38"/>
        <v>-88520.59748311984</v>
      </c>
      <c r="G61" s="7">
        <f t="shared" ca="1" si="38"/>
        <v>-60978.019068229143</v>
      </c>
      <c r="H61" s="7">
        <f t="shared" ca="1" si="38"/>
        <v>-57845.113322724086</v>
      </c>
      <c r="I61" s="7">
        <f t="shared" ca="1" si="38"/>
        <v>-33238.529248167615</v>
      </c>
      <c r="J61" s="7">
        <f t="shared" ca="1" si="38"/>
        <v>-33799.884674633242</v>
      </c>
      <c r="K61" s="7">
        <f t="shared" ca="1" si="38"/>
        <v>-51555.295799477477</v>
      </c>
      <c r="L61" s="7">
        <f t="shared" ca="1" si="38"/>
        <v>30524.197102192877</v>
      </c>
      <c r="M61" s="7">
        <f t="shared" ca="1" si="38"/>
        <v>-63610.162681902482</v>
      </c>
      <c r="N61" s="7">
        <f t="shared" ca="1" si="38"/>
        <v>-15108.738211907017</v>
      </c>
      <c r="O61" s="7">
        <f t="shared" ca="1" si="38"/>
        <v>-15247.099560391907</v>
      </c>
      <c r="P61" s="7">
        <f t="shared" ca="1" si="38"/>
        <v>-15381.739229384548</v>
      </c>
      <c r="Q61" s="7">
        <f t="shared" ca="1" si="38"/>
        <v>-15512.348755501473</v>
      </c>
      <c r="R61" s="7">
        <f t="shared" ca="1" si="38"/>
        <v>-15638.605501132843</v>
      </c>
      <c r="S61" s="7">
        <f t="shared" ca="1" si="38"/>
        <v>-15760.172106207261</v>
      </c>
      <c r="T61" s="7">
        <f t="shared" ca="1" si="38"/>
        <v>2078.3995614545711</v>
      </c>
      <c r="U61" s="7">
        <f t="shared" ca="1" si="38"/>
        <v>10214.458042103754</v>
      </c>
      <c r="V61" s="7">
        <f t="shared" ca="1" si="38"/>
        <v>10764.198543329112</v>
      </c>
      <c r="W61" s="7">
        <f t="shared" ca="1" si="38"/>
        <v>11336.51392859027</v>
      </c>
      <c r="X61" s="7">
        <f t="shared" ca="1" si="38"/>
        <v>11932.23351113325</v>
      </c>
      <c r="Y61" s="7">
        <f t="shared" ca="1" si="38"/>
        <v>-8106.641485691478</v>
      </c>
      <c r="Z61" s="7">
        <f t="shared" ca="1" si="38"/>
        <v>-7977.9813083849003</v>
      </c>
      <c r="AA61" s="7">
        <f t="shared" ca="1" si="38"/>
        <v>-7836.1648402121937</v>
      </c>
      <c r="AB61" s="7">
        <f t="shared" ca="1" si="38"/>
        <v>-7680.5649803086999</v>
      </c>
      <c r="AC61" s="7">
        <f t="shared" ca="1" si="38"/>
        <v>-7510.5300044803589</v>
      </c>
      <c r="AD61" s="7">
        <f t="shared" ca="1" si="38"/>
        <v>-7325.3826812462503</v>
      </c>
      <c r="AE61" s="7">
        <f t="shared" ca="1" si="38"/>
        <v>2858.0557360551174</v>
      </c>
      <c r="AF61" s="7">
        <f t="shared" ca="1" si="38"/>
        <v>3325.1279567193851</v>
      </c>
      <c r="AG61" s="7">
        <f t="shared" ca="1" si="38"/>
        <v>3815.7456077181851</v>
      </c>
      <c r="AH61" s="7">
        <f t="shared" ca="1" si="38"/>
        <v>4330.8533835543349</v>
      </c>
      <c r="AI61" s="7">
        <f t="shared" ca="1" si="38"/>
        <v>4871.4302778557467</v>
      </c>
      <c r="AJ61" s="7">
        <f t="shared" ca="1" si="38"/>
        <v>5438.4907613060059</v>
      </c>
      <c r="AK61" s="7">
        <f t="shared" ca="1" si="38"/>
        <v>6033.0859986376599</v>
      </c>
      <c r="AL61" s="7">
        <f t="shared" ca="1" si="38"/>
        <v>6656.3051059516001</v>
      </c>
      <c r="AM61" s="7">
        <f t="shared" ca="1" si="38"/>
        <v>7309.2764496688033</v>
      </c>
    </row>
    <row r="62" spans="1:39" x14ac:dyDescent="0.2">
      <c r="A62" s="4" t="s">
        <v>10</v>
      </c>
      <c r="C62" s="7">
        <f>Inputs!B8</f>
        <v>50000</v>
      </c>
      <c r="D62" s="7">
        <f ca="1">C63</f>
        <v>62809.375000000015</v>
      </c>
      <c r="E62" s="7">
        <f t="shared" ref="E62:AM62" ca="1" si="39">D63</f>
        <v>74162.215625000026</v>
      </c>
      <c r="F62" s="7">
        <f t="shared" ca="1" si="39"/>
        <v>91813.279140625047</v>
      </c>
      <c r="G62" s="7">
        <f t="shared" ca="1" si="39"/>
        <v>3292.6816575052071</v>
      </c>
      <c r="H62" s="7">
        <f t="shared" ca="1" si="39"/>
        <v>-57685.337410723936</v>
      </c>
      <c r="I62" s="7">
        <f t="shared" ca="1" si="39"/>
        <v>-115530.45073344803</v>
      </c>
      <c r="J62" s="7">
        <f t="shared" ca="1" si="39"/>
        <v>-148768.97998161564</v>
      </c>
      <c r="K62" s="7">
        <f t="shared" ca="1" si="39"/>
        <v>-182568.86465624889</v>
      </c>
      <c r="L62" s="7">
        <f t="shared" ca="1" si="39"/>
        <v>-234124.16045572638</v>
      </c>
      <c r="M62" s="7">
        <f t="shared" ca="1" si="39"/>
        <v>-203599.9633535335</v>
      </c>
      <c r="N62" s="7">
        <f t="shared" ca="1" si="39"/>
        <v>-267210.126035436</v>
      </c>
      <c r="O62" s="7">
        <f t="shared" ca="1" si="39"/>
        <v>-282318.86424734304</v>
      </c>
      <c r="P62" s="7">
        <f t="shared" ca="1" si="39"/>
        <v>-297565.96380773495</v>
      </c>
      <c r="Q62" s="7">
        <f t="shared" ca="1" si="39"/>
        <v>-312947.70303711947</v>
      </c>
      <c r="R62" s="7">
        <f t="shared" ca="1" si="39"/>
        <v>-328460.05179262091</v>
      </c>
      <c r="S62" s="7">
        <f t="shared" ca="1" si="39"/>
        <v>-344098.65729375376</v>
      </c>
      <c r="T62" s="7">
        <f t="shared" ca="1" si="39"/>
        <v>-359858.82939996105</v>
      </c>
      <c r="U62" s="7">
        <f t="shared" ca="1" si="39"/>
        <v>-357780.4298385065</v>
      </c>
      <c r="V62" s="7">
        <f t="shared" ca="1" si="39"/>
        <v>-347565.97179640277</v>
      </c>
      <c r="W62" s="7">
        <f t="shared" ca="1" si="39"/>
        <v>-336801.77325307368</v>
      </c>
      <c r="X62" s="7">
        <f t="shared" ca="1" si="39"/>
        <v>-325465.2593244834</v>
      </c>
      <c r="Y62" s="7">
        <f t="shared" ca="1" si="39"/>
        <v>-313533.02581335016</v>
      </c>
      <c r="Z62" s="7">
        <f t="shared" ca="1" si="39"/>
        <v>-321639.66729904164</v>
      </c>
      <c r="AA62" s="7">
        <f t="shared" ca="1" si="39"/>
        <v>-329617.64860742656</v>
      </c>
      <c r="AB62" s="7">
        <f t="shared" ca="1" si="39"/>
        <v>-337453.81344763876</v>
      </c>
      <c r="AC62" s="7">
        <f t="shared" ca="1" si="39"/>
        <v>-345134.37842794746</v>
      </c>
      <c r="AD62" s="7">
        <f t="shared" ca="1" si="39"/>
        <v>-352644.90843242779</v>
      </c>
      <c r="AE62" s="7">
        <f t="shared" ca="1" si="39"/>
        <v>-359970.29111367406</v>
      </c>
      <c r="AF62" s="7">
        <f t="shared" ca="1" si="39"/>
        <v>-357112.23537761893</v>
      </c>
      <c r="AG62" s="7">
        <f t="shared" ca="1" si="39"/>
        <v>-353787.10742089956</v>
      </c>
      <c r="AH62" s="7">
        <f t="shared" ca="1" si="39"/>
        <v>-349971.36181318137</v>
      </c>
      <c r="AI62" s="7">
        <f t="shared" ca="1" si="39"/>
        <v>-345640.50842962705</v>
      </c>
      <c r="AJ62" s="7">
        <f t="shared" ca="1" si="39"/>
        <v>-340769.07815177133</v>
      </c>
      <c r="AK62" s="7">
        <f t="shared" ca="1" si="39"/>
        <v>-335330.58739046531</v>
      </c>
      <c r="AL62" s="7">
        <f t="shared" ca="1" si="39"/>
        <v>-329297.50139182765</v>
      </c>
      <c r="AM62" s="7">
        <f t="shared" ca="1" si="39"/>
        <v>-322641.19628587604</v>
      </c>
    </row>
    <row r="63" spans="1:39" x14ac:dyDescent="0.2">
      <c r="A63" s="4" t="s">
        <v>11</v>
      </c>
      <c r="C63" s="9">
        <f ca="1">SUM(C61:C62)</f>
        <v>62809.375000000015</v>
      </c>
      <c r="D63" s="9">
        <f t="shared" ref="D63:AM63" ca="1" si="40">SUM(D61:D62)</f>
        <v>74162.215625000026</v>
      </c>
      <c r="E63" s="9">
        <f t="shared" ca="1" si="40"/>
        <v>91813.279140625047</v>
      </c>
      <c r="F63" s="9">
        <f t="shared" ca="1" si="40"/>
        <v>3292.6816575052071</v>
      </c>
      <c r="G63" s="9">
        <f t="shared" ca="1" si="40"/>
        <v>-57685.337410723936</v>
      </c>
      <c r="H63" s="9">
        <f t="shared" ca="1" si="40"/>
        <v>-115530.45073344803</v>
      </c>
      <c r="I63" s="9">
        <f t="shared" ca="1" si="40"/>
        <v>-148768.97998161564</v>
      </c>
      <c r="J63" s="9">
        <f t="shared" ca="1" si="40"/>
        <v>-182568.86465624889</v>
      </c>
      <c r="K63" s="9">
        <f t="shared" ca="1" si="40"/>
        <v>-234124.16045572638</v>
      </c>
      <c r="L63" s="9">
        <f t="shared" ca="1" si="40"/>
        <v>-203599.9633535335</v>
      </c>
      <c r="M63" s="9">
        <f t="shared" ca="1" si="40"/>
        <v>-267210.126035436</v>
      </c>
      <c r="N63" s="9">
        <f t="shared" ca="1" si="40"/>
        <v>-282318.86424734304</v>
      </c>
      <c r="O63" s="9">
        <f t="shared" ca="1" si="40"/>
        <v>-297565.96380773495</v>
      </c>
      <c r="P63" s="9">
        <f t="shared" ca="1" si="40"/>
        <v>-312947.70303711947</v>
      </c>
      <c r="Q63" s="9">
        <f t="shared" ca="1" si="40"/>
        <v>-328460.05179262091</v>
      </c>
      <c r="R63" s="9">
        <f t="shared" ca="1" si="40"/>
        <v>-344098.65729375376</v>
      </c>
      <c r="S63" s="9">
        <f t="shared" ca="1" si="40"/>
        <v>-359858.82939996105</v>
      </c>
      <c r="T63" s="9">
        <f t="shared" ca="1" si="40"/>
        <v>-357780.4298385065</v>
      </c>
      <c r="U63" s="9">
        <f t="shared" ca="1" si="40"/>
        <v>-347565.97179640277</v>
      </c>
      <c r="V63" s="9">
        <f t="shared" ca="1" si="40"/>
        <v>-336801.77325307368</v>
      </c>
      <c r="W63" s="9">
        <f t="shared" ca="1" si="40"/>
        <v>-325465.2593244834</v>
      </c>
      <c r="X63" s="9">
        <f t="shared" ca="1" si="40"/>
        <v>-313533.02581335016</v>
      </c>
      <c r="Y63" s="9">
        <f t="shared" ca="1" si="40"/>
        <v>-321639.66729904164</v>
      </c>
      <c r="Z63" s="9">
        <f t="shared" ca="1" si="40"/>
        <v>-329617.64860742656</v>
      </c>
      <c r="AA63" s="9">
        <f t="shared" ca="1" si="40"/>
        <v>-337453.81344763876</v>
      </c>
      <c r="AB63" s="9">
        <f t="shared" ca="1" si="40"/>
        <v>-345134.37842794746</v>
      </c>
      <c r="AC63" s="9">
        <f t="shared" ca="1" si="40"/>
        <v>-352644.90843242779</v>
      </c>
      <c r="AD63" s="9">
        <f t="shared" ca="1" si="40"/>
        <v>-359970.29111367406</v>
      </c>
      <c r="AE63" s="9">
        <f t="shared" ca="1" si="40"/>
        <v>-357112.23537761893</v>
      </c>
      <c r="AF63" s="9">
        <f t="shared" ca="1" si="40"/>
        <v>-353787.10742089956</v>
      </c>
      <c r="AG63" s="9">
        <f t="shared" ca="1" si="40"/>
        <v>-349971.36181318137</v>
      </c>
      <c r="AH63" s="9">
        <f t="shared" ca="1" si="40"/>
        <v>-345640.50842962705</v>
      </c>
      <c r="AI63" s="9">
        <f t="shared" ca="1" si="40"/>
        <v>-340769.07815177133</v>
      </c>
      <c r="AJ63" s="9">
        <f t="shared" ca="1" si="40"/>
        <v>-335330.58739046531</v>
      </c>
      <c r="AK63" s="9">
        <f t="shared" ca="1" si="40"/>
        <v>-329297.50139182765</v>
      </c>
      <c r="AL63" s="9">
        <f t="shared" ca="1" si="40"/>
        <v>-322641.19628587604</v>
      </c>
      <c r="AM63" s="9">
        <f t="shared" ca="1" si="40"/>
        <v>-315331.91983620723</v>
      </c>
    </row>
    <row r="64" spans="1:39" x14ac:dyDescent="0.2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9" x14ac:dyDescent="0.25">
      <c r="A65" s="25" t="s">
        <v>66</v>
      </c>
      <c r="B65" s="26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</row>
    <row r="66" spans="1:39" x14ac:dyDescent="0.2">
      <c r="A66" s="4" t="s">
        <v>9</v>
      </c>
      <c r="C66" s="7">
        <f t="shared" ref="C66:AM66" ca="1" si="41">C63</f>
        <v>62809.375000000015</v>
      </c>
      <c r="D66" s="7">
        <f t="shared" ca="1" si="41"/>
        <v>74162.215625000026</v>
      </c>
      <c r="E66" s="7">
        <f t="shared" ca="1" si="41"/>
        <v>91813.279140625047</v>
      </c>
      <c r="F66" s="7">
        <f t="shared" ca="1" si="41"/>
        <v>3292.6816575052071</v>
      </c>
      <c r="G66" s="7">
        <f t="shared" ca="1" si="41"/>
        <v>-57685.337410723936</v>
      </c>
      <c r="H66" s="7">
        <f t="shared" ca="1" si="41"/>
        <v>-115530.45073344803</v>
      </c>
      <c r="I66" s="7">
        <f t="shared" ca="1" si="41"/>
        <v>-148768.97998161564</v>
      </c>
      <c r="J66" s="7">
        <f t="shared" ca="1" si="41"/>
        <v>-182568.86465624889</v>
      </c>
      <c r="K66" s="7">
        <f t="shared" ca="1" si="41"/>
        <v>-234124.16045572638</v>
      </c>
      <c r="L66" s="7">
        <f t="shared" ca="1" si="41"/>
        <v>-203599.9633535335</v>
      </c>
      <c r="M66" s="7">
        <f t="shared" ca="1" si="41"/>
        <v>-267210.126035436</v>
      </c>
      <c r="N66" s="7">
        <f t="shared" ca="1" si="41"/>
        <v>-282318.86424734304</v>
      </c>
      <c r="O66" s="7">
        <f t="shared" ca="1" si="41"/>
        <v>-297565.96380773495</v>
      </c>
      <c r="P66" s="7">
        <f t="shared" ca="1" si="41"/>
        <v>-312947.70303711947</v>
      </c>
      <c r="Q66" s="7">
        <f t="shared" ca="1" si="41"/>
        <v>-328460.05179262091</v>
      </c>
      <c r="R66" s="7">
        <f t="shared" ca="1" si="41"/>
        <v>-344098.65729375376</v>
      </c>
      <c r="S66" s="7">
        <f t="shared" ca="1" si="41"/>
        <v>-359858.82939996105</v>
      </c>
      <c r="T66" s="7">
        <f t="shared" ca="1" si="41"/>
        <v>-357780.4298385065</v>
      </c>
      <c r="U66" s="7">
        <f t="shared" ca="1" si="41"/>
        <v>-347565.97179640277</v>
      </c>
      <c r="V66" s="7">
        <f t="shared" ca="1" si="41"/>
        <v>-336801.77325307368</v>
      </c>
      <c r="W66" s="7">
        <f t="shared" ca="1" si="41"/>
        <v>-325465.2593244834</v>
      </c>
      <c r="X66" s="7">
        <f t="shared" ca="1" si="41"/>
        <v>-313533.02581335016</v>
      </c>
      <c r="Y66" s="7">
        <f t="shared" ca="1" si="41"/>
        <v>-321639.66729904164</v>
      </c>
      <c r="Z66" s="7">
        <f t="shared" ca="1" si="41"/>
        <v>-329617.64860742656</v>
      </c>
      <c r="AA66" s="7">
        <f t="shared" ca="1" si="41"/>
        <v>-337453.81344763876</v>
      </c>
      <c r="AB66" s="7">
        <f t="shared" ca="1" si="41"/>
        <v>-345134.37842794746</v>
      </c>
      <c r="AC66" s="7">
        <f t="shared" ca="1" si="41"/>
        <v>-352644.90843242779</v>
      </c>
      <c r="AD66" s="7">
        <f t="shared" ca="1" si="41"/>
        <v>-359970.29111367406</v>
      </c>
      <c r="AE66" s="7">
        <f t="shared" ca="1" si="41"/>
        <v>-357112.23537761893</v>
      </c>
      <c r="AF66" s="7">
        <f t="shared" ca="1" si="41"/>
        <v>-353787.10742089956</v>
      </c>
      <c r="AG66" s="7">
        <f t="shared" ca="1" si="41"/>
        <v>-349971.36181318137</v>
      </c>
      <c r="AH66" s="7">
        <f t="shared" ca="1" si="41"/>
        <v>-345640.50842962705</v>
      </c>
      <c r="AI66" s="7">
        <f t="shared" ca="1" si="41"/>
        <v>-340769.07815177133</v>
      </c>
      <c r="AJ66" s="7">
        <f t="shared" ca="1" si="41"/>
        <v>-335330.58739046531</v>
      </c>
      <c r="AK66" s="7">
        <f t="shared" ca="1" si="41"/>
        <v>-329297.50139182765</v>
      </c>
      <c r="AL66" s="7">
        <f t="shared" ca="1" si="41"/>
        <v>-322641.19628587604</v>
      </c>
      <c r="AM66" s="7">
        <f t="shared" ca="1" si="41"/>
        <v>-315331.91983620723</v>
      </c>
    </row>
    <row r="67" spans="1:39" x14ac:dyDescent="0.2">
      <c r="A67" s="4" t="s">
        <v>7</v>
      </c>
      <c r="C67" s="7">
        <f ca="1">Inputs!B12*(1+princ)^ProRate</f>
        <v>614962.9305229499</v>
      </c>
      <c r="D67" s="7">
        <f t="shared" ref="D67:AM67" ca="1" si="42">C67*(1+princ)</f>
        <v>633411.81843863847</v>
      </c>
      <c r="E67" s="7">
        <f t="shared" ca="1" si="42"/>
        <v>652414.17299179768</v>
      </c>
      <c r="F67" s="7">
        <f t="shared" ca="1" si="42"/>
        <v>671986.59818155167</v>
      </c>
      <c r="G67" s="7">
        <f t="shared" ca="1" si="42"/>
        <v>692146.19612699829</v>
      </c>
      <c r="H67" s="7">
        <f t="shared" ca="1" si="42"/>
        <v>712910.58201080828</v>
      </c>
      <c r="I67" s="7">
        <f t="shared" ca="1" si="42"/>
        <v>734297.89947113255</v>
      </c>
      <c r="J67" s="7">
        <f t="shared" ca="1" si="42"/>
        <v>756326.83645526657</v>
      </c>
      <c r="K67" s="7">
        <f t="shared" ca="1" si="42"/>
        <v>779016.64154892461</v>
      </c>
      <c r="L67" s="7">
        <f t="shared" ca="1" si="42"/>
        <v>802387.14079539233</v>
      </c>
      <c r="M67" s="7">
        <f t="shared" ca="1" si="42"/>
        <v>826458.75501925417</v>
      </c>
      <c r="N67" s="7">
        <f t="shared" ca="1" si="42"/>
        <v>851252.51766983187</v>
      </c>
      <c r="O67" s="7">
        <f t="shared" ca="1" si="42"/>
        <v>876790.09319992689</v>
      </c>
      <c r="P67" s="7">
        <f t="shared" ca="1" si="42"/>
        <v>903093.79599592474</v>
      </c>
      <c r="Q67" s="7">
        <f t="shared" ca="1" si="42"/>
        <v>930186.60987580253</v>
      </c>
      <c r="R67" s="7">
        <f t="shared" ca="1" si="42"/>
        <v>958092.20817207661</v>
      </c>
      <c r="S67" s="7">
        <f t="shared" ca="1" si="42"/>
        <v>986834.97441723896</v>
      </c>
      <c r="T67" s="7">
        <f t="shared" ca="1" si="42"/>
        <v>1016440.0236497562</v>
      </c>
      <c r="U67" s="7">
        <f t="shared" ca="1" si="42"/>
        <v>1046933.2243592489</v>
      </c>
      <c r="V67" s="7">
        <f t="shared" ca="1" si="42"/>
        <v>1078341.2210900264</v>
      </c>
      <c r="W67" s="7">
        <f t="shared" ca="1" si="42"/>
        <v>1110691.4577227272</v>
      </c>
      <c r="X67" s="7">
        <f t="shared" ca="1" si="42"/>
        <v>1144012.2014544092</v>
      </c>
      <c r="Y67" s="7">
        <f t="shared" ca="1" si="42"/>
        <v>1178332.5674980415</v>
      </c>
      <c r="Z67" s="7">
        <f t="shared" ca="1" si="42"/>
        <v>1213682.5445229828</v>
      </c>
      <c r="AA67" s="7">
        <f t="shared" ca="1" si="42"/>
        <v>1250093.0208586722</v>
      </c>
      <c r="AB67" s="7">
        <f t="shared" ca="1" si="42"/>
        <v>1287595.8114844323</v>
      </c>
      <c r="AC67" s="7">
        <f t="shared" ca="1" si="42"/>
        <v>1326223.6858289654</v>
      </c>
      <c r="AD67" s="7">
        <f t="shared" ca="1" si="42"/>
        <v>1366010.3964038345</v>
      </c>
      <c r="AE67" s="7">
        <f t="shared" ca="1" si="42"/>
        <v>1406990.7082959495</v>
      </c>
      <c r="AF67" s="7">
        <f t="shared" ca="1" si="42"/>
        <v>1449200.4295448281</v>
      </c>
      <c r="AG67" s="7">
        <f t="shared" ca="1" si="42"/>
        <v>1492676.4424311731</v>
      </c>
      <c r="AH67" s="7">
        <f t="shared" ca="1" si="42"/>
        <v>1537456.7357041084</v>
      </c>
      <c r="AI67" s="7">
        <f t="shared" ca="1" si="42"/>
        <v>1583580.4377752317</v>
      </c>
      <c r="AJ67" s="7">
        <f t="shared" ca="1" si="42"/>
        <v>1631087.8509084887</v>
      </c>
      <c r="AK67" s="7">
        <f t="shared" ca="1" si="42"/>
        <v>1680020.4864357435</v>
      </c>
      <c r="AL67" s="7">
        <f t="shared" ca="1" si="42"/>
        <v>1730421.1010288158</v>
      </c>
      <c r="AM67" s="7">
        <f t="shared" ca="1" si="42"/>
        <v>1782333.7340596803</v>
      </c>
    </row>
    <row r="68" spans="1:39" x14ac:dyDescent="0.2">
      <c r="A68" s="4" t="s">
        <v>51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">
      <c r="A69" s="3" t="str">
        <f>TEXT(Inputs!$B$60,"")</f>
        <v>Sliema</v>
      </c>
      <c r="C69" s="7">
        <f ca="1">Inputs!B61*(1+princ)^ProRate</f>
        <v>307481.46526147495</v>
      </c>
      <c r="D69" s="7">
        <f t="shared" ref="D69:S73" ca="1" si="43">C69*(1+princ)</f>
        <v>316705.90921931923</v>
      </c>
      <c r="E69" s="7">
        <f t="shared" ca="1" si="43"/>
        <v>326207.08649589884</v>
      </c>
      <c r="F69" s="7">
        <f t="shared" ca="1" si="43"/>
        <v>335993.29909077584</v>
      </c>
      <c r="G69" s="7">
        <f t="shared" ca="1" si="43"/>
        <v>346073.09806349914</v>
      </c>
      <c r="H69" s="7">
        <f t="shared" ca="1" si="43"/>
        <v>356455.29100540414</v>
      </c>
      <c r="I69" s="7">
        <f t="shared" ca="1" si="43"/>
        <v>367148.94973556628</v>
      </c>
      <c r="J69" s="7">
        <f t="shared" ca="1" si="43"/>
        <v>378163.41822763329</v>
      </c>
      <c r="K69" s="7">
        <f t="shared" ca="1" si="43"/>
        <v>389508.32077446231</v>
      </c>
      <c r="L69" s="7">
        <f t="shared" ca="1" si="43"/>
        <v>401193.57039769617</v>
      </c>
      <c r="M69" s="7">
        <f t="shared" ca="1" si="43"/>
        <v>413229.37750962708</v>
      </c>
      <c r="N69" s="7">
        <f t="shared" ca="1" si="43"/>
        <v>425626.25883491593</v>
      </c>
      <c r="O69" s="7">
        <f t="shared" ca="1" si="43"/>
        <v>438395.04659996345</v>
      </c>
      <c r="P69" s="7">
        <f t="shared" ca="1" si="43"/>
        <v>451546.89799796237</v>
      </c>
      <c r="Q69" s="7">
        <f t="shared" ca="1" si="43"/>
        <v>465093.30493790127</v>
      </c>
      <c r="R69" s="7">
        <f t="shared" ca="1" si="43"/>
        <v>479046.10408603831</v>
      </c>
      <c r="S69" s="7">
        <f t="shared" ca="1" si="43"/>
        <v>493417.48720861948</v>
      </c>
      <c r="T69" s="7">
        <f t="shared" ref="T69:AI73" ca="1" si="44">S69*(1+princ)</f>
        <v>508220.01182487811</v>
      </c>
      <c r="U69" s="7">
        <f t="shared" ca="1" si="44"/>
        <v>523466.61217962444</v>
      </c>
      <c r="V69" s="7">
        <f t="shared" ca="1" si="44"/>
        <v>539170.61054501322</v>
      </c>
      <c r="W69" s="7">
        <f t="shared" ca="1" si="44"/>
        <v>555345.7288613636</v>
      </c>
      <c r="X69" s="7">
        <f t="shared" ca="1" si="44"/>
        <v>572006.10072720458</v>
      </c>
      <c r="Y69" s="7">
        <f t="shared" ca="1" si="44"/>
        <v>589166.28374902077</v>
      </c>
      <c r="Z69" s="7">
        <f t="shared" ca="1" si="44"/>
        <v>606841.27226149139</v>
      </c>
      <c r="AA69" s="7">
        <f t="shared" ca="1" si="44"/>
        <v>625046.51042933611</v>
      </c>
      <c r="AB69" s="7">
        <f t="shared" ca="1" si="44"/>
        <v>643797.90574221616</v>
      </c>
      <c r="AC69" s="7">
        <f t="shared" ca="1" si="44"/>
        <v>663111.8429144827</v>
      </c>
      <c r="AD69" s="7">
        <f t="shared" ca="1" si="44"/>
        <v>683005.19820191723</v>
      </c>
      <c r="AE69" s="7">
        <f t="shared" ca="1" si="44"/>
        <v>703495.35414797475</v>
      </c>
      <c r="AF69" s="7">
        <f t="shared" ca="1" si="44"/>
        <v>724600.21477241407</v>
      </c>
      <c r="AG69" s="7">
        <f t="shared" ca="1" si="44"/>
        <v>746338.22121558653</v>
      </c>
      <c r="AH69" s="7">
        <f t="shared" ca="1" si="44"/>
        <v>768728.36785205419</v>
      </c>
      <c r="AI69" s="7">
        <f t="shared" ca="1" si="44"/>
        <v>791790.21888761583</v>
      </c>
      <c r="AJ69" s="7">
        <f t="shared" ref="AJ69:AM73" ca="1" si="45">AI69*(1+princ)</f>
        <v>815543.92545424437</v>
      </c>
      <c r="AK69" s="7">
        <f t="shared" ca="1" si="45"/>
        <v>840010.24321787176</v>
      </c>
      <c r="AL69" s="7">
        <f t="shared" ca="1" si="45"/>
        <v>865210.55051440792</v>
      </c>
      <c r="AM69" s="7">
        <f t="shared" ca="1" si="45"/>
        <v>891166.86702984013</v>
      </c>
    </row>
    <row r="70" spans="1:39" x14ac:dyDescent="0.2">
      <c r="A70" s="3" t="str">
        <f>TEXT(Inputs!$B$65,"")</f>
        <v>Gzira</v>
      </c>
      <c r="C70" s="7">
        <f ca="1">Inputs!B66*(1+princ)^ProRate</f>
        <v>153740.73263073748</v>
      </c>
      <c r="D70" s="7">
        <f t="shared" ca="1" si="43"/>
        <v>158352.95460965962</v>
      </c>
      <c r="E70" s="7">
        <f t="shared" ca="1" si="43"/>
        <v>163103.54324794942</v>
      </c>
      <c r="F70" s="7">
        <f t="shared" ca="1" si="43"/>
        <v>167996.64954538792</v>
      </c>
      <c r="G70" s="7">
        <f t="shared" ca="1" si="43"/>
        <v>173036.54903174957</v>
      </c>
      <c r="H70" s="7">
        <f t="shared" ca="1" si="43"/>
        <v>178227.64550270207</v>
      </c>
      <c r="I70" s="7">
        <f t="shared" ca="1" si="43"/>
        <v>183574.47486778314</v>
      </c>
      <c r="J70" s="7">
        <f t="shared" ca="1" si="43"/>
        <v>189081.70911381664</v>
      </c>
      <c r="K70" s="7">
        <f t="shared" ca="1" si="43"/>
        <v>194754.16038723115</v>
      </c>
      <c r="L70" s="7">
        <f t="shared" ca="1" si="43"/>
        <v>200596.78519884808</v>
      </c>
      <c r="M70" s="7">
        <f t="shared" ca="1" si="43"/>
        <v>206614.68875481354</v>
      </c>
      <c r="N70" s="7">
        <f t="shared" ca="1" si="43"/>
        <v>212813.12941745797</v>
      </c>
      <c r="O70" s="7">
        <f t="shared" ca="1" si="43"/>
        <v>219197.52329998172</v>
      </c>
      <c r="P70" s="7">
        <f t="shared" ca="1" si="43"/>
        <v>225773.44899898118</v>
      </c>
      <c r="Q70" s="7">
        <f t="shared" ca="1" si="43"/>
        <v>232546.65246895063</v>
      </c>
      <c r="R70" s="7">
        <f t="shared" ca="1" si="43"/>
        <v>239523.05204301915</v>
      </c>
      <c r="S70" s="7">
        <f t="shared" ca="1" si="43"/>
        <v>246708.74360430974</v>
      </c>
      <c r="T70" s="7">
        <f t="shared" ca="1" si="44"/>
        <v>254110.00591243905</v>
      </c>
      <c r="U70" s="7">
        <f t="shared" ca="1" si="44"/>
        <v>261733.30608981222</v>
      </c>
      <c r="V70" s="7">
        <f t="shared" ca="1" si="44"/>
        <v>269585.30527250661</v>
      </c>
      <c r="W70" s="7">
        <f t="shared" ca="1" si="44"/>
        <v>277672.8644306818</v>
      </c>
      <c r="X70" s="7">
        <f t="shared" ca="1" si="44"/>
        <v>286003.05036360229</v>
      </c>
      <c r="Y70" s="7">
        <f t="shared" ca="1" si="44"/>
        <v>294583.14187451039</v>
      </c>
      <c r="Z70" s="7">
        <f t="shared" ca="1" si="44"/>
        <v>303420.6361307457</v>
      </c>
      <c r="AA70" s="7">
        <f t="shared" ca="1" si="44"/>
        <v>312523.25521466805</v>
      </c>
      <c r="AB70" s="7">
        <f t="shared" ca="1" si="44"/>
        <v>321898.95287110808</v>
      </c>
      <c r="AC70" s="7">
        <f t="shared" ca="1" si="44"/>
        <v>331555.92145724135</v>
      </c>
      <c r="AD70" s="7">
        <f t="shared" ca="1" si="44"/>
        <v>341502.59910095861</v>
      </c>
      <c r="AE70" s="7">
        <f t="shared" ca="1" si="44"/>
        <v>351747.67707398738</v>
      </c>
      <c r="AF70" s="7">
        <f t="shared" ca="1" si="44"/>
        <v>362300.10738620703</v>
      </c>
      <c r="AG70" s="7">
        <f t="shared" ca="1" si="44"/>
        <v>373169.11060779326</v>
      </c>
      <c r="AH70" s="7">
        <f t="shared" ca="1" si="44"/>
        <v>384364.18392602709</v>
      </c>
      <c r="AI70" s="7">
        <f t="shared" ca="1" si="44"/>
        <v>395895.10944380792</v>
      </c>
      <c r="AJ70" s="7">
        <f t="shared" ca="1" si="45"/>
        <v>407771.96272712218</v>
      </c>
      <c r="AK70" s="7">
        <f t="shared" ca="1" si="45"/>
        <v>420005.12160893588</v>
      </c>
      <c r="AL70" s="7">
        <f t="shared" ca="1" si="45"/>
        <v>432605.27525720396</v>
      </c>
      <c r="AM70" s="7">
        <f t="shared" ca="1" si="45"/>
        <v>445583.43351492006</v>
      </c>
    </row>
    <row r="71" spans="1:39" x14ac:dyDescent="0.2">
      <c r="A71" s="3" t="str">
        <f>TEXT(Inputs!$B$70,"")</f>
        <v>Qormi</v>
      </c>
      <c r="C71" s="7">
        <f ca="1">Inputs!B71*(1+princ)^ProRate</f>
        <v>225486.40785841495</v>
      </c>
      <c r="D71" s="7">
        <f t="shared" ca="1" si="43"/>
        <v>232251.00009416742</v>
      </c>
      <c r="E71" s="7">
        <f t="shared" ca="1" si="43"/>
        <v>239218.53009699244</v>
      </c>
      <c r="F71" s="7">
        <f t="shared" ca="1" si="43"/>
        <v>246395.08599990222</v>
      </c>
      <c r="G71" s="7">
        <f t="shared" ca="1" si="43"/>
        <v>253786.93857989929</v>
      </c>
      <c r="H71" s="7">
        <f t="shared" ca="1" si="43"/>
        <v>261400.54673729627</v>
      </c>
      <c r="I71" s="7">
        <f t="shared" ca="1" si="43"/>
        <v>269242.56313941517</v>
      </c>
      <c r="J71" s="7">
        <f t="shared" ca="1" si="43"/>
        <v>277319.84003359766</v>
      </c>
      <c r="K71" s="7">
        <f t="shared" ca="1" si="43"/>
        <v>285639.43523460563</v>
      </c>
      <c r="L71" s="7">
        <f t="shared" ca="1" si="43"/>
        <v>294208.6182916438</v>
      </c>
      <c r="M71" s="7">
        <f t="shared" ca="1" si="43"/>
        <v>303034.87684039312</v>
      </c>
      <c r="N71" s="7">
        <f t="shared" ca="1" si="43"/>
        <v>312125.9231456049</v>
      </c>
      <c r="O71" s="7">
        <f t="shared" ca="1" si="43"/>
        <v>321489.70083997305</v>
      </c>
      <c r="P71" s="7">
        <f t="shared" ca="1" si="43"/>
        <v>331134.39186517225</v>
      </c>
      <c r="Q71" s="7">
        <f t="shared" ca="1" si="43"/>
        <v>341068.42362112744</v>
      </c>
      <c r="R71" s="7">
        <f t="shared" ca="1" si="43"/>
        <v>351300.47632976127</v>
      </c>
      <c r="S71" s="7">
        <f t="shared" ca="1" si="43"/>
        <v>361839.49061965413</v>
      </c>
      <c r="T71" s="7">
        <f t="shared" ca="1" si="44"/>
        <v>372694.67533824377</v>
      </c>
      <c r="U71" s="7">
        <f t="shared" ca="1" si="44"/>
        <v>383875.51559839112</v>
      </c>
      <c r="V71" s="7">
        <f t="shared" ca="1" si="44"/>
        <v>395391.7810663429</v>
      </c>
      <c r="W71" s="7">
        <f t="shared" ca="1" si="44"/>
        <v>407253.53449833317</v>
      </c>
      <c r="X71" s="7">
        <f t="shared" ca="1" si="44"/>
        <v>419471.14053328318</v>
      </c>
      <c r="Y71" s="7">
        <f t="shared" ca="1" si="44"/>
        <v>432055.2747492817</v>
      </c>
      <c r="Z71" s="7">
        <f t="shared" ca="1" si="44"/>
        <v>445016.93299176014</v>
      </c>
      <c r="AA71" s="7">
        <f t="shared" ca="1" si="44"/>
        <v>458367.44098151295</v>
      </c>
      <c r="AB71" s="7">
        <f t="shared" ca="1" si="44"/>
        <v>472118.46421095834</v>
      </c>
      <c r="AC71" s="7">
        <f t="shared" ca="1" si="44"/>
        <v>486282.01813728712</v>
      </c>
      <c r="AD71" s="7">
        <f t="shared" ca="1" si="44"/>
        <v>500870.47868140572</v>
      </c>
      <c r="AE71" s="7">
        <f t="shared" ca="1" si="44"/>
        <v>515896.59304184793</v>
      </c>
      <c r="AF71" s="7">
        <f t="shared" ca="1" si="44"/>
        <v>531373.49083310342</v>
      </c>
      <c r="AG71" s="7">
        <f t="shared" ca="1" si="44"/>
        <v>547314.69555809652</v>
      </c>
      <c r="AH71" s="7">
        <f t="shared" ca="1" si="44"/>
        <v>563734.13642483938</v>
      </c>
      <c r="AI71" s="7">
        <f t="shared" ca="1" si="44"/>
        <v>580646.16051758453</v>
      </c>
      <c r="AJ71" s="7">
        <f t="shared" ca="1" si="45"/>
        <v>598065.54533311212</v>
      </c>
      <c r="AK71" s="7">
        <f t="shared" ca="1" si="45"/>
        <v>616007.51169310545</v>
      </c>
      <c r="AL71" s="7">
        <f t="shared" ca="1" si="45"/>
        <v>634487.73704389867</v>
      </c>
      <c r="AM71" s="7">
        <f t="shared" ca="1" si="45"/>
        <v>653522.36915521568</v>
      </c>
    </row>
    <row r="72" spans="1:39" x14ac:dyDescent="0.2">
      <c r="A72" s="3" t="str">
        <f>TEXT(Inputs!$B$75,"")</f>
        <v>Gudja</v>
      </c>
      <c r="C72" s="7">
        <f ca="1">Inputs!B76*(1+princ)^ProRate</f>
        <v>81995.057403059982</v>
      </c>
      <c r="D72" s="7">
        <f t="shared" ca="1" si="43"/>
        <v>84454.909125151782</v>
      </c>
      <c r="E72" s="7">
        <f t="shared" ca="1" si="43"/>
        <v>86988.556398906338</v>
      </c>
      <c r="F72" s="7">
        <f t="shared" ca="1" si="43"/>
        <v>89598.213090873527</v>
      </c>
      <c r="G72" s="7">
        <f t="shared" ca="1" si="43"/>
        <v>92286.159483599738</v>
      </c>
      <c r="H72" s="7">
        <f t="shared" ca="1" si="43"/>
        <v>95054.744268107737</v>
      </c>
      <c r="I72" s="7">
        <f t="shared" ca="1" si="43"/>
        <v>97906.386596150973</v>
      </c>
      <c r="J72" s="7">
        <f t="shared" ca="1" si="43"/>
        <v>100843.57819403551</v>
      </c>
      <c r="K72" s="7">
        <f t="shared" ca="1" si="43"/>
        <v>103868.88553985658</v>
      </c>
      <c r="L72" s="7">
        <f t="shared" ca="1" si="43"/>
        <v>106984.95210605228</v>
      </c>
      <c r="M72" s="7">
        <f t="shared" ca="1" si="43"/>
        <v>110194.50066923385</v>
      </c>
      <c r="N72" s="7">
        <f t="shared" ca="1" si="43"/>
        <v>113500.33568931087</v>
      </c>
      <c r="O72" s="7">
        <f t="shared" ca="1" si="43"/>
        <v>116905.3457599902</v>
      </c>
      <c r="P72" s="7">
        <f t="shared" ca="1" si="43"/>
        <v>120412.50613278992</v>
      </c>
      <c r="Q72" s="7">
        <f t="shared" ca="1" si="43"/>
        <v>124024.88131677362</v>
      </c>
      <c r="R72" s="7">
        <f t="shared" ca="1" si="43"/>
        <v>127745.62775627684</v>
      </c>
      <c r="S72" s="7">
        <f t="shared" ca="1" si="43"/>
        <v>131577.99658896515</v>
      </c>
      <c r="T72" s="7">
        <f t="shared" ca="1" si="44"/>
        <v>135525.3364866341</v>
      </c>
      <c r="U72" s="7">
        <f t="shared" ca="1" si="44"/>
        <v>139591.09658123311</v>
      </c>
      <c r="V72" s="7">
        <f t="shared" ca="1" si="44"/>
        <v>143778.82947867012</v>
      </c>
      <c r="W72" s="7">
        <f t="shared" ca="1" si="44"/>
        <v>148092.19436303023</v>
      </c>
      <c r="X72" s="7">
        <f t="shared" ca="1" si="44"/>
        <v>152534.96019392114</v>
      </c>
      <c r="Y72" s="7">
        <f t="shared" ca="1" si="44"/>
        <v>157111.00899973878</v>
      </c>
      <c r="Z72" s="7">
        <f t="shared" ca="1" si="44"/>
        <v>161824.33926973096</v>
      </c>
      <c r="AA72" s="7">
        <f t="shared" ca="1" si="44"/>
        <v>166679.0694478229</v>
      </c>
      <c r="AB72" s="7">
        <f t="shared" ca="1" si="44"/>
        <v>171679.44153125759</v>
      </c>
      <c r="AC72" s="7">
        <f t="shared" ca="1" si="44"/>
        <v>176829.82477719532</v>
      </c>
      <c r="AD72" s="7">
        <f t="shared" ca="1" si="44"/>
        <v>182134.71952051119</v>
      </c>
      <c r="AE72" s="7">
        <f t="shared" ca="1" si="44"/>
        <v>187598.76110612653</v>
      </c>
      <c r="AF72" s="7">
        <f t="shared" ca="1" si="44"/>
        <v>193226.72393931032</v>
      </c>
      <c r="AG72" s="7">
        <f t="shared" ca="1" si="44"/>
        <v>199023.52565748963</v>
      </c>
      <c r="AH72" s="7">
        <f t="shared" ca="1" si="44"/>
        <v>204994.23142721434</v>
      </c>
      <c r="AI72" s="7">
        <f t="shared" ca="1" si="44"/>
        <v>211144.05837003078</v>
      </c>
      <c r="AJ72" s="7">
        <f t="shared" ca="1" si="45"/>
        <v>217478.38012113172</v>
      </c>
      <c r="AK72" s="7">
        <f t="shared" ca="1" si="45"/>
        <v>224002.73152476567</v>
      </c>
      <c r="AL72" s="7">
        <f t="shared" ca="1" si="45"/>
        <v>230722.81347050864</v>
      </c>
      <c r="AM72" s="7">
        <f t="shared" ca="1" si="45"/>
        <v>237644.49787462392</v>
      </c>
    </row>
    <row r="73" spans="1:39" x14ac:dyDescent="0.2">
      <c r="A73" s="3" t="str">
        <f>TEXT(Inputs!$B$80,"")</f>
        <v>Marsa</v>
      </c>
      <c r="C73" s="7">
        <f ca="1">Inputs!B81*(1+princ)^ProRate</f>
        <v>122992.58610458997</v>
      </c>
      <c r="D73" s="7">
        <f t="shared" ca="1" si="43"/>
        <v>126682.36368772767</v>
      </c>
      <c r="E73" s="7">
        <f t="shared" ca="1" si="43"/>
        <v>130482.83459835951</v>
      </c>
      <c r="F73" s="7">
        <f t="shared" ca="1" si="43"/>
        <v>134397.31963631031</v>
      </c>
      <c r="G73" s="7">
        <f t="shared" ca="1" si="43"/>
        <v>138429.23922539962</v>
      </c>
      <c r="H73" s="7">
        <f t="shared" ca="1" si="43"/>
        <v>142582.11640216163</v>
      </c>
      <c r="I73" s="7">
        <f t="shared" ca="1" si="43"/>
        <v>146859.57989422648</v>
      </c>
      <c r="J73" s="7">
        <f t="shared" ca="1" si="43"/>
        <v>151265.36729105329</v>
      </c>
      <c r="K73" s="7">
        <f t="shared" ca="1" si="43"/>
        <v>155803.32830978491</v>
      </c>
      <c r="L73" s="7">
        <f t="shared" ca="1" si="43"/>
        <v>160477.42815907847</v>
      </c>
      <c r="M73" s="7">
        <f t="shared" ca="1" si="43"/>
        <v>165291.75100385083</v>
      </c>
      <c r="N73" s="7">
        <f t="shared" ca="1" si="43"/>
        <v>170250.50353396637</v>
      </c>
      <c r="O73" s="7">
        <f t="shared" ca="1" si="43"/>
        <v>175358.01863998536</v>
      </c>
      <c r="P73" s="7">
        <f t="shared" ca="1" si="43"/>
        <v>180618.75919918492</v>
      </c>
      <c r="Q73" s="7">
        <f t="shared" ca="1" si="43"/>
        <v>186037.32197516048</v>
      </c>
      <c r="R73" s="7">
        <f t="shared" ca="1" si="43"/>
        <v>191618.4416344153</v>
      </c>
      <c r="S73" s="7">
        <f t="shared" ca="1" si="43"/>
        <v>197366.99488344777</v>
      </c>
      <c r="T73" s="7">
        <f t="shared" ca="1" si="44"/>
        <v>203288.00472995121</v>
      </c>
      <c r="U73" s="7">
        <f t="shared" ca="1" si="44"/>
        <v>209386.64487184974</v>
      </c>
      <c r="V73" s="7">
        <f t="shared" ca="1" si="44"/>
        <v>215668.24421800525</v>
      </c>
      <c r="W73" s="7">
        <f t="shared" ca="1" si="44"/>
        <v>222138.29154454541</v>
      </c>
      <c r="X73" s="7">
        <f t="shared" ca="1" si="44"/>
        <v>228802.44029088179</v>
      </c>
      <c r="Y73" s="7">
        <f t="shared" ca="1" si="44"/>
        <v>235666.51349960823</v>
      </c>
      <c r="Z73" s="7">
        <f t="shared" ca="1" si="44"/>
        <v>242736.5089045965</v>
      </c>
      <c r="AA73" s="7">
        <f t="shared" ca="1" si="44"/>
        <v>250018.60417173439</v>
      </c>
      <c r="AB73" s="7">
        <f t="shared" ca="1" si="44"/>
        <v>257519.16229688644</v>
      </c>
      <c r="AC73" s="7">
        <f t="shared" ca="1" si="44"/>
        <v>265244.73716579302</v>
      </c>
      <c r="AD73" s="7">
        <f t="shared" ca="1" si="44"/>
        <v>273202.07928076683</v>
      </c>
      <c r="AE73" s="7">
        <f t="shared" ca="1" si="44"/>
        <v>281398.14165918983</v>
      </c>
      <c r="AF73" s="7">
        <f t="shared" ca="1" si="44"/>
        <v>289840.08590896556</v>
      </c>
      <c r="AG73" s="7">
        <f t="shared" ca="1" si="44"/>
        <v>298535.28848623455</v>
      </c>
      <c r="AH73" s="7">
        <f t="shared" ca="1" si="44"/>
        <v>307491.34714082157</v>
      </c>
      <c r="AI73" s="7">
        <f t="shared" ca="1" si="44"/>
        <v>316716.08755504625</v>
      </c>
      <c r="AJ73" s="7">
        <f t="shared" ca="1" si="45"/>
        <v>326217.57018169767</v>
      </c>
      <c r="AK73" s="7">
        <f t="shared" ca="1" si="45"/>
        <v>336004.09728714859</v>
      </c>
      <c r="AL73" s="7">
        <f t="shared" ca="1" si="45"/>
        <v>346084.22020576306</v>
      </c>
      <c r="AM73" s="7">
        <f t="shared" ca="1" si="45"/>
        <v>356466.74681193597</v>
      </c>
    </row>
    <row r="74" spans="1:39" x14ac:dyDescent="0.2">
      <c r="A74" s="4" t="s">
        <v>194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">
      <c r="A75" s="3" t="str">
        <f>TEXT(Inputs!$B$87,"")</f>
        <v>Jewelry</v>
      </c>
      <c r="C75" s="7">
        <f ca="1">Inputs!B88*(1+A1inc)^ProRate</f>
        <v>50831.955131348885</v>
      </c>
      <c r="D75" s="7">
        <f t="shared" ref="D75:AM75" ca="1" si="46">C75*(1+A1inc)</f>
        <v>51848.594233975862</v>
      </c>
      <c r="E75" s="7">
        <f t="shared" ca="1" si="46"/>
        <v>52885.566118655377</v>
      </c>
      <c r="F75" s="7">
        <f t="shared" ca="1" si="46"/>
        <v>53943.277441028484</v>
      </c>
      <c r="G75" s="7">
        <f t="shared" ca="1" si="46"/>
        <v>55022.142989849053</v>
      </c>
      <c r="H75" s="7">
        <f t="shared" ca="1" si="46"/>
        <v>56122.585849646035</v>
      </c>
      <c r="I75" s="7">
        <f t="shared" ca="1" si="46"/>
        <v>57245.037566638959</v>
      </c>
      <c r="J75" s="7">
        <f t="shared" ca="1" si="46"/>
        <v>58389.938317971741</v>
      </c>
      <c r="K75" s="7">
        <f t="shared" ca="1" si="46"/>
        <v>59557.73708433118</v>
      </c>
      <c r="L75" s="7">
        <f t="shared" ca="1" si="46"/>
        <v>60748.891826017803</v>
      </c>
      <c r="M75" s="7">
        <f t="shared" ca="1" si="46"/>
        <v>61963.869662538164</v>
      </c>
      <c r="N75" s="7">
        <f t="shared" ca="1" si="46"/>
        <v>63203.147055788926</v>
      </c>
      <c r="O75" s="7">
        <f t="shared" ca="1" si="46"/>
        <v>64467.209996904705</v>
      </c>
      <c r="P75" s="7">
        <f t="shared" ca="1" si="46"/>
        <v>65756.554196842801</v>
      </c>
      <c r="Q75" s="7">
        <f t="shared" ca="1" si="46"/>
        <v>67071.685280779653</v>
      </c>
      <c r="R75" s="7">
        <f t="shared" ca="1" si="46"/>
        <v>68413.118986395246</v>
      </c>
      <c r="S75" s="7">
        <f t="shared" ca="1" si="46"/>
        <v>69781.381366123154</v>
      </c>
      <c r="T75" s="7">
        <f t="shared" ca="1" si="46"/>
        <v>71177.008993445619</v>
      </c>
      <c r="U75" s="7">
        <f t="shared" ca="1" si="46"/>
        <v>72600.549173314532</v>
      </c>
      <c r="V75" s="7">
        <f t="shared" ca="1" si="46"/>
        <v>74052.560156780819</v>
      </c>
      <c r="W75" s="7">
        <f t="shared" ca="1" si="46"/>
        <v>75533.611359916438</v>
      </c>
      <c r="X75" s="7">
        <f t="shared" ca="1" si="46"/>
        <v>77044.283587114769</v>
      </c>
      <c r="Y75" s="7">
        <f t="shared" ca="1" si="46"/>
        <v>78585.169258857059</v>
      </c>
      <c r="Z75" s="7">
        <f t="shared" ca="1" si="46"/>
        <v>80156.8726440342</v>
      </c>
      <c r="AA75" s="7">
        <f t="shared" ca="1" si="46"/>
        <v>81760.010096914892</v>
      </c>
      <c r="AB75" s="7">
        <f t="shared" ca="1" si="46"/>
        <v>83395.210298853184</v>
      </c>
      <c r="AC75" s="7">
        <f t="shared" ca="1" si="46"/>
        <v>85063.114504830242</v>
      </c>
      <c r="AD75" s="7">
        <f t="shared" ca="1" si="46"/>
        <v>86764.376794926851</v>
      </c>
      <c r="AE75" s="7">
        <f t="shared" ca="1" si="46"/>
        <v>88499.664330825384</v>
      </c>
      <c r="AF75" s="7">
        <f t="shared" ca="1" si="46"/>
        <v>90269.657617441888</v>
      </c>
      <c r="AG75" s="7">
        <f t="shared" ca="1" si="46"/>
        <v>92075.050769790731</v>
      </c>
      <c r="AH75" s="7">
        <f t="shared" ca="1" si="46"/>
        <v>93916.551785186544</v>
      </c>
      <c r="AI75" s="7">
        <f t="shared" ca="1" si="46"/>
        <v>95794.882820890271</v>
      </c>
      <c r="AJ75" s="7">
        <f t="shared" ca="1" si="46"/>
        <v>97710.780477308072</v>
      </c>
      <c r="AK75" s="7">
        <f t="shared" ca="1" si="46"/>
        <v>99664.99608685424</v>
      </c>
      <c r="AL75" s="7">
        <f t="shared" ca="1" si="46"/>
        <v>101658.29600859132</v>
      </c>
      <c r="AM75" s="7">
        <f t="shared" ca="1" si="46"/>
        <v>103691.46192876315</v>
      </c>
    </row>
    <row r="76" spans="1:39" x14ac:dyDescent="0.2">
      <c r="A76" s="3" t="str">
        <f>TEXT(Inputs!$B$92,"")</f>
        <v>Car</v>
      </c>
      <c r="C76" s="7">
        <f ca="1">Inputs!B93*(1+A2inc)^ProRate</f>
        <v>38326.250080955608</v>
      </c>
      <c r="D76" s="7">
        <f t="shared" ref="D76:AM76" ca="1" si="47">C76*(1+A2inc)</f>
        <v>36409.937576907825</v>
      </c>
      <c r="E76" s="7">
        <f t="shared" ca="1" si="47"/>
        <v>34589.440698062434</v>
      </c>
      <c r="F76" s="7">
        <f t="shared" ca="1" si="47"/>
        <v>32859.968663159307</v>
      </c>
      <c r="G76" s="7">
        <f t="shared" ca="1" si="47"/>
        <v>31216.970230001341</v>
      </c>
      <c r="H76" s="7">
        <f t="shared" ca="1" si="47"/>
        <v>29656.121718501272</v>
      </c>
      <c r="I76" s="7">
        <f t="shared" ca="1" si="47"/>
        <v>28173.315632576207</v>
      </c>
      <c r="J76" s="7">
        <f t="shared" ca="1" si="47"/>
        <v>26764.649850947397</v>
      </c>
      <c r="K76" s="7">
        <f t="shared" ca="1" si="47"/>
        <v>25426.417358400027</v>
      </c>
      <c r="L76" s="7">
        <f t="shared" ca="1" si="47"/>
        <v>24155.096490480024</v>
      </c>
      <c r="M76" s="7">
        <f t="shared" ca="1" si="47"/>
        <v>22947.341665956021</v>
      </c>
      <c r="N76" s="7">
        <f t="shared" ca="1" si="47"/>
        <v>21799.974582658218</v>
      </c>
      <c r="O76" s="7">
        <f t="shared" ca="1" si="47"/>
        <v>20709.975853525306</v>
      </c>
      <c r="P76" s="7">
        <f t="shared" ca="1" si="47"/>
        <v>19674.47706084904</v>
      </c>
      <c r="Q76" s="7">
        <f t="shared" ca="1" si="47"/>
        <v>18690.753207806589</v>
      </c>
      <c r="R76" s="7">
        <f t="shared" ca="1" si="47"/>
        <v>17756.215547416257</v>
      </c>
      <c r="S76" s="7">
        <f t="shared" ca="1" si="47"/>
        <v>16868.404770045443</v>
      </c>
      <c r="T76" s="7">
        <f t="shared" ca="1" si="47"/>
        <v>16024.98453154317</v>
      </c>
      <c r="U76" s="7">
        <f t="shared" ca="1" si="47"/>
        <v>15223.735304966011</v>
      </c>
      <c r="V76" s="7">
        <f t="shared" ca="1" si="47"/>
        <v>14462.548539717709</v>
      </c>
      <c r="W76" s="7">
        <f t="shared" ca="1" si="47"/>
        <v>13739.421112731823</v>
      </c>
      <c r="X76" s="7">
        <f t="shared" ca="1" si="47"/>
        <v>13052.450057095231</v>
      </c>
      <c r="Y76" s="7">
        <f t="shared" ca="1" si="47"/>
        <v>12399.82755424047</v>
      </c>
      <c r="Z76" s="7">
        <f t="shared" ca="1" si="47"/>
        <v>11779.836176528446</v>
      </c>
      <c r="AA76" s="7">
        <f t="shared" ca="1" si="47"/>
        <v>11190.844367702024</v>
      </c>
      <c r="AB76" s="7">
        <f t="shared" ca="1" si="47"/>
        <v>10631.302149316922</v>
      </c>
      <c r="AC76" s="7">
        <f t="shared" ca="1" si="47"/>
        <v>10099.737041851075</v>
      </c>
      <c r="AD76" s="7">
        <f t="shared" ca="1" si="47"/>
        <v>9594.7501897585207</v>
      </c>
      <c r="AE76" s="7">
        <f t="shared" ca="1" si="47"/>
        <v>9115.0126802705945</v>
      </c>
      <c r="AF76" s="7">
        <f t="shared" ca="1" si="47"/>
        <v>8659.2620462570649</v>
      </c>
      <c r="AG76" s="7">
        <f t="shared" ca="1" si="47"/>
        <v>8226.2989439442117</v>
      </c>
      <c r="AH76" s="7">
        <f t="shared" ca="1" si="47"/>
        <v>7814.9839967470007</v>
      </c>
      <c r="AI76" s="7">
        <f t="shared" ca="1" si="47"/>
        <v>7424.23479690965</v>
      </c>
      <c r="AJ76" s="7">
        <f t="shared" ca="1" si="47"/>
        <v>7053.023057064167</v>
      </c>
      <c r="AK76" s="7">
        <f t="shared" ca="1" si="47"/>
        <v>6700.3719042109587</v>
      </c>
      <c r="AL76" s="7">
        <f t="shared" ca="1" si="47"/>
        <v>6365.3533090004103</v>
      </c>
      <c r="AM76" s="7">
        <f t="shared" ca="1" si="47"/>
        <v>6047.0856435503892</v>
      </c>
    </row>
    <row r="77" spans="1:39" x14ac:dyDescent="0.2">
      <c r="A77" s="3" t="str">
        <f>TEXT(Inputs!$B$97,"")</f>
        <v>Painting</v>
      </c>
      <c r="C77" s="7">
        <f ca="1">Inputs!B98*(1+A3inc)^ProRate</f>
        <v>20498.764350764995</v>
      </c>
      <c r="D77" s="7">
        <f t="shared" ref="D77:AM77" ca="1" si="48">C77*(1+A3inc)</f>
        <v>21113.727281287946</v>
      </c>
      <c r="E77" s="7">
        <f t="shared" ca="1" si="48"/>
        <v>21747.139099726584</v>
      </c>
      <c r="F77" s="7">
        <f t="shared" ca="1" si="48"/>
        <v>22399.553272718382</v>
      </c>
      <c r="G77" s="7">
        <f t="shared" ca="1" si="48"/>
        <v>23071.539870899935</v>
      </c>
      <c r="H77" s="7">
        <f t="shared" ca="1" si="48"/>
        <v>23763.686067026934</v>
      </c>
      <c r="I77" s="7">
        <f t="shared" ca="1" si="48"/>
        <v>24476.596649037743</v>
      </c>
      <c r="J77" s="7">
        <f t="shared" ca="1" si="48"/>
        <v>25210.894548508877</v>
      </c>
      <c r="K77" s="7">
        <f t="shared" ca="1" si="48"/>
        <v>25967.221384964145</v>
      </c>
      <c r="L77" s="7">
        <f t="shared" ca="1" si="48"/>
        <v>26746.238026513071</v>
      </c>
      <c r="M77" s="7">
        <f t="shared" ca="1" si="48"/>
        <v>27548.625167308463</v>
      </c>
      <c r="N77" s="7">
        <f t="shared" ca="1" si="48"/>
        <v>28375.083922327718</v>
      </c>
      <c r="O77" s="7">
        <f t="shared" ca="1" si="48"/>
        <v>29226.336439997551</v>
      </c>
      <c r="P77" s="7">
        <f t="shared" ca="1" si="48"/>
        <v>30103.126533197479</v>
      </c>
      <c r="Q77" s="7">
        <f t="shared" ca="1" si="48"/>
        <v>31006.220329193406</v>
      </c>
      <c r="R77" s="7">
        <f t="shared" ca="1" si="48"/>
        <v>31936.406939069209</v>
      </c>
      <c r="S77" s="7">
        <f t="shared" ca="1" si="48"/>
        <v>32894.499147241288</v>
      </c>
      <c r="T77" s="7">
        <f t="shared" ca="1" si="48"/>
        <v>33881.334121658525</v>
      </c>
      <c r="U77" s="7">
        <f t="shared" ca="1" si="48"/>
        <v>34897.774145308278</v>
      </c>
      <c r="V77" s="7">
        <f t="shared" ca="1" si="48"/>
        <v>35944.707369667529</v>
      </c>
      <c r="W77" s="7">
        <f t="shared" ca="1" si="48"/>
        <v>37023.048590757557</v>
      </c>
      <c r="X77" s="7">
        <f t="shared" ca="1" si="48"/>
        <v>38133.740048480286</v>
      </c>
      <c r="Y77" s="7">
        <f t="shared" ca="1" si="48"/>
        <v>39277.752249934696</v>
      </c>
      <c r="Z77" s="7">
        <f t="shared" ca="1" si="48"/>
        <v>40456.08481743274</v>
      </c>
      <c r="AA77" s="7">
        <f t="shared" ca="1" si="48"/>
        <v>41669.767361955724</v>
      </c>
      <c r="AB77" s="7">
        <f t="shared" ca="1" si="48"/>
        <v>42919.860382814397</v>
      </c>
      <c r="AC77" s="7">
        <f t="shared" ca="1" si="48"/>
        <v>44207.456194298829</v>
      </c>
      <c r="AD77" s="7">
        <f t="shared" ca="1" si="48"/>
        <v>45533.679880127798</v>
      </c>
      <c r="AE77" s="7">
        <f t="shared" ca="1" si="48"/>
        <v>46899.690276531634</v>
      </c>
      <c r="AF77" s="7">
        <f t="shared" ca="1" si="48"/>
        <v>48306.680984827581</v>
      </c>
      <c r="AG77" s="7">
        <f t="shared" ca="1" si="48"/>
        <v>49755.881414372408</v>
      </c>
      <c r="AH77" s="7">
        <f t="shared" ca="1" si="48"/>
        <v>51248.557856803585</v>
      </c>
      <c r="AI77" s="7">
        <f t="shared" ca="1" si="48"/>
        <v>52786.014592507694</v>
      </c>
      <c r="AJ77" s="7">
        <f t="shared" ca="1" si="48"/>
        <v>54369.59503028293</v>
      </c>
      <c r="AK77" s="7">
        <f t="shared" ca="1" si="48"/>
        <v>56000.682881191417</v>
      </c>
      <c r="AL77" s="7">
        <f t="shared" ca="1" si="48"/>
        <v>57680.70336762716</v>
      </c>
      <c r="AM77" s="7">
        <f t="shared" ca="1" si="48"/>
        <v>59411.12446865598</v>
      </c>
    </row>
    <row r="78" spans="1:39" x14ac:dyDescent="0.2">
      <c r="A78" s="3" t="str">
        <f>TEXT(Inputs!$B$102,"")</f>
        <v>Boat</v>
      </c>
      <c r="C78" s="7">
        <f ca="1">Inputs!B103*(1+A4inc)^ProRate</f>
        <v>172468.12536430024</v>
      </c>
      <c r="D78" s="7">
        <f t="shared" ref="D78:AM78" ca="1" si="49">C78*(1+A4inc)</f>
        <v>163844.71909608523</v>
      </c>
      <c r="E78" s="7">
        <f t="shared" ca="1" si="49"/>
        <v>155652.48314128097</v>
      </c>
      <c r="F78" s="7">
        <f t="shared" ca="1" si="49"/>
        <v>147869.85898421693</v>
      </c>
      <c r="G78" s="7">
        <f t="shared" ca="1" si="49"/>
        <v>140476.36603500607</v>
      </c>
      <c r="H78" s="7">
        <f t="shared" ca="1" si="49"/>
        <v>133452.54773325575</v>
      </c>
      <c r="I78" s="7">
        <f t="shared" ca="1" si="49"/>
        <v>126779.92034659296</v>
      </c>
      <c r="J78" s="7">
        <f t="shared" ca="1" si="49"/>
        <v>120440.9243292633</v>
      </c>
      <c r="K78" s="7">
        <f t="shared" ca="1" si="49"/>
        <v>114418.87811280013</v>
      </c>
      <c r="L78" s="7">
        <f t="shared" ca="1" si="49"/>
        <v>108697.93420716011</v>
      </c>
      <c r="M78" s="7">
        <f t="shared" ca="1" si="49"/>
        <v>103263.03749680211</v>
      </c>
      <c r="N78" s="7">
        <f t="shared" ca="1" si="49"/>
        <v>98099.885621961992</v>
      </c>
      <c r="O78" s="7">
        <f t="shared" ca="1" si="49"/>
        <v>93194.891340863891</v>
      </c>
      <c r="P78" s="7">
        <f t="shared" ca="1" si="49"/>
        <v>88535.146773820699</v>
      </c>
      <c r="Q78" s="7">
        <f t="shared" ca="1" si="49"/>
        <v>84108.389435129662</v>
      </c>
      <c r="R78" s="7">
        <f t="shared" ca="1" si="49"/>
        <v>79902.96996337318</v>
      </c>
      <c r="S78" s="7">
        <f t="shared" ca="1" si="49"/>
        <v>75907.821465204514</v>
      </c>
      <c r="T78" s="7">
        <f t="shared" ca="1" si="49"/>
        <v>72112.43039194429</v>
      </c>
      <c r="U78" s="7">
        <f t="shared" ca="1" si="49"/>
        <v>68506.808872347072</v>
      </c>
      <c r="V78" s="7">
        <f t="shared" ca="1" si="49"/>
        <v>65081.468428729713</v>
      </c>
      <c r="W78" s="7">
        <f t="shared" ca="1" si="49"/>
        <v>61827.395007293228</v>
      </c>
      <c r="X78" s="7">
        <f t="shared" ca="1" si="49"/>
        <v>58736.025256928566</v>
      </c>
      <c r="Y78" s="7">
        <f t="shared" ca="1" si="49"/>
        <v>55799.223994082138</v>
      </c>
      <c r="Z78" s="7">
        <f t="shared" ca="1" si="49"/>
        <v>53009.262794378032</v>
      </c>
      <c r="AA78" s="7">
        <f t="shared" ca="1" si="49"/>
        <v>50358.799654659131</v>
      </c>
      <c r="AB78" s="7">
        <f t="shared" ca="1" si="49"/>
        <v>47840.85967192617</v>
      </c>
      <c r="AC78" s="7">
        <f t="shared" ca="1" si="49"/>
        <v>45448.816688329862</v>
      </c>
      <c r="AD78" s="7">
        <f t="shared" ca="1" si="49"/>
        <v>43176.375853913363</v>
      </c>
      <c r="AE78" s="7">
        <f t="shared" ca="1" si="49"/>
        <v>41017.557061217696</v>
      </c>
      <c r="AF78" s="7">
        <f t="shared" ca="1" si="49"/>
        <v>38966.679208156813</v>
      </c>
      <c r="AG78" s="7">
        <f t="shared" ca="1" si="49"/>
        <v>37018.34524774897</v>
      </c>
      <c r="AH78" s="7">
        <f t="shared" ca="1" si="49"/>
        <v>35167.427985361523</v>
      </c>
      <c r="AI78" s="7">
        <f t="shared" ca="1" si="49"/>
        <v>33409.056586093444</v>
      </c>
      <c r="AJ78" s="7">
        <f t="shared" ca="1" si="49"/>
        <v>31738.603756788769</v>
      </c>
      <c r="AK78" s="7">
        <f t="shared" ca="1" si="49"/>
        <v>30151.673568949329</v>
      </c>
      <c r="AL78" s="7">
        <f t="shared" ca="1" si="49"/>
        <v>28644.089890501862</v>
      </c>
      <c r="AM78" s="7">
        <f t="shared" ca="1" si="49"/>
        <v>27211.885395976769</v>
      </c>
    </row>
    <row r="79" spans="1:39" x14ac:dyDescent="0.2">
      <c r="A79" s="3" t="str">
        <f>TEXT(Inputs!$B$107,"")</f>
        <v>Antiques</v>
      </c>
      <c r="C79" s="7">
        <f ca="1">Inputs!B108*(1+A5inc)^ProRate</f>
        <v>83364.406415412173</v>
      </c>
      <c r="D79" s="7">
        <f t="shared" ref="D79:AM79" ca="1" si="50">C79*(1+A5inc)</f>
        <v>85031.694543720412</v>
      </c>
      <c r="E79" s="7">
        <f t="shared" ca="1" si="50"/>
        <v>86732.32843459482</v>
      </c>
      <c r="F79" s="7">
        <f t="shared" ca="1" si="50"/>
        <v>88466.975003286716</v>
      </c>
      <c r="G79" s="7">
        <f t="shared" ca="1" si="50"/>
        <v>90236.314503352449</v>
      </c>
      <c r="H79" s="7">
        <f t="shared" ca="1" si="50"/>
        <v>92041.040793419495</v>
      </c>
      <c r="I79" s="7">
        <f t="shared" ca="1" si="50"/>
        <v>93881.86160928788</v>
      </c>
      <c r="J79" s="7">
        <f t="shared" ca="1" si="50"/>
        <v>95759.498841473644</v>
      </c>
      <c r="K79" s="7">
        <f t="shared" ca="1" si="50"/>
        <v>97674.688818303111</v>
      </c>
      <c r="L79" s="7">
        <f t="shared" ca="1" si="50"/>
        <v>99628.182594669182</v>
      </c>
      <c r="M79" s="7">
        <f t="shared" ca="1" si="50"/>
        <v>101620.74624656257</v>
      </c>
      <c r="N79" s="7">
        <f t="shared" ca="1" si="50"/>
        <v>103653.16117149382</v>
      </c>
      <c r="O79" s="7">
        <f t="shared" ca="1" si="50"/>
        <v>105726.2243949237</v>
      </c>
      <c r="P79" s="7">
        <f t="shared" ca="1" si="50"/>
        <v>107840.74888282218</v>
      </c>
      <c r="Q79" s="7">
        <f t="shared" ca="1" si="50"/>
        <v>109997.56386047862</v>
      </c>
      <c r="R79" s="7">
        <f t="shared" ca="1" si="50"/>
        <v>112197.5151376882</v>
      </c>
      <c r="S79" s="7">
        <f t="shared" ca="1" si="50"/>
        <v>114441.46544044197</v>
      </c>
      <c r="T79" s="7">
        <f t="shared" ca="1" si="50"/>
        <v>116730.29474925081</v>
      </c>
      <c r="U79" s="7">
        <f t="shared" ca="1" si="50"/>
        <v>119064.90064423582</v>
      </c>
      <c r="V79" s="7">
        <f t="shared" ca="1" si="50"/>
        <v>121446.19865712053</v>
      </c>
      <c r="W79" s="7">
        <f t="shared" ca="1" si="50"/>
        <v>123875.12263026295</v>
      </c>
      <c r="X79" s="7">
        <f t="shared" ca="1" si="50"/>
        <v>126352.62508286821</v>
      </c>
      <c r="Y79" s="7">
        <f t="shared" ca="1" si="50"/>
        <v>128879.67758452558</v>
      </c>
      <c r="Z79" s="7">
        <f t="shared" ca="1" si="50"/>
        <v>131457.27113621609</v>
      </c>
      <c r="AA79" s="7">
        <f t="shared" ca="1" si="50"/>
        <v>134086.41655894043</v>
      </c>
      <c r="AB79" s="7">
        <f t="shared" ca="1" si="50"/>
        <v>136768.14489011923</v>
      </c>
      <c r="AC79" s="7">
        <f t="shared" ca="1" si="50"/>
        <v>139503.50778792161</v>
      </c>
      <c r="AD79" s="7">
        <f t="shared" ca="1" si="50"/>
        <v>142293.57794368005</v>
      </c>
      <c r="AE79" s="7">
        <f t="shared" ca="1" si="50"/>
        <v>145139.44950255365</v>
      </c>
      <c r="AF79" s="7">
        <f t="shared" ca="1" si="50"/>
        <v>148042.23849260472</v>
      </c>
      <c r="AG79" s="7">
        <f t="shared" ca="1" si="50"/>
        <v>151003.08326245681</v>
      </c>
      <c r="AH79" s="7">
        <f t="shared" ca="1" si="50"/>
        <v>154023.14492770596</v>
      </c>
      <c r="AI79" s="7">
        <f t="shared" ca="1" si="50"/>
        <v>157103.60782626009</v>
      </c>
      <c r="AJ79" s="7">
        <f t="shared" ca="1" si="50"/>
        <v>160245.67998278531</v>
      </c>
      <c r="AK79" s="7">
        <f t="shared" ca="1" si="50"/>
        <v>163450.59358244101</v>
      </c>
      <c r="AL79" s="7">
        <f t="shared" ca="1" si="50"/>
        <v>166719.60545408985</v>
      </c>
      <c r="AM79" s="7">
        <f t="shared" ca="1" si="50"/>
        <v>170053.99756317164</v>
      </c>
    </row>
    <row r="80" spans="1:39" x14ac:dyDescent="0.2">
      <c r="A80" s="4" t="s">
        <v>12</v>
      </c>
      <c r="C80" s="7">
        <f ca="1">Inputs!B10*(1+stinc)^ProRate</f>
        <v>31987.064369139065</v>
      </c>
      <c r="D80" s="7">
        <f ca="1">C80*(1+IF(AND(Inputs!$B$218&lt;&gt;"",D$2=Inputs!$B$218),-Inputs!$B$219,IF(AND(Inputs!$B$218&lt;&gt;"",D$2&gt;Inputs!$B$218,D$2&lt;=Inputs!$B$218+Inputs!$B$220),(1/(1-Inputs!$B$219))^(1/Inputs!$B$220)-1,IF(AND(Inputs!$B$223&lt;&gt;"",D$2=Inputs!$B$223),-Inputs!$B$224,IF(AND(Inputs!$B$223&lt;&gt;"",D$2&gt;Inputs!$B$223,D$2&lt;=Inputs!$B$223+Inputs!$B$225),(1/(1-Inputs!$B$224))^(1/Inputs!$B$225)-1,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stinc)))))))))))</f>
        <v>27189.004713768205</v>
      </c>
      <c r="E80" s="7">
        <f ca="1">D80*(1+IF(AND(Inputs!$B$218&lt;&gt;"",E$2=Inputs!$B$218),-Inputs!$B$219,IF(AND(Inputs!$B$218&lt;&gt;"",E$2&gt;Inputs!$B$218,E$2&lt;=Inputs!$B$218+Inputs!$B$220),(1/(1-Inputs!$B$219))^(1/Inputs!$B$220)-1,IF(AND(Inputs!$B$223&lt;&gt;"",E$2=Inputs!$B$223),-Inputs!$B$224,IF(AND(Inputs!$B$223&lt;&gt;"",E$2&gt;Inputs!$B$223,E$2&lt;=Inputs!$B$223+Inputs!$B$225),(1/(1-Inputs!$B$224))^(1/Inputs!$B$225)-1,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stinc)))))))))))</f>
        <v>31987.064369139065</v>
      </c>
      <c r="F80" s="7">
        <f ca="1">E80*(1+IF(AND(Inputs!$B$218&lt;&gt;"",F$2=Inputs!$B$218),-Inputs!$B$219,IF(AND(Inputs!$B$218&lt;&gt;"",F$2&gt;Inputs!$B$218,F$2&lt;=Inputs!$B$218+Inputs!$B$220),(1/(1-Inputs!$B$219))^(1/Inputs!$B$220)-1,IF(AND(Inputs!$B$223&lt;&gt;"",F$2=Inputs!$B$223),-Inputs!$B$224,IF(AND(Inputs!$B$223&lt;&gt;"",F$2&gt;Inputs!$B$223,F$2&lt;=Inputs!$B$223+Inputs!$B$225),(1/(1-Inputs!$B$224))^(1/Inputs!$B$225)-1,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stinc)))))))))))</f>
        <v>34546.029518670191</v>
      </c>
      <c r="G80" s="7">
        <f ca="1">F80*(1+IF(AND(Inputs!$B$218&lt;&gt;"",G$2=Inputs!$B$218),-Inputs!$B$219,IF(AND(Inputs!$B$218&lt;&gt;"",G$2&gt;Inputs!$B$218,G$2&lt;=Inputs!$B$218+Inputs!$B$220),(1/(1-Inputs!$B$219))^(1/Inputs!$B$220)-1,IF(AND(Inputs!$B$223&lt;&gt;"",G$2=Inputs!$B$223),-Inputs!$B$224,IF(AND(Inputs!$B$223&lt;&gt;"",G$2&gt;Inputs!$B$223,G$2&lt;=Inputs!$B$223+Inputs!$B$225),(1/(1-Inputs!$B$224))^(1/Inputs!$B$225)-1,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stinc)))))))))))</f>
        <v>37309.711880163806</v>
      </c>
      <c r="H80" s="7">
        <f ca="1">G80*(1+IF(AND(Inputs!$B$218&lt;&gt;"",H$2=Inputs!$B$218),-Inputs!$B$219,IF(AND(Inputs!$B$218&lt;&gt;"",H$2&gt;Inputs!$B$218,H$2&lt;=Inputs!$B$218+Inputs!$B$220),(1/(1-Inputs!$B$219))^(1/Inputs!$B$220)-1,IF(AND(Inputs!$B$223&lt;&gt;"",H$2=Inputs!$B$223),-Inputs!$B$224,IF(AND(Inputs!$B$223&lt;&gt;"",H$2&gt;Inputs!$B$223,H$2&lt;=Inputs!$B$223+Inputs!$B$225),(1/(1-Inputs!$B$224))^(1/Inputs!$B$225)-1,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stinc)))))))))))</f>
        <v>40294.488830576913</v>
      </c>
      <c r="I80" s="7">
        <f ca="1">H80*(1+IF(AND(Inputs!$B$218&lt;&gt;"",I$2=Inputs!$B$218),-Inputs!$B$219,IF(AND(Inputs!$B$218&lt;&gt;"",I$2&gt;Inputs!$B$218,I$2&lt;=Inputs!$B$218+Inputs!$B$220),(1/(1-Inputs!$B$219))^(1/Inputs!$B$220)-1,IF(AND(Inputs!$B$223&lt;&gt;"",I$2=Inputs!$B$223),-Inputs!$B$224,IF(AND(Inputs!$B$223&lt;&gt;"",I$2&gt;Inputs!$B$223,I$2&lt;=Inputs!$B$223+Inputs!$B$225),(1/(1-Inputs!$B$224))^(1/Inputs!$B$225)-1,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stinc)))))))))))</f>
        <v>32235.591064461532</v>
      </c>
      <c r="J80" s="7">
        <f ca="1">I80*(1+IF(AND(Inputs!$B$218&lt;&gt;"",J$2=Inputs!$B$218),-Inputs!$B$219,IF(AND(Inputs!$B$218&lt;&gt;"",J$2&gt;Inputs!$B$218,J$2&lt;=Inputs!$B$218+Inputs!$B$220),(1/(1-Inputs!$B$219))^(1/Inputs!$B$220)-1,IF(AND(Inputs!$B$223&lt;&gt;"",J$2=Inputs!$B$223),-Inputs!$B$224,IF(AND(Inputs!$B$223&lt;&gt;"",J$2&gt;Inputs!$B$223,J$2&lt;=Inputs!$B$223+Inputs!$B$225),(1/(1-Inputs!$B$224))^(1/Inputs!$B$225)-1,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stinc)))))))))))</f>
        <v>34724.73782147887</v>
      </c>
      <c r="K80" s="7">
        <f ca="1">J80*(1+IF(AND(Inputs!$B$218&lt;&gt;"",K$2=Inputs!$B$218),-Inputs!$B$219,IF(AND(Inputs!$B$218&lt;&gt;"",K$2&gt;Inputs!$B$218,K$2&lt;=Inputs!$B$218+Inputs!$B$220),(1/(1-Inputs!$B$219))^(1/Inputs!$B$220)-1,IF(AND(Inputs!$B$223&lt;&gt;"",K$2=Inputs!$B$223),-Inputs!$B$224,IF(AND(Inputs!$B$223&lt;&gt;"",K$2&gt;Inputs!$B$223,K$2&lt;=Inputs!$B$223+Inputs!$B$225),(1/(1-Inputs!$B$224))^(1/Inputs!$B$225)-1,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stinc)))))))))))</f>
        <v>37406.089882428132</v>
      </c>
      <c r="L80" s="7">
        <f ca="1">K80*(1+IF(AND(Inputs!$B$218&lt;&gt;"",L$2=Inputs!$B$218),-Inputs!$B$219,IF(AND(Inputs!$B$218&lt;&gt;"",L$2&gt;Inputs!$B$218,L$2&lt;=Inputs!$B$218+Inputs!$B$220),(1/(1-Inputs!$B$219))^(1/Inputs!$B$220)-1,IF(AND(Inputs!$B$223&lt;&gt;"",L$2=Inputs!$B$223),-Inputs!$B$224,IF(AND(Inputs!$B$223&lt;&gt;"",L$2&gt;Inputs!$B$223,L$2&lt;=Inputs!$B$223+Inputs!$B$225),(1/(1-Inputs!$B$224))^(1/Inputs!$B$225)-1,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stinc)))))))))))</f>
        <v>40294.48883057692</v>
      </c>
      <c r="M80" s="7">
        <f ca="1">L80*(1+IF(AND(Inputs!$B$218&lt;&gt;"",M$2=Inputs!$B$218),-Inputs!$B$219,IF(AND(Inputs!$B$218&lt;&gt;"",M$2&gt;Inputs!$B$218,M$2&lt;=Inputs!$B$218+Inputs!$B$220),(1/(1-Inputs!$B$219))^(1/Inputs!$B$220)-1,IF(AND(Inputs!$B$223&lt;&gt;"",M$2=Inputs!$B$223),-Inputs!$B$224,IF(AND(Inputs!$B$223&lt;&gt;"",M$2&gt;Inputs!$B$223,M$2&lt;=Inputs!$B$223+Inputs!$B$225),(1/(1-Inputs!$B$224))^(1/Inputs!$B$225)-1,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stinc)))))))))))</f>
        <v>43518.047937023075</v>
      </c>
      <c r="N80" s="7">
        <f ca="1">M80*(1+IF(AND(Inputs!$B$218&lt;&gt;"",N$2=Inputs!$B$218),-Inputs!$B$219,IF(AND(Inputs!$B$218&lt;&gt;"",N$2&gt;Inputs!$B$218,N$2&lt;=Inputs!$B$218+Inputs!$B$220),(1/(1-Inputs!$B$219))^(1/Inputs!$B$220)-1,IF(AND(Inputs!$B$223&lt;&gt;"",N$2=Inputs!$B$223),-Inputs!$B$224,IF(AND(Inputs!$B$223&lt;&gt;"",N$2&gt;Inputs!$B$223,N$2&lt;=Inputs!$B$223+Inputs!$B$225),(1/(1-Inputs!$B$224))^(1/Inputs!$B$225)-1,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stinc)))))))))))</f>
        <v>40036.604102061232</v>
      </c>
      <c r="O80" s="7">
        <f ca="1">N80*(1+IF(AND(Inputs!$B$218&lt;&gt;"",O$2=Inputs!$B$218),-Inputs!$B$219,IF(AND(Inputs!$B$218&lt;&gt;"",O$2&gt;Inputs!$B$218,O$2&lt;=Inputs!$B$218+Inputs!$B$220),(1/(1-Inputs!$B$219))^(1/Inputs!$B$220)-1,IF(AND(Inputs!$B$223&lt;&gt;"",O$2=Inputs!$B$223),-Inputs!$B$224,IF(AND(Inputs!$B$223&lt;&gt;"",O$2&gt;Inputs!$B$223,O$2&lt;=Inputs!$B$223+Inputs!$B$225),(1/(1-Inputs!$B$224))^(1/Inputs!$B$225)-1,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stinc)))))))))))</f>
        <v>41164.984650000522</v>
      </c>
      <c r="P80" s="7">
        <f ca="1">O80*(1+IF(AND(Inputs!$B$218&lt;&gt;"",P$2=Inputs!$B$218),-Inputs!$B$219,IF(AND(Inputs!$B$218&lt;&gt;"",P$2&gt;Inputs!$B$218,P$2&lt;=Inputs!$B$218+Inputs!$B$220),(1/(1-Inputs!$B$219))^(1/Inputs!$B$220)-1,IF(AND(Inputs!$B$223&lt;&gt;"",P$2=Inputs!$B$223),-Inputs!$B$224,IF(AND(Inputs!$B$223&lt;&gt;"",P$2&gt;Inputs!$B$223,P$2&lt;=Inputs!$B$223+Inputs!$B$225),(1/(1-Inputs!$B$224))^(1/Inputs!$B$225)-1,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stinc)))))))))))</f>
        <v>42325.167162405181</v>
      </c>
      <c r="Q80" s="7">
        <f ca="1">P80*(1+IF(AND(Inputs!$B$218&lt;&gt;"",Q$2=Inputs!$B$218),-Inputs!$B$219,IF(AND(Inputs!$B$218&lt;&gt;"",Q$2&gt;Inputs!$B$218,Q$2&lt;=Inputs!$B$218+Inputs!$B$220),(1/(1-Inputs!$B$219))^(1/Inputs!$B$220)-1,IF(AND(Inputs!$B$223&lt;&gt;"",Q$2=Inputs!$B$223),-Inputs!$B$224,IF(AND(Inputs!$B$223&lt;&gt;"",Q$2&gt;Inputs!$B$223,Q$2&lt;=Inputs!$B$223+Inputs!$B$225),(1/(1-Inputs!$B$224))^(1/Inputs!$B$225)-1,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stinc)))))))))))</f>
        <v>43518.047937023082</v>
      </c>
      <c r="R80" s="7">
        <f ca="1">Q80*(1+IF(AND(Inputs!$B$218&lt;&gt;"",R$2=Inputs!$B$218),-Inputs!$B$219,IF(AND(Inputs!$B$218&lt;&gt;"",R$2&gt;Inputs!$B$218,R$2&lt;=Inputs!$B$218+Inputs!$B$220),(1/(1-Inputs!$B$219))^(1/Inputs!$B$220)-1,IF(AND(Inputs!$B$223&lt;&gt;"",R$2=Inputs!$B$223),-Inputs!$B$224,IF(AND(Inputs!$B$223&lt;&gt;"",R$2&gt;Inputs!$B$223,R$2&lt;=Inputs!$B$223+Inputs!$B$225),(1/(1-Inputs!$B$224))^(1/Inputs!$B$225)-1,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stinc)))))))))))</f>
        <v>46999.491771984933</v>
      </c>
      <c r="S80" s="7">
        <f ca="1">R80*(1+IF(AND(Inputs!$B$218&lt;&gt;"",S$2=Inputs!$B$218),-Inputs!$B$219,IF(AND(Inputs!$B$218&lt;&gt;"",S$2&gt;Inputs!$B$218,S$2&lt;=Inputs!$B$218+Inputs!$B$220),(1/(1-Inputs!$B$219))^(1/Inputs!$B$220)-1,IF(AND(Inputs!$B$223&lt;&gt;"",S$2=Inputs!$B$223),-Inputs!$B$224,IF(AND(Inputs!$B$223&lt;&gt;"",S$2&gt;Inputs!$B$223,S$2&lt;=Inputs!$B$223+Inputs!$B$225),(1/(1-Inputs!$B$224))^(1/Inputs!$B$225)-1,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stinc)))))))))))</f>
        <v>50759.451113743729</v>
      </c>
      <c r="T80" s="7">
        <f ca="1">S80*(1+IF(AND(Inputs!$B$218&lt;&gt;"",T$2=Inputs!$B$218),-Inputs!$B$219,IF(AND(Inputs!$B$218&lt;&gt;"",T$2&gt;Inputs!$B$218,T$2&lt;=Inputs!$B$218+Inputs!$B$220),(1/(1-Inputs!$B$219))^(1/Inputs!$B$220)-1,IF(AND(Inputs!$B$223&lt;&gt;"",T$2=Inputs!$B$223),-Inputs!$B$224,IF(AND(Inputs!$B$223&lt;&gt;"",T$2&gt;Inputs!$B$223,T$2&lt;=Inputs!$B$223+Inputs!$B$225),(1/(1-Inputs!$B$224))^(1/Inputs!$B$225)-1,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stinc)))))))))))</f>
        <v>54820.20720284323</v>
      </c>
      <c r="U80" s="7">
        <f ca="1">T80*(1+IF(AND(Inputs!$B$218&lt;&gt;"",U$2=Inputs!$B$218),-Inputs!$B$219,IF(AND(Inputs!$B$218&lt;&gt;"",U$2&gt;Inputs!$B$218,U$2&lt;=Inputs!$B$218+Inputs!$B$220),(1/(1-Inputs!$B$219))^(1/Inputs!$B$220)-1,IF(AND(Inputs!$B$223&lt;&gt;"",U$2=Inputs!$B$223),-Inputs!$B$224,IF(AND(Inputs!$B$223&lt;&gt;"",U$2&gt;Inputs!$B$223,U$2&lt;=Inputs!$B$223+Inputs!$B$225),(1/(1-Inputs!$B$224))^(1/Inputs!$B$225)-1,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stinc)))))))))))</f>
        <v>59205.823779070692</v>
      </c>
      <c r="V80" s="7">
        <f ca="1">U80*(1+IF(AND(Inputs!$B$218&lt;&gt;"",V$2=Inputs!$B$218),-Inputs!$B$219,IF(AND(Inputs!$B$218&lt;&gt;"",V$2&gt;Inputs!$B$218,V$2&lt;=Inputs!$B$218+Inputs!$B$220),(1/(1-Inputs!$B$219))^(1/Inputs!$B$220)-1,IF(AND(Inputs!$B$223&lt;&gt;"",V$2=Inputs!$B$223),-Inputs!$B$224,IF(AND(Inputs!$B$223&lt;&gt;"",V$2&gt;Inputs!$B$223,V$2&lt;=Inputs!$B$223+Inputs!$B$225),(1/(1-Inputs!$B$224))^(1/Inputs!$B$225)-1,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stinc)))))))))))</f>
        <v>48548.775498837967</v>
      </c>
      <c r="W80" s="7">
        <f ca="1">V80*(1+IF(AND(Inputs!$B$218&lt;&gt;"",W$2=Inputs!$B$218),-Inputs!$B$219,IF(AND(Inputs!$B$218&lt;&gt;"",W$2&gt;Inputs!$B$218,W$2&lt;=Inputs!$B$218+Inputs!$B$220),(1/(1-Inputs!$B$219))^(1/Inputs!$B$220)-1,IF(AND(Inputs!$B$223&lt;&gt;"",W$2=Inputs!$B$223),-Inputs!$B$224,IF(AND(Inputs!$B$223&lt;&gt;"",W$2&gt;Inputs!$B$223,W$2&lt;=Inputs!$B$223+Inputs!$B$225),(1/(1-Inputs!$B$224))^(1/Inputs!$B$225)-1,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stinc)))))))))))</f>
        <v>53613.153674017958</v>
      </c>
      <c r="X80" s="7">
        <f ca="1">W80*(1+IF(AND(Inputs!$B$218&lt;&gt;"",X$2=Inputs!$B$218),-Inputs!$B$219,IF(AND(Inputs!$B$218&lt;&gt;"",X$2&gt;Inputs!$B$218,X$2&lt;=Inputs!$B$218+Inputs!$B$220),(1/(1-Inputs!$B$219))^(1/Inputs!$B$220)-1,IF(AND(Inputs!$B$223&lt;&gt;"",X$2=Inputs!$B$223),-Inputs!$B$224,IF(AND(Inputs!$B$223&lt;&gt;"",X$2&gt;Inputs!$B$223,X$2&lt;=Inputs!$B$223+Inputs!$B$225),(1/(1-Inputs!$B$224))^(1/Inputs!$B$225)-1,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stinc)))))))))))</f>
        <v>59205.823779070692</v>
      </c>
      <c r="Y80" s="7">
        <f ca="1">X80*(1+IF(AND(Inputs!$B$218&lt;&gt;"",Y$2=Inputs!$B$218),-Inputs!$B$219,IF(AND(Inputs!$B$218&lt;&gt;"",Y$2&gt;Inputs!$B$218,Y$2&lt;=Inputs!$B$218+Inputs!$B$220),(1/(1-Inputs!$B$219))^(1/Inputs!$B$220)-1,IF(AND(Inputs!$B$223&lt;&gt;"",Y$2=Inputs!$B$223),-Inputs!$B$224,IF(AND(Inputs!$B$223&lt;&gt;"",Y$2&gt;Inputs!$B$223,Y$2&lt;=Inputs!$B$223+Inputs!$B$225),(1/(1-Inputs!$B$224))^(1/Inputs!$B$225)-1,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stinc)))))))))))</f>
        <v>63942.289681396353</v>
      </c>
      <c r="Z80" s="7">
        <f ca="1">Y80*(1+IF(AND(Inputs!$B$218&lt;&gt;"",Z$2=Inputs!$B$218),-Inputs!$B$219,IF(AND(Inputs!$B$218&lt;&gt;"",Z$2&gt;Inputs!$B$218,Z$2&lt;=Inputs!$B$218+Inputs!$B$220),(1/(1-Inputs!$B$219))^(1/Inputs!$B$220)-1,IF(AND(Inputs!$B$223&lt;&gt;"",Z$2=Inputs!$B$223),-Inputs!$B$224,IF(AND(Inputs!$B$223&lt;&gt;"",Z$2&gt;Inputs!$B$223,Z$2&lt;=Inputs!$B$223+Inputs!$B$225),(1/(1-Inputs!$B$224))^(1/Inputs!$B$225)-1,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stinc)))))))))))</f>
        <v>69057.672855908066</v>
      </c>
      <c r="AA80" s="7">
        <f ca="1">Z80*(1+IF(AND(Inputs!$B$218&lt;&gt;"",AA$2=Inputs!$B$218),-Inputs!$B$219,IF(AND(Inputs!$B$218&lt;&gt;"",AA$2&gt;Inputs!$B$218,AA$2&lt;=Inputs!$B$218+Inputs!$B$220),(1/(1-Inputs!$B$219))^(1/Inputs!$B$220)-1,IF(AND(Inputs!$B$223&lt;&gt;"",AA$2=Inputs!$B$223),-Inputs!$B$224,IF(AND(Inputs!$B$223&lt;&gt;"",AA$2&gt;Inputs!$B$223,AA$2&lt;=Inputs!$B$223+Inputs!$B$225),(1/(1-Inputs!$B$224))^(1/Inputs!$B$225)-1,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stinc)))))))))))</f>
        <v>49721.524456253806</v>
      </c>
      <c r="AB80" s="7">
        <f ca="1">AA80*(1+IF(AND(Inputs!$B$218&lt;&gt;"",AB$2=Inputs!$B$218),-Inputs!$B$219,IF(AND(Inputs!$B$218&lt;&gt;"",AB$2&gt;Inputs!$B$218,AB$2&lt;=Inputs!$B$218+Inputs!$B$220),(1/(1-Inputs!$B$219))^(1/Inputs!$B$220)-1,IF(AND(Inputs!$B$223&lt;&gt;"",AB$2=Inputs!$B$223),-Inputs!$B$224,IF(AND(Inputs!$B$223&lt;&gt;"",AB$2&gt;Inputs!$B$223,AB$2&lt;=Inputs!$B$223+Inputs!$B$225),(1/(1-Inputs!$B$224))^(1/Inputs!$B$225)-1,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stinc)))))))))))</f>
        <v>52519.714049979637</v>
      </c>
      <c r="AC80" s="7">
        <f ca="1">AB80*(1+IF(AND(Inputs!$B$218&lt;&gt;"",AC$2=Inputs!$B$218),-Inputs!$B$219,IF(AND(Inputs!$B$218&lt;&gt;"",AC$2&gt;Inputs!$B$218,AC$2&lt;=Inputs!$B$218+Inputs!$B$220),(1/(1-Inputs!$B$219))^(1/Inputs!$B$220)-1,IF(AND(Inputs!$B$223&lt;&gt;"",AC$2=Inputs!$B$223),-Inputs!$B$224,IF(AND(Inputs!$B$223&lt;&gt;"",AC$2&gt;Inputs!$B$223,AC$2&lt;=Inputs!$B$223+Inputs!$B$225),(1/(1-Inputs!$B$224))^(1/Inputs!$B$225)-1,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stinc)))))))))))</f>
        <v>55475.377998887889</v>
      </c>
      <c r="AD80" s="7">
        <f ca="1">AC80*(1+IF(AND(Inputs!$B$218&lt;&gt;"",AD$2=Inputs!$B$218),-Inputs!$B$219,IF(AND(Inputs!$B$218&lt;&gt;"",AD$2&gt;Inputs!$B$218,AD$2&lt;=Inputs!$B$218+Inputs!$B$220),(1/(1-Inputs!$B$219))^(1/Inputs!$B$220)-1,IF(AND(Inputs!$B$223&lt;&gt;"",AD$2=Inputs!$B$223),-Inputs!$B$224,IF(AND(Inputs!$B$223&lt;&gt;"",AD$2&gt;Inputs!$B$223,AD$2&lt;=Inputs!$B$223+Inputs!$B$225),(1/(1-Inputs!$B$224))^(1/Inputs!$B$225)-1,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stinc)))))))))))</f>
        <v>58597.378523249739</v>
      </c>
      <c r="AE80" s="7">
        <f ca="1">AD80*(1+IF(AND(Inputs!$B$218&lt;&gt;"",AE$2=Inputs!$B$218),-Inputs!$B$219,IF(AND(Inputs!$B$218&lt;&gt;"",AE$2&gt;Inputs!$B$218,AE$2&lt;=Inputs!$B$218+Inputs!$B$220),(1/(1-Inputs!$B$219))^(1/Inputs!$B$220)-1,IF(AND(Inputs!$B$223&lt;&gt;"",AE$2=Inputs!$B$223),-Inputs!$B$224,IF(AND(Inputs!$B$223&lt;&gt;"",AE$2&gt;Inputs!$B$223,AE$2&lt;=Inputs!$B$223+Inputs!$B$225),(1/(1-Inputs!$B$224))^(1/Inputs!$B$225)-1,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stinc)))))))))))</f>
        <v>61895.076584531678</v>
      </c>
      <c r="AF80" s="7">
        <f ca="1">AE80*(1+IF(AND(Inputs!$B$218&lt;&gt;"",AF$2=Inputs!$B$218),-Inputs!$B$219,IF(AND(Inputs!$B$218&lt;&gt;"",AF$2&gt;Inputs!$B$218,AF$2&lt;=Inputs!$B$218+Inputs!$B$220),(1/(1-Inputs!$B$219))^(1/Inputs!$B$220)-1,IF(AND(Inputs!$B$223&lt;&gt;"",AF$2=Inputs!$B$223),-Inputs!$B$224,IF(AND(Inputs!$B$223&lt;&gt;"",AF$2&gt;Inputs!$B$223,AF$2&lt;=Inputs!$B$223+Inputs!$B$225),(1/(1-Inputs!$B$224))^(1/Inputs!$B$225)-1,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stinc)))))))))))</f>
        <v>65378.359953167732</v>
      </c>
      <c r="AG80" s="7">
        <f ca="1">AF80*(1+IF(AND(Inputs!$B$218&lt;&gt;"",AG$2=Inputs!$B$218),-Inputs!$B$219,IF(AND(Inputs!$B$218&lt;&gt;"",AG$2&gt;Inputs!$B$218,AG$2&lt;=Inputs!$B$218+Inputs!$B$220),(1/(1-Inputs!$B$219))^(1/Inputs!$B$220)-1,IF(AND(Inputs!$B$223&lt;&gt;"",AG$2=Inputs!$B$223),-Inputs!$B$224,IF(AND(Inputs!$B$223&lt;&gt;"",AG$2&gt;Inputs!$B$223,AG$2&lt;=Inputs!$B$223+Inputs!$B$225),(1/(1-Inputs!$B$224))^(1/Inputs!$B$225)-1,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stinc)))))))))))</f>
        <v>69057.672855908095</v>
      </c>
      <c r="AH80" s="7">
        <f ca="1">AG80*(1+IF(AND(Inputs!$B$218&lt;&gt;"",AH$2=Inputs!$B$218),-Inputs!$B$219,IF(AND(Inputs!$B$218&lt;&gt;"",AH$2&gt;Inputs!$B$218,AH$2&lt;=Inputs!$B$218+Inputs!$B$220),(1/(1-Inputs!$B$219))^(1/Inputs!$B$220)-1,IF(AND(Inputs!$B$223&lt;&gt;"",AH$2=Inputs!$B$223),-Inputs!$B$224,IF(AND(Inputs!$B$223&lt;&gt;"",AH$2&gt;Inputs!$B$223,AH$2&lt;=Inputs!$B$223+Inputs!$B$225),(1/(1-Inputs!$B$224))^(1/Inputs!$B$225)-1,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stinc)))))))))))</f>
        <v>74582.286684380742</v>
      </c>
      <c r="AI80" s="7">
        <f ca="1">AH80*(1+IF(AND(Inputs!$B$218&lt;&gt;"",AI$2=Inputs!$B$218),-Inputs!$B$219,IF(AND(Inputs!$B$218&lt;&gt;"",AI$2&gt;Inputs!$B$218,AI$2&lt;=Inputs!$B$218+Inputs!$B$220),(1/(1-Inputs!$B$219))^(1/Inputs!$B$220)-1,IF(AND(Inputs!$B$223&lt;&gt;"",AI$2=Inputs!$B$223),-Inputs!$B$224,IF(AND(Inputs!$B$223&lt;&gt;"",AI$2&gt;Inputs!$B$223,AI$2&lt;=Inputs!$B$223+Inputs!$B$225),(1/(1-Inputs!$B$224))^(1/Inputs!$B$225)-1,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stinc)))))))))))</f>
        <v>80548.869619131205</v>
      </c>
      <c r="AJ80" s="7">
        <f ca="1">AI80*(1+IF(AND(Inputs!$B$218&lt;&gt;"",AJ$2=Inputs!$B$218),-Inputs!$B$219,IF(AND(Inputs!$B$218&lt;&gt;"",AJ$2&gt;Inputs!$B$218,AJ$2&lt;=Inputs!$B$218+Inputs!$B$220),(1/(1-Inputs!$B$219))^(1/Inputs!$B$220)-1,IF(AND(Inputs!$B$223&lt;&gt;"",AJ$2=Inputs!$B$223),-Inputs!$B$224,IF(AND(Inputs!$B$223&lt;&gt;"",AJ$2&gt;Inputs!$B$223,AJ$2&lt;=Inputs!$B$223+Inputs!$B$225),(1/(1-Inputs!$B$224))^(1/Inputs!$B$225)-1,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stinc)))))))))))</f>
        <v>86992.779188661705</v>
      </c>
      <c r="AK80" s="7">
        <f ca="1">AJ80*(1+IF(AND(Inputs!$B$218&lt;&gt;"",AK$2=Inputs!$B$218),-Inputs!$B$219,IF(AND(Inputs!$B$218&lt;&gt;"",AK$2&gt;Inputs!$B$218,AK$2&lt;=Inputs!$B$218+Inputs!$B$220),(1/(1-Inputs!$B$219))^(1/Inputs!$B$220)-1,IF(AND(Inputs!$B$223&lt;&gt;"",AK$2=Inputs!$B$223),-Inputs!$B$224,IF(AND(Inputs!$B$223&lt;&gt;"",AK$2&gt;Inputs!$B$223,AK$2&lt;=Inputs!$B$223+Inputs!$B$225),(1/(1-Inputs!$B$224))^(1/Inputs!$B$225)-1,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stinc)))))))))))</f>
        <v>93952.201523754644</v>
      </c>
      <c r="AL80" s="7">
        <f ca="1">AK80*(1+IF(AND(Inputs!$B$218&lt;&gt;"",AL$2=Inputs!$B$218),-Inputs!$B$219,IF(AND(Inputs!$B$218&lt;&gt;"",AL$2&gt;Inputs!$B$218,AL$2&lt;=Inputs!$B$218+Inputs!$B$220),(1/(1-Inputs!$B$219))^(1/Inputs!$B$220)-1,IF(AND(Inputs!$B$223&lt;&gt;"",AL$2=Inputs!$B$223),-Inputs!$B$224,IF(AND(Inputs!$B$223&lt;&gt;"",AL$2&gt;Inputs!$B$223,AL$2&lt;=Inputs!$B$223+Inputs!$B$225),(1/(1-Inputs!$B$224))^(1/Inputs!$B$225)-1,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stinc)))))))))))</f>
        <v>101468.37764565503</v>
      </c>
      <c r="AM80" s="7">
        <f ca="1">AL80*(1+IF(AND(Inputs!$B$218&lt;&gt;"",AM$2=Inputs!$B$218),-Inputs!$B$219,IF(AND(Inputs!$B$218&lt;&gt;"",AM$2&gt;Inputs!$B$218,AM$2&lt;=Inputs!$B$218+Inputs!$B$220),(1/(1-Inputs!$B$219))^(1/Inputs!$B$220)-1,IF(AND(Inputs!$B$223&lt;&gt;"",AM$2=Inputs!$B$223),-Inputs!$B$224,IF(AND(Inputs!$B$223&lt;&gt;"",AM$2&gt;Inputs!$B$223,AM$2&lt;=Inputs!$B$223+Inputs!$B$225),(1/(1-Inputs!$B$224))^(1/Inputs!$B$225)-1,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stinc)))))))))))</f>
        <v>109585.84785730744</v>
      </c>
    </row>
    <row r="81" spans="1:39" x14ac:dyDescent="0.2">
      <c r="A81" s="4" t="s">
        <v>2</v>
      </c>
      <c r="C81" s="7">
        <f ca="1">-MAX(FV(Inputs!$B16/12,C$1*12+MthOff,Inputs!$B17,-Inputs!$B15),0)</f>
        <v>-43173.554028497994</v>
      </c>
      <c r="D81" s="7">
        <f ca="1">-MAX(FV(Inputs!$B16/12,D$1*12+MthOff,Inputs!$B17,-Inputs!$B15),0)</f>
        <v>-34753.61277530963</v>
      </c>
      <c r="E81" s="7">
        <f ca="1">-MAX(FV(Inputs!$B16/12,E$1*12+MthOff,Inputs!$B17,-Inputs!$B15),0)</f>
        <v>-26077.570951749931</v>
      </c>
      <c r="F81" s="7">
        <f ca="1">-MAX(FV(Inputs!$B16/12,F$1*12+MthOff,Inputs!$B17,-Inputs!$B15),0)</f>
        <v>-17137.639013905144</v>
      </c>
      <c r="G81" s="7">
        <f ca="1">-MAX(FV(Inputs!$B16/12,G$1*12+MthOff,Inputs!$B17,-Inputs!$B15),0)</f>
        <v>-7925.7904914290921</v>
      </c>
      <c r="H81" s="7">
        <f ca="1">-MAX(FV(Inputs!$B16/12,H$1*12+MthOff,Inputs!$B17,-Inputs!$B15),0)</f>
        <v>0</v>
      </c>
      <c r="I81" s="7">
        <f ca="1">-MAX(FV(Inputs!$B16/12,I$1*12+MthOff,Inputs!$B17,-Inputs!$B15),0)</f>
        <v>0</v>
      </c>
      <c r="J81" s="7">
        <f ca="1">-MAX(FV(Inputs!$B16/12,J$1*12+MthOff,Inputs!$B17,-Inputs!$B15),0)</f>
        <v>0</v>
      </c>
      <c r="K81" s="7">
        <f ca="1">-MAX(FV(Inputs!$B16/12,K$1*12+MthOff,Inputs!$B17,-Inputs!$B15),0)</f>
        <v>0</v>
      </c>
      <c r="L81" s="7">
        <f ca="1">-MAX(FV(Inputs!$B16/12,L$1*12+MthOff,Inputs!$B17,-Inputs!$B15),0)</f>
        <v>0</v>
      </c>
      <c r="M81" s="7">
        <f ca="1">-MAX(FV(Inputs!$B16/12,M$1*12+MthOff,Inputs!$B17,-Inputs!$B15),0)</f>
        <v>0</v>
      </c>
      <c r="N81" s="7">
        <f ca="1">-MAX(FV(Inputs!$B16/12,N$1*12+MthOff,Inputs!$B17,-Inputs!$B15),0)</f>
        <v>0</v>
      </c>
      <c r="O81" s="7">
        <f ca="1">-MAX(FV(Inputs!$B16/12,O$1*12+MthOff,Inputs!$B17,-Inputs!$B15),0)</f>
        <v>0</v>
      </c>
      <c r="P81" s="7">
        <f ca="1">-MAX(FV(Inputs!$B16/12,P$1*12+MthOff,Inputs!$B17,-Inputs!$B15),0)</f>
        <v>0</v>
      </c>
      <c r="Q81" s="7">
        <f ca="1">-MAX(FV(Inputs!$B16/12,Q$1*12+MthOff,Inputs!$B17,-Inputs!$B15),0)</f>
        <v>0</v>
      </c>
      <c r="R81" s="7">
        <f ca="1">-MAX(FV(Inputs!$B16/12,R$1*12+MthOff,Inputs!$B17,-Inputs!$B15),0)</f>
        <v>0</v>
      </c>
      <c r="S81" s="7">
        <f ca="1">-MAX(FV(Inputs!$B16/12,S$1*12+MthOff,Inputs!$B17,-Inputs!$B15),0)</f>
        <v>0</v>
      </c>
      <c r="T81" s="7">
        <f ca="1">-MAX(FV(Inputs!$B16/12,T$1*12+MthOff,Inputs!$B17,-Inputs!$B15),0)</f>
        <v>0</v>
      </c>
      <c r="U81" s="7">
        <f ca="1">-MAX(FV(Inputs!$B16/12,U$1*12+MthOff,Inputs!$B17,-Inputs!$B15),0)</f>
        <v>0</v>
      </c>
      <c r="V81" s="7">
        <f ca="1">-MAX(FV(Inputs!$B16/12,V$1*12+MthOff,Inputs!$B17,-Inputs!$B15),0)</f>
        <v>0</v>
      </c>
      <c r="W81" s="7">
        <f ca="1">-MAX(FV(Inputs!$B16/12,W$1*12+MthOff,Inputs!$B17,-Inputs!$B15),0)</f>
        <v>0</v>
      </c>
      <c r="X81" s="7">
        <f ca="1">-MAX(FV(Inputs!$B16/12,X$1*12+MthOff,Inputs!$B17,-Inputs!$B15),0)</f>
        <v>0</v>
      </c>
      <c r="Y81" s="7">
        <f ca="1">-MAX(FV(Inputs!$B16/12,Y$1*12+MthOff,Inputs!$B17,-Inputs!$B15),0)</f>
        <v>0</v>
      </c>
      <c r="Z81" s="7">
        <f ca="1">-MAX(FV(Inputs!$B16/12,Z$1*12+MthOff,Inputs!$B17,-Inputs!$B15),0)</f>
        <v>0</v>
      </c>
      <c r="AA81" s="7">
        <f ca="1">-MAX(FV(Inputs!$B16/12,AA$1*12+MthOff,Inputs!$B17,-Inputs!$B15),0)</f>
        <v>0</v>
      </c>
      <c r="AB81" s="7">
        <f ca="1">-MAX(FV(Inputs!$B16/12,AB$1*12+MthOff,Inputs!$B17,-Inputs!$B15),0)</f>
        <v>0</v>
      </c>
      <c r="AC81" s="7">
        <f ca="1">-MAX(FV(Inputs!$B16/12,AC$1*12+MthOff,Inputs!$B17,-Inputs!$B15),0)</f>
        <v>0</v>
      </c>
      <c r="AD81" s="7">
        <f ca="1">-MAX(FV(Inputs!$B16/12,AD$1*12+MthOff,Inputs!$B17,-Inputs!$B15),0)</f>
        <v>0</v>
      </c>
      <c r="AE81" s="7">
        <f ca="1">-MAX(FV(Inputs!$B16/12,AE$1*12+MthOff,Inputs!$B17,-Inputs!$B15),0)</f>
        <v>0</v>
      </c>
      <c r="AF81" s="7">
        <f ca="1">-MAX(FV(Inputs!$B16/12,AF$1*12+MthOff,Inputs!$B17,-Inputs!$B15),0)</f>
        <v>0</v>
      </c>
      <c r="AG81" s="7">
        <f ca="1">-MAX(FV(Inputs!$B16/12,AG$1*12+MthOff,Inputs!$B17,-Inputs!$B15),0)</f>
        <v>0</v>
      </c>
      <c r="AH81" s="7">
        <f ca="1">-MAX(FV(Inputs!$B16/12,AH$1*12+MthOff,Inputs!$B17,-Inputs!$B15),0)</f>
        <v>0</v>
      </c>
      <c r="AI81" s="7">
        <f ca="1">-MAX(FV(Inputs!$B16/12,AI$1*12+MthOff,Inputs!$B17,-Inputs!$B15),0)</f>
        <v>0</v>
      </c>
      <c r="AJ81" s="7">
        <f ca="1">-MAX(FV(Inputs!$B16/12,AJ$1*12+MthOff,Inputs!$B17,-Inputs!$B15),0)</f>
        <v>0</v>
      </c>
      <c r="AK81" s="7">
        <f ca="1">-MAX(FV(Inputs!$B16/12,AK$1*12+MthOff,Inputs!$B17,-Inputs!$B15),0)</f>
        <v>0</v>
      </c>
      <c r="AL81" s="7">
        <f ca="1">-MAX(FV(Inputs!$B16/12,AL$1*12+MthOff,Inputs!$B17,-Inputs!$B15),0)</f>
        <v>0</v>
      </c>
      <c r="AM81" s="7">
        <f ca="1">-MAX(FV(Inputs!$B16/12,AM$1*12+MthOff,Inputs!$B17,-Inputs!$B15),0)</f>
        <v>0</v>
      </c>
    </row>
    <row r="82" spans="1:39" x14ac:dyDescent="0.2">
      <c r="A82" s="4" t="s">
        <v>198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x14ac:dyDescent="0.2">
      <c r="A83" s="3" t="str">
        <f>TEXT(Inputs!$B$60,"")</f>
        <v>Sliema</v>
      </c>
      <c r="C83" s="7">
        <f ca="1">-MAX(FV(Inputs!$B128/12,C$1*12+MthOff,Inputs!$B129,-Inputs!$B127),0)</f>
        <v>-46207.530015832221</v>
      </c>
      <c r="D83" s="7">
        <f ca="1">-MAX(FV(Inputs!$B128/12,D$1*12+MthOff,Inputs!$B129,-Inputs!$B127),0)</f>
        <v>-41529.784875172016</v>
      </c>
      <c r="E83" s="7">
        <f ca="1">-MAX(FV(Inputs!$B128/12,E$1*12+MthOff,Inputs!$B129,-Inputs!$B127),0)</f>
        <v>-36709.76163986107</v>
      </c>
      <c r="F83" s="7">
        <f ca="1">-MAX(FV(Inputs!$B128/12,F$1*12+MthOff,Inputs!$B129,-Inputs!$B127),0)</f>
        <v>-31743.132785502858</v>
      </c>
      <c r="G83" s="7">
        <f ca="1">-MAX(FV(Inputs!$B128/12,G$1*12+MthOff,Inputs!$B129,-Inputs!$B127),0)</f>
        <v>-26625.439161905048</v>
      </c>
      <c r="H83" s="7">
        <f ca="1">-MAX(FV(Inputs!$B128/12,H$1*12+MthOff,Inputs!$B129,-Inputs!$B127),0)</f>
        <v>-21352.085989555409</v>
      </c>
      <c r="I83" s="7">
        <f ca="1">-MAX(FV(Inputs!$B128/12,I$1*12+MthOff,Inputs!$B129,-Inputs!$B127),0)</f>
        <v>-15918.338734325836</v>
      </c>
      <c r="J83" s="7">
        <f ca="1">-MAX(FV(Inputs!$B128/12,J$1*12+MthOff,Inputs!$B129,-Inputs!$B127),0)</f>
        <v>-10319.318856702368</v>
      </c>
      <c r="K83" s="7">
        <f ca="1">-MAX(FV(Inputs!$B128/12,K$1*12+MthOff,Inputs!$B129,-Inputs!$B127),0)</f>
        <v>-4549.9994317232195</v>
      </c>
      <c r="L83" s="7">
        <f ca="1">-MAX(FV(Inputs!$B128/12,L$1*12+MthOff,Inputs!$B129,-Inputs!$B127),0)</f>
        <v>0</v>
      </c>
      <c r="M83" s="7">
        <f ca="1">-MAX(FV(Inputs!$B128/12,M$1*12+MthOff,Inputs!$B129,-Inputs!$B127),0)</f>
        <v>0</v>
      </c>
      <c r="N83" s="7">
        <f ca="1">-MAX(FV(Inputs!$B128/12,N$1*12+MthOff,Inputs!$B129,-Inputs!$B127),0)</f>
        <v>0</v>
      </c>
      <c r="O83" s="7">
        <f ca="1">-MAX(FV(Inputs!$B128/12,O$1*12+MthOff,Inputs!$B129,-Inputs!$B127),0)</f>
        <v>0</v>
      </c>
      <c r="P83" s="7">
        <f ca="1">-MAX(FV(Inputs!$B128/12,P$1*12+MthOff,Inputs!$B129,-Inputs!$B127),0)</f>
        <v>0</v>
      </c>
      <c r="Q83" s="7">
        <f ca="1">-MAX(FV(Inputs!$B128/12,Q$1*12+MthOff,Inputs!$B129,-Inputs!$B127),0)</f>
        <v>0</v>
      </c>
      <c r="R83" s="7">
        <f ca="1">-MAX(FV(Inputs!$B128/12,R$1*12+MthOff,Inputs!$B129,-Inputs!$B127),0)</f>
        <v>0</v>
      </c>
      <c r="S83" s="7">
        <f ca="1">-MAX(FV(Inputs!$B128/12,S$1*12+MthOff,Inputs!$B129,-Inputs!$B127),0)</f>
        <v>0</v>
      </c>
      <c r="T83" s="7">
        <f ca="1">-MAX(FV(Inputs!$B128/12,T$1*12+MthOff,Inputs!$B129,-Inputs!$B127),0)</f>
        <v>0</v>
      </c>
      <c r="U83" s="7">
        <f ca="1">-MAX(FV(Inputs!$B128/12,U$1*12+MthOff,Inputs!$B129,-Inputs!$B127),0)</f>
        <v>0</v>
      </c>
      <c r="V83" s="7">
        <f ca="1">-MAX(FV(Inputs!$B128/12,V$1*12+MthOff,Inputs!$B129,-Inputs!$B127),0)</f>
        <v>0</v>
      </c>
      <c r="W83" s="7">
        <f ca="1">-MAX(FV(Inputs!$B128/12,W$1*12+MthOff,Inputs!$B129,-Inputs!$B127),0)</f>
        <v>0</v>
      </c>
      <c r="X83" s="7">
        <f ca="1">-MAX(FV(Inputs!$B128/12,X$1*12+MthOff,Inputs!$B129,-Inputs!$B127),0)</f>
        <v>0</v>
      </c>
      <c r="Y83" s="7">
        <f ca="1">-MAX(FV(Inputs!$B128/12,Y$1*12+MthOff,Inputs!$B129,-Inputs!$B127),0)</f>
        <v>0</v>
      </c>
      <c r="Z83" s="7">
        <f ca="1">-MAX(FV(Inputs!$B128/12,Z$1*12+MthOff,Inputs!$B129,-Inputs!$B127),0)</f>
        <v>0</v>
      </c>
      <c r="AA83" s="7">
        <f ca="1">-MAX(FV(Inputs!$B128/12,AA$1*12+MthOff,Inputs!$B129,-Inputs!$B127),0)</f>
        <v>0</v>
      </c>
      <c r="AB83" s="7">
        <f ca="1">-MAX(FV(Inputs!$B128/12,AB$1*12+MthOff,Inputs!$B129,-Inputs!$B127),0)</f>
        <v>0</v>
      </c>
      <c r="AC83" s="7">
        <f ca="1">-MAX(FV(Inputs!$B128/12,AC$1*12+MthOff,Inputs!$B129,-Inputs!$B127),0)</f>
        <v>0</v>
      </c>
      <c r="AD83" s="7">
        <f ca="1">-MAX(FV(Inputs!$B128/12,AD$1*12+MthOff,Inputs!$B129,-Inputs!$B127),0)</f>
        <v>0</v>
      </c>
      <c r="AE83" s="7">
        <f ca="1">-MAX(FV(Inputs!$B128/12,AE$1*12+MthOff,Inputs!$B129,-Inputs!$B127),0)</f>
        <v>0</v>
      </c>
      <c r="AF83" s="7">
        <f ca="1">-MAX(FV(Inputs!$B128/12,AF$1*12+MthOff,Inputs!$B129,-Inputs!$B127),0)</f>
        <v>0</v>
      </c>
      <c r="AG83" s="7">
        <f ca="1">-MAX(FV(Inputs!$B128/12,AG$1*12+MthOff,Inputs!$B129,-Inputs!$B127),0)</f>
        <v>0</v>
      </c>
      <c r="AH83" s="7">
        <f ca="1">-MAX(FV(Inputs!$B128/12,AH$1*12+MthOff,Inputs!$B129,-Inputs!$B127),0)</f>
        <v>0</v>
      </c>
      <c r="AI83" s="7">
        <f ca="1">-MAX(FV(Inputs!$B128/12,AI$1*12+MthOff,Inputs!$B129,-Inputs!$B127),0)</f>
        <v>0</v>
      </c>
      <c r="AJ83" s="7">
        <f ca="1">-MAX(FV(Inputs!$B128/12,AJ$1*12+MthOff,Inputs!$B129,-Inputs!$B127),0)</f>
        <v>0</v>
      </c>
      <c r="AK83" s="7">
        <f ca="1">-MAX(FV(Inputs!$B128/12,AK$1*12+MthOff,Inputs!$B129,-Inputs!$B127),0)</f>
        <v>0</v>
      </c>
      <c r="AL83" s="7">
        <f ca="1">-MAX(FV(Inputs!$B128/12,AL$1*12+MthOff,Inputs!$B129,-Inputs!$B127),0)</f>
        <v>0</v>
      </c>
      <c r="AM83" s="7">
        <f ca="1">-MAX(FV(Inputs!$B128/12,AM$1*12+MthOff,Inputs!$B129,-Inputs!$B127),0)</f>
        <v>0</v>
      </c>
    </row>
    <row r="84" spans="1:39" x14ac:dyDescent="0.2">
      <c r="A84" s="3" t="str">
        <f>TEXT(Inputs!$B$65,"")</f>
        <v>Gzira</v>
      </c>
      <c r="C84" s="7">
        <f ca="1">-MAX(FV(Inputs!$B133/12,C$1*12+MthOff,Inputs!$B134,-Inputs!$B132),0)</f>
        <v>-6627.6670411890118</v>
      </c>
      <c r="D84" s="7">
        <f ca="1">-MAX(FV(Inputs!$B133/12,D$1*12+MthOff,Inputs!$B134,-Inputs!$B132),0)</f>
        <v>-4339.3195483066884</v>
      </c>
      <c r="E84" s="7">
        <f ca="1">-MAX(FV(Inputs!$B133/12,E$1*12+MthOff,Inputs!$B134,-Inputs!$B132),0)</f>
        <v>-2004.7832357051393</v>
      </c>
      <c r="F84" s="7">
        <f ca="1">-MAX(FV(Inputs!$B133/12,F$1*12+MthOff,Inputs!$B134,-Inputs!$B132),0)</f>
        <v>0</v>
      </c>
      <c r="G84" s="7">
        <f ca="1">-MAX(FV(Inputs!$B133/12,G$1*12+MthOff,Inputs!$B134,-Inputs!$B132),0)</f>
        <v>0</v>
      </c>
      <c r="H84" s="7">
        <f ca="1">-MAX(FV(Inputs!$B133/12,H$1*12+MthOff,Inputs!$B134,-Inputs!$B132),0)</f>
        <v>0</v>
      </c>
      <c r="I84" s="7">
        <f ca="1">-MAX(FV(Inputs!$B133/12,I$1*12+MthOff,Inputs!$B134,-Inputs!$B132),0)</f>
        <v>0</v>
      </c>
      <c r="J84" s="7">
        <f ca="1">-MAX(FV(Inputs!$B133/12,J$1*12+MthOff,Inputs!$B134,-Inputs!$B132),0)</f>
        <v>0</v>
      </c>
      <c r="K84" s="7">
        <f ca="1">-MAX(FV(Inputs!$B133/12,K$1*12+MthOff,Inputs!$B134,-Inputs!$B132),0)</f>
        <v>0</v>
      </c>
      <c r="L84" s="7">
        <f ca="1">-MAX(FV(Inputs!$B133/12,L$1*12+MthOff,Inputs!$B134,-Inputs!$B132),0)</f>
        <v>0</v>
      </c>
      <c r="M84" s="7">
        <f ca="1">-MAX(FV(Inputs!$B133/12,M$1*12+MthOff,Inputs!$B134,-Inputs!$B132),0)</f>
        <v>0</v>
      </c>
      <c r="N84" s="7">
        <f ca="1">-MAX(FV(Inputs!$B133/12,N$1*12+MthOff,Inputs!$B134,-Inputs!$B132),0)</f>
        <v>0</v>
      </c>
      <c r="O84" s="7">
        <f ca="1">-MAX(FV(Inputs!$B133/12,O$1*12+MthOff,Inputs!$B134,-Inputs!$B132),0)</f>
        <v>0</v>
      </c>
      <c r="P84" s="7">
        <f ca="1">-MAX(FV(Inputs!$B133/12,P$1*12+MthOff,Inputs!$B134,-Inputs!$B132),0)</f>
        <v>0</v>
      </c>
      <c r="Q84" s="7">
        <f ca="1">-MAX(FV(Inputs!$B133/12,Q$1*12+MthOff,Inputs!$B134,-Inputs!$B132),0)</f>
        <v>0</v>
      </c>
      <c r="R84" s="7">
        <f ca="1">-MAX(FV(Inputs!$B133/12,R$1*12+MthOff,Inputs!$B134,-Inputs!$B132),0)</f>
        <v>0</v>
      </c>
      <c r="S84" s="7">
        <f ca="1">-MAX(FV(Inputs!$B133/12,S$1*12+MthOff,Inputs!$B134,-Inputs!$B132),0)</f>
        <v>0</v>
      </c>
      <c r="T84" s="7">
        <f ca="1">-MAX(FV(Inputs!$B133/12,T$1*12+MthOff,Inputs!$B134,-Inputs!$B132),0)</f>
        <v>0</v>
      </c>
      <c r="U84" s="7">
        <f ca="1">-MAX(FV(Inputs!$B133/12,U$1*12+MthOff,Inputs!$B134,-Inputs!$B132),0)</f>
        <v>0</v>
      </c>
      <c r="V84" s="7">
        <f ca="1">-MAX(FV(Inputs!$B133/12,V$1*12+MthOff,Inputs!$B134,-Inputs!$B132),0)</f>
        <v>0</v>
      </c>
      <c r="W84" s="7">
        <f ca="1">-MAX(FV(Inputs!$B133/12,W$1*12+MthOff,Inputs!$B134,-Inputs!$B132),0)</f>
        <v>0</v>
      </c>
      <c r="X84" s="7">
        <f ca="1">-MAX(FV(Inputs!$B133/12,X$1*12+MthOff,Inputs!$B134,-Inputs!$B132),0)</f>
        <v>0</v>
      </c>
      <c r="Y84" s="7">
        <f ca="1">-MAX(FV(Inputs!$B133/12,Y$1*12+MthOff,Inputs!$B134,-Inputs!$B132),0)</f>
        <v>0</v>
      </c>
      <c r="Z84" s="7">
        <f ca="1">-MAX(FV(Inputs!$B133/12,Z$1*12+MthOff,Inputs!$B134,-Inputs!$B132),0)</f>
        <v>0</v>
      </c>
      <c r="AA84" s="7">
        <f ca="1">-MAX(FV(Inputs!$B133/12,AA$1*12+MthOff,Inputs!$B134,-Inputs!$B132),0)</f>
        <v>0</v>
      </c>
      <c r="AB84" s="7">
        <f ca="1">-MAX(FV(Inputs!$B133/12,AB$1*12+MthOff,Inputs!$B134,-Inputs!$B132),0)</f>
        <v>0</v>
      </c>
      <c r="AC84" s="7">
        <f ca="1">-MAX(FV(Inputs!$B133/12,AC$1*12+MthOff,Inputs!$B134,-Inputs!$B132),0)</f>
        <v>0</v>
      </c>
      <c r="AD84" s="7">
        <f ca="1">-MAX(FV(Inputs!$B133/12,AD$1*12+MthOff,Inputs!$B134,-Inputs!$B132),0)</f>
        <v>0</v>
      </c>
      <c r="AE84" s="7">
        <f ca="1">-MAX(FV(Inputs!$B133/12,AE$1*12+MthOff,Inputs!$B134,-Inputs!$B132),0)</f>
        <v>0</v>
      </c>
      <c r="AF84" s="7">
        <f ca="1">-MAX(FV(Inputs!$B133/12,AF$1*12+MthOff,Inputs!$B134,-Inputs!$B132),0)</f>
        <v>0</v>
      </c>
      <c r="AG84" s="7">
        <f ca="1">-MAX(FV(Inputs!$B133/12,AG$1*12+MthOff,Inputs!$B134,-Inputs!$B132),0)</f>
        <v>0</v>
      </c>
      <c r="AH84" s="7">
        <f ca="1">-MAX(FV(Inputs!$B133/12,AH$1*12+MthOff,Inputs!$B134,-Inputs!$B132),0)</f>
        <v>0</v>
      </c>
      <c r="AI84" s="7">
        <f ca="1">-MAX(FV(Inputs!$B133/12,AI$1*12+MthOff,Inputs!$B134,-Inputs!$B132),0)</f>
        <v>0</v>
      </c>
      <c r="AJ84" s="7">
        <f ca="1">-MAX(FV(Inputs!$B133/12,AJ$1*12+MthOff,Inputs!$B134,-Inputs!$B132),0)</f>
        <v>0</v>
      </c>
      <c r="AK84" s="7">
        <f ca="1">-MAX(FV(Inputs!$B133/12,AK$1*12+MthOff,Inputs!$B134,-Inputs!$B132),0)</f>
        <v>0</v>
      </c>
      <c r="AL84" s="7">
        <f ca="1">-MAX(FV(Inputs!$B133/12,AL$1*12+MthOff,Inputs!$B134,-Inputs!$B132),0)</f>
        <v>0</v>
      </c>
      <c r="AM84" s="7">
        <f ca="1">-MAX(FV(Inputs!$B133/12,AM$1*12+MthOff,Inputs!$B134,-Inputs!$B132),0)</f>
        <v>0</v>
      </c>
    </row>
    <row r="85" spans="1:39" x14ac:dyDescent="0.2">
      <c r="A85" s="3" t="str">
        <f>TEXT(Inputs!$B$70,"")</f>
        <v>Qormi</v>
      </c>
      <c r="C85" s="7">
        <f ca="1">-MAX(FV(Inputs!$B138/12,C$1*12+MthOff,Inputs!$B139,-Inputs!$B137),0)</f>
        <v>-13089.450262401593</v>
      </c>
      <c r="D85" s="7">
        <f ca="1">-MAX(FV(Inputs!$B138/12,D$1*12+MthOff,Inputs!$B139,-Inputs!$B137),0)</f>
        <v>-10689.417507150618</v>
      </c>
      <c r="E85" s="7">
        <f ca="1">-MAX(FV(Inputs!$B138/12,E$1*12+MthOff,Inputs!$B139,-Inputs!$B137),0)</f>
        <v>-8166.5945211626622</v>
      </c>
      <c r="F85" s="7">
        <f ca="1">-MAX(FV(Inputs!$B138/12,F$1*12+MthOff,Inputs!$B139,-Inputs!$B137),0)</f>
        <v>-5514.6991231919146</v>
      </c>
      <c r="G85" s="7">
        <f ca="1">-MAX(FV(Inputs!$B138/12,G$1*12+MthOff,Inputs!$B139,-Inputs!$B137),0)</f>
        <v>-2727.1277236771257</v>
      </c>
      <c r="H85" s="7">
        <f ca="1">-MAX(FV(Inputs!$B138/12,H$1*12+MthOff,Inputs!$B139,-Inputs!$B137),0)</f>
        <v>0</v>
      </c>
      <c r="I85" s="7">
        <f ca="1">-MAX(FV(Inputs!$B138/12,I$1*12+MthOff,Inputs!$B139,-Inputs!$B137),0)</f>
        <v>0</v>
      </c>
      <c r="J85" s="7">
        <f ca="1">-MAX(FV(Inputs!$B138/12,J$1*12+MthOff,Inputs!$B139,-Inputs!$B137),0)</f>
        <v>0</v>
      </c>
      <c r="K85" s="7">
        <f ca="1">-MAX(FV(Inputs!$B138/12,K$1*12+MthOff,Inputs!$B139,-Inputs!$B137),0)</f>
        <v>0</v>
      </c>
      <c r="L85" s="7">
        <f ca="1">-MAX(FV(Inputs!$B138/12,L$1*12+MthOff,Inputs!$B139,-Inputs!$B137),0)</f>
        <v>0</v>
      </c>
      <c r="M85" s="7">
        <f ca="1">-MAX(FV(Inputs!$B138/12,M$1*12+MthOff,Inputs!$B139,-Inputs!$B137),0)</f>
        <v>0</v>
      </c>
      <c r="N85" s="7">
        <f ca="1">-MAX(FV(Inputs!$B138/12,N$1*12+MthOff,Inputs!$B139,-Inputs!$B137),0)</f>
        <v>0</v>
      </c>
      <c r="O85" s="7">
        <f ca="1">-MAX(FV(Inputs!$B138/12,O$1*12+MthOff,Inputs!$B139,-Inputs!$B137),0)</f>
        <v>0</v>
      </c>
      <c r="P85" s="7">
        <f ca="1">-MAX(FV(Inputs!$B138/12,P$1*12+MthOff,Inputs!$B139,-Inputs!$B137),0)</f>
        <v>0</v>
      </c>
      <c r="Q85" s="7">
        <f ca="1">-MAX(FV(Inputs!$B138/12,Q$1*12+MthOff,Inputs!$B139,-Inputs!$B137),0)</f>
        <v>0</v>
      </c>
      <c r="R85" s="7">
        <f ca="1">-MAX(FV(Inputs!$B138/12,R$1*12+MthOff,Inputs!$B139,-Inputs!$B137),0)</f>
        <v>0</v>
      </c>
      <c r="S85" s="7">
        <f ca="1">-MAX(FV(Inputs!$B138/12,S$1*12+MthOff,Inputs!$B139,-Inputs!$B137),0)</f>
        <v>0</v>
      </c>
      <c r="T85" s="7">
        <f ca="1">-MAX(FV(Inputs!$B138/12,T$1*12+MthOff,Inputs!$B139,-Inputs!$B137),0)</f>
        <v>0</v>
      </c>
      <c r="U85" s="7">
        <f ca="1">-MAX(FV(Inputs!$B138/12,U$1*12+MthOff,Inputs!$B139,-Inputs!$B137),0)</f>
        <v>0</v>
      </c>
      <c r="V85" s="7">
        <f ca="1">-MAX(FV(Inputs!$B138/12,V$1*12+MthOff,Inputs!$B139,-Inputs!$B137),0)</f>
        <v>0</v>
      </c>
      <c r="W85" s="7">
        <f ca="1">-MAX(FV(Inputs!$B138/12,W$1*12+MthOff,Inputs!$B139,-Inputs!$B137),0)</f>
        <v>0</v>
      </c>
      <c r="X85" s="7">
        <f ca="1">-MAX(FV(Inputs!$B138/12,X$1*12+MthOff,Inputs!$B139,-Inputs!$B137),0)</f>
        <v>0</v>
      </c>
      <c r="Y85" s="7">
        <f ca="1">-MAX(FV(Inputs!$B138/12,Y$1*12+MthOff,Inputs!$B139,-Inputs!$B137),0)</f>
        <v>0</v>
      </c>
      <c r="Z85" s="7">
        <f ca="1">-MAX(FV(Inputs!$B138/12,Z$1*12+MthOff,Inputs!$B139,-Inputs!$B137),0)</f>
        <v>0</v>
      </c>
      <c r="AA85" s="7">
        <f ca="1">-MAX(FV(Inputs!$B138/12,AA$1*12+MthOff,Inputs!$B139,-Inputs!$B137),0)</f>
        <v>0</v>
      </c>
      <c r="AB85" s="7">
        <f ca="1">-MAX(FV(Inputs!$B138/12,AB$1*12+MthOff,Inputs!$B139,-Inputs!$B137),0)</f>
        <v>0</v>
      </c>
      <c r="AC85" s="7">
        <f ca="1">-MAX(FV(Inputs!$B138/12,AC$1*12+MthOff,Inputs!$B139,-Inputs!$B137),0)</f>
        <v>0</v>
      </c>
      <c r="AD85" s="7">
        <f ca="1">-MAX(FV(Inputs!$B138/12,AD$1*12+MthOff,Inputs!$B139,-Inputs!$B137),0)</f>
        <v>0</v>
      </c>
      <c r="AE85" s="7">
        <f ca="1">-MAX(FV(Inputs!$B138/12,AE$1*12+MthOff,Inputs!$B139,-Inputs!$B137),0)</f>
        <v>0</v>
      </c>
      <c r="AF85" s="7">
        <f ca="1">-MAX(FV(Inputs!$B138/12,AF$1*12+MthOff,Inputs!$B139,-Inputs!$B137),0)</f>
        <v>0</v>
      </c>
      <c r="AG85" s="7">
        <f ca="1">-MAX(FV(Inputs!$B138/12,AG$1*12+MthOff,Inputs!$B139,-Inputs!$B137),0)</f>
        <v>0</v>
      </c>
      <c r="AH85" s="7">
        <f ca="1">-MAX(FV(Inputs!$B138/12,AH$1*12+MthOff,Inputs!$B139,-Inputs!$B137),0)</f>
        <v>0</v>
      </c>
      <c r="AI85" s="7">
        <f ca="1">-MAX(FV(Inputs!$B138/12,AI$1*12+MthOff,Inputs!$B139,-Inputs!$B137),0)</f>
        <v>0</v>
      </c>
      <c r="AJ85" s="7">
        <f ca="1">-MAX(FV(Inputs!$B138/12,AJ$1*12+MthOff,Inputs!$B139,-Inputs!$B137),0)</f>
        <v>0</v>
      </c>
      <c r="AK85" s="7">
        <f ca="1">-MAX(FV(Inputs!$B138/12,AK$1*12+MthOff,Inputs!$B139,-Inputs!$B137),0)</f>
        <v>0</v>
      </c>
      <c r="AL85" s="7">
        <f ca="1">-MAX(FV(Inputs!$B138/12,AL$1*12+MthOff,Inputs!$B139,-Inputs!$B137),0)</f>
        <v>0</v>
      </c>
      <c r="AM85" s="7">
        <f ca="1">-MAX(FV(Inputs!$B138/12,AM$1*12+MthOff,Inputs!$B139,-Inputs!$B137),0)</f>
        <v>0</v>
      </c>
    </row>
    <row r="86" spans="1:39" x14ac:dyDescent="0.2">
      <c r="A86" s="3" t="str">
        <f>TEXT(Inputs!$B$75,"")</f>
        <v>Gudja</v>
      </c>
      <c r="C86" s="7">
        <f ca="1">-MAX(FV(Inputs!$B143/12,C$1*12+MthOff,Inputs!$B144,-Inputs!$B142),0)</f>
        <v>-3952.5608629982789</v>
      </c>
      <c r="D86" s="7">
        <f ca="1">-MAX(FV(Inputs!$B143/12,D$1*12+MthOff,Inputs!$B144,-Inputs!$B142),0)</f>
        <v>-3063.4916845977205</v>
      </c>
      <c r="E86" s="7">
        <f ca="1">-MAX(FV(Inputs!$B143/12,E$1*12+MthOff,Inputs!$B144,-Inputs!$B142),0)</f>
        <v>-2156.4772176748579</v>
      </c>
      <c r="F86" s="7">
        <f ca="1">-MAX(FV(Inputs!$B143/12,F$1*12+MthOff,Inputs!$B144,-Inputs!$B142),0)</f>
        <v>-1231.15524814336</v>
      </c>
      <c r="G86" s="7">
        <f ca="1">-MAX(FV(Inputs!$B143/12,G$1*12+MthOff,Inputs!$B144,-Inputs!$B142),0)</f>
        <v>-287.15625085893407</v>
      </c>
      <c r="H86" s="7">
        <f ca="1">-MAX(FV(Inputs!$B143/12,H$1*12+MthOff,Inputs!$B144,-Inputs!$B142),0)</f>
        <v>0</v>
      </c>
      <c r="I86" s="7">
        <f ca="1">-MAX(FV(Inputs!$B143/12,I$1*12+MthOff,Inputs!$B144,-Inputs!$B142),0)</f>
        <v>0</v>
      </c>
      <c r="J86" s="7">
        <f ca="1">-MAX(FV(Inputs!$B143/12,J$1*12+MthOff,Inputs!$B144,-Inputs!$B142),0)</f>
        <v>0</v>
      </c>
      <c r="K86" s="7">
        <f ca="1">-MAX(FV(Inputs!$B143/12,K$1*12+MthOff,Inputs!$B144,-Inputs!$B142),0)</f>
        <v>0</v>
      </c>
      <c r="L86" s="7">
        <f ca="1">-MAX(FV(Inputs!$B143/12,L$1*12+MthOff,Inputs!$B144,-Inputs!$B142),0)</f>
        <v>0</v>
      </c>
      <c r="M86" s="7">
        <f ca="1">-MAX(FV(Inputs!$B143/12,M$1*12+MthOff,Inputs!$B144,-Inputs!$B142),0)</f>
        <v>0</v>
      </c>
      <c r="N86" s="7">
        <f ca="1">-MAX(FV(Inputs!$B143/12,N$1*12+MthOff,Inputs!$B144,-Inputs!$B142),0)</f>
        <v>0</v>
      </c>
      <c r="O86" s="7">
        <f ca="1">-MAX(FV(Inputs!$B143/12,O$1*12+MthOff,Inputs!$B144,-Inputs!$B142),0)</f>
        <v>0</v>
      </c>
      <c r="P86" s="7">
        <f ca="1">-MAX(FV(Inputs!$B143/12,P$1*12+MthOff,Inputs!$B144,-Inputs!$B142),0)</f>
        <v>0</v>
      </c>
      <c r="Q86" s="7">
        <f ca="1">-MAX(FV(Inputs!$B143/12,Q$1*12+MthOff,Inputs!$B144,-Inputs!$B142),0)</f>
        <v>0</v>
      </c>
      <c r="R86" s="7">
        <f ca="1">-MAX(FV(Inputs!$B143/12,R$1*12+MthOff,Inputs!$B144,-Inputs!$B142),0)</f>
        <v>0</v>
      </c>
      <c r="S86" s="7">
        <f ca="1">-MAX(FV(Inputs!$B143/12,S$1*12+MthOff,Inputs!$B144,-Inputs!$B142),0)</f>
        <v>0</v>
      </c>
      <c r="T86" s="7">
        <f ca="1">-MAX(FV(Inputs!$B143/12,T$1*12+MthOff,Inputs!$B144,-Inputs!$B142),0)</f>
        <v>0</v>
      </c>
      <c r="U86" s="7">
        <f ca="1">-MAX(FV(Inputs!$B143/12,U$1*12+MthOff,Inputs!$B144,-Inputs!$B142),0)</f>
        <v>0</v>
      </c>
      <c r="V86" s="7">
        <f ca="1">-MAX(FV(Inputs!$B143/12,V$1*12+MthOff,Inputs!$B144,-Inputs!$B142),0)</f>
        <v>0</v>
      </c>
      <c r="W86" s="7">
        <f ca="1">-MAX(FV(Inputs!$B143/12,W$1*12+MthOff,Inputs!$B144,-Inputs!$B142),0)</f>
        <v>0</v>
      </c>
      <c r="X86" s="7">
        <f ca="1">-MAX(FV(Inputs!$B143/12,X$1*12+MthOff,Inputs!$B144,-Inputs!$B142),0)</f>
        <v>0</v>
      </c>
      <c r="Y86" s="7">
        <f ca="1">-MAX(FV(Inputs!$B143/12,Y$1*12+MthOff,Inputs!$B144,-Inputs!$B142),0)</f>
        <v>0</v>
      </c>
      <c r="Z86" s="7">
        <f ca="1">-MAX(FV(Inputs!$B143/12,Z$1*12+MthOff,Inputs!$B144,-Inputs!$B142),0)</f>
        <v>0</v>
      </c>
      <c r="AA86" s="7">
        <f ca="1">-MAX(FV(Inputs!$B143/12,AA$1*12+MthOff,Inputs!$B144,-Inputs!$B142),0)</f>
        <v>0</v>
      </c>
      <c r="AB86" s="7">
        <f ca="1">-MAX(FV(Inputs!$B143/12,AB$1*12+MthOff,Inputs!$B144,-Inputs!$B142),0)</f>
        <v>0</v>
      </c>
      <c r="AC86" s="7">
        <f ca="1">-MAX(FV(Inputs!$B143/12,AC$1*12+MthOff,Inputs!$B144,-Inputs!$B142),0)</f>
        <v>0</v>
      </c>
      <c r="AD86" s="7">
        <f ca="1">-MAX(FV(Inputs!$B143/12,AD$1*12+MthOff,Inputs!$B144,-Inputs!$B142),0)</f>
        <v>0</v>
      </c>
      <c r="AE86" s="7">
        <f ca="1">-MAX(FV(Inputs!$B143/12,AE$1*12+MthOff,Inputs!$B144,-Inputs!$B142),0)</f>
        <v>0</v>
      </c>
      <c r="AF86" s="7">
        <f ca="1">-MAX(FV(Inputs!$B143/12,AF$1*12+MthOff,Inputs!$B144,-Inputs!$B142),0)</f>
        <v>0</v>
      </c>
      <c r="AG86" s="7">
        <f ca="1">-MAX(FV(Inputs!$B143/12,AG$1*12+MthOff,Inputs!$B144,-Inputs!$B142),0)</f>
        <v>0</v>
      </c>
      <c r="AH86" s="7">
        <f ca="1">-MAX(FV(Inputs!$B143/12,AH$1*12+MthOff,Inputs!$B144,-Inputs!$B142),0)</f>
        <v>0</v>
      </c>
      <c r="AI86" s="7">
        <f ca="1">-MAX(FV(Inputs!$B143/12,AI$1*12+MthOff,Inputs!$B144,-Inputs!$B142),0)</f>
        <v>0</v>
      </c>
      <c r="AJ86" s="7">
        <f ca="1">-MAX(FV(Inputs!$B143/12,AJ$1*12+MthOff,Inputs!$B144,-Inputs!$B142),0)</f>
        <v>0</v>
      </c>
      <c r="AK86" s="7">
        <f ca="1">-MAX(FV(Inputs!$B143/12,AK$1*12+MthOff,Inputs!$B144,-Inputs!$B142),0)</f>
        <v>0</v>
      </c>
      <c r="AL86" s="7">
        <f ca="1">-MAX(FV(Inputs!$B143/12,AL$1*12+MthOff,Inputs!$B144,-Inputs!$B142),0)</f>
        <v>0</v>
      </c>
      <c r="AM86" s="7">
        <f ca="1">-MAX(FV(Inputs!$B143/12,AM$1*12+MthOff,Inputs!$B144,-Inputs!$B142),0)</f>
        <v>0</v>
      </c>
    </row>
    <row r="87" spans="1:39" x14ac:dyDescent="0.2">
      <c r="A87" s="3" t="str">
        <f>TEXT(Inputs!$B$80,"")</f>
        <v>Marsa</v>
      </c>
      <c r="C87" s="7">
        <f ca="1">-MAX(FV(Inputs!$B148/12,C$1*12+MthOff,Inputs!$B149,-Inputs!$B147),0)</f>
        <v>-8551.2061659277369</v>
      </c>
      <c r="D87" s="7">
        <f ca="1">-MAX(FV(Inputs!$B148/12,D$1*12+MthOff,Inputs!$B149,-Inputs!$B147),0)</f>
        <v>-7351.3333523807905</v>
      </c>
      <c r="E87" s="7">
        <f ca="1">-MAX(FV(Inputs!$B148/12,E$1*12+MthOff,Inputs!$B149,-Inputs!$B147),0)</f>
        <v>-6114.965259035298</v>
      </c>
      <c r="F87" s="7">
        <f ca="1">-MAX(FV(Inputs!$B148/12,F$1*12+MthOff,Inputs!$B149,-Inputs!$B147),0)</f>
        <v>-4840.9918470333869</v>
      </c>
      <c r="G87" s="7">
        <f ca="1">-MAX(FV(Inputs!$B148/12,G$1*12+MthOff,Inputs!$B149,-Inputs!$B147),0)</f>
        <v>-3528.2693146230595</v>
      </c>
      <c r="H87" s="7">
        <f ca="1">-MAX(FV(Inputs!$B148/12,H$1*12+MthOff,Inputs!$B149,-Inputs!$B147),0)</f>
        <v>-2175.6190702275599</v>
      </c>
      <c r="I87" s="7">
        <f ca="1">-MAX(FV(Inputs!$B148/12,I$1*12+MthOff,Inputs!$B149,-Inputs!$B147),0)</f>
        <v>-781.82667427947126</v>
      </c>
      <c r="J87" s="7">
        <f ca="1">-MAX(FV(Inputs!$B148/12,J$1*12+MthOff,Inputs!$B149,-Inputs!$B147),0)</f>
        <v>0</v>
      </c>
      <c r="K87" s="7">
        <f ca="1">-MAX(FV(Inputs!$B148/12,K$1*12+MthOff,Inputs!$B149,-Inputs!$B147),0)</f>
        <v>0</v>
      </c>
      <c r="L87" s="7">
        <f ca="1">-MAX(FV(Inputs!$B148/12,L$1*12+MthOff,Inputs!$B149,-Inputs!$B147),0)</f>
        <v>0</v>
      </c>
      <c r="M87" s="7">
        <f ca="1">-MAX(FV(Inputs!$B148/12,M$1*12+MthOff,Inputs!$B149,-Inputs!$B147),0)</f>
        <v>0</v>
      </c>
      <c r="N87" s="7">
        <f ca="1">-MAX(FV(Inputs!$B148/12,N$1*12+MthOff,Inputs!$B149,-Inputs!$B147),0)</f>
        <v>0</v>
      </c>
      <c r="O87" s="7">
        <f ca="1">-MAX(FV(Inputs!$B148/12,O$1*12+MthOff,Inputs!$B149,-Inputs!$B147),0)</f>
        <v>0</v>
      </c>
      <c r="P87" s="7">
        <f ca="1">-MAX(FV(Inputs!$B148/12,P$1*12+MthOff,Inputs!$B149,-Inputs!$B147),0)</f>
        <v>0</v>
      </c>
      <c r="Q87" s="7">
        <f ca="1">-MAX(FV(Inputs!$B148/12,Q$1*12+MthOff,Inputs!$B149,-Inputs!$B147),0)</f>
        <v>0</v>
      </c>
      <c r="R87" s="7">
        <f ca="1">-MAX(FV(Inputs!$B148/12,R$1*12+MthOff,Inputs!$B149,-Inputs!$B147),0)</f>
        <v>0</v>
      </c>
      <c r="S87" s="7">
        <f ca="1">-MAX(FV(Inputs!$B148/12,S$1*12+MthOff,Inputs!$B149,-Inputs!$B147),0)</f>
        <v>0</v>
      </c>
      <c r="T87" s="7">
        <f ca="1">-MAX(FV(Inputs!$B148/12,T$1*12+MthOff,Inputs!$B149,-Inputs!$B147),0)</f>
        <v>0</v>
      </c>
      <c r="U87" s="7">
        <f ca="1">-MAX(FV(Inputs!$B148/12,U$1*12+MthOff,Inputs!$B149,-Inputs!$B147),0)</f>
        <v>0</v>
      </c>
      <c r="V87" s="7">
        <f ca="1">-MAX(FV(Inputs!$B148/12,V$1*12+MthOff,Inputs!$B149,-Inputs!$B147),0)</f>
        <v>0</v>
      </c>
      <c r="W87" s="7">
        <f ca="1">-MAX(FV(Inputs!$B148/12,W$1*12+MthOff,Inputs!$B149,-Inputs!$B147),0)</f>
        <v>0</v>
      </c>
      <c r="X87" s="7">
        <f ca="1">-MAX(FV(Inputs!$B148/12,X$1*12+MthOff,Inputs!$B149,-Inputs!$B147),0)</f>
        <v>0</v>
      </c>
      <c r="Y87" s="7">
        <f ca="1">-MAX(FV(Inputs!$B148/12,Y$1*12+MthOff,Inputs!$B149,-Inputs!$B147),0)</f>
        <v>0</v>
      </c>
      <c r="Z87" s="7">
        <f ca="1">-MAX(FV(Inputs!$B148/12,Z$1*12+MthOff,Inputs!$B149,-Inputs!$B147),0)</f>
        <v>0</v>
      </c>
      <c r="AA87" s="7">
        <f ca="1">-MAX(FV(Inputs!$B148/12,AA$1*12+MthOff,Inputs!$B149,-Inputs!$B147),0)</f>
        <v>0</v>
      </c>
      <c r="AB87" s="7">
        <f ca="1">-MAX(FV(Inputs!$B148/12,AB$1*12+MthOff,Inputs!$B149,-Inputs!$B147),0)</f>
        <v>0</v>
      </c>
      <c r="AC87" s="7">
        <f ca="1">-MAX(FV(Inputs!$B148/12,AC$1*12+MthOff,Inputs!$B149,-Inputs!$B147),0)</f>
        <v>0</v>
      </c>
      <c r="AD87" s="7">
        <f ca="1">-MAX(FV(Inputs!$B148/12,AD$1*12+MthOff,Inputs!$B149,-Inputs!$B147),0)</f>
        <v>0</v>
      </c>
      <c r="AE87" s="7">
        <f ca="1">-MAX(FV(Inputs!$B148/12,AE$1*12+MthOff,Inputs!$B149,-Inputs!$B147),0)</f>
        <v>0</v>
      </c>
      <c r="AF87" s="7">
        <f ca="1">-MAX(FV(Inputs!$B148/12,AF$1*12+MthOff,Inputs!$B149,-Inputs!$B147),0)</f>
        <v>0</v>
      </c>
      <c r="AG87" s="7">
        <f ca="1">-MAX(FV(Inputs!$B148/12,AG$1*12+MthOff,Inputs!$B149,-Inputs!$B147),0)</f>
        <v>0</v>
      </c>
      <c r="AH87" s="7">
        <f ca="1">-MAX(FV(Inputs!$B148/12,AH$1*12+MthOff,Inputs!$B149,-Inputs!$B147),0)</f>
        <v>0</v>
      </c>
      <c r="AI87" s="7">
        <f ca="1">-MAX(FV(Inputs!$B148/12,AI$1*12+MthOff,Inputs!$B149,-Inputs!$B147),0)</f>
        <v>0</v>
      </c>
      <c r="AJ87" s="7">
        <f ca="1">-MAX(FV(Inputs!$B148/12,AJ$1*12+MthOff,Inputs!$B149,-Inputs!$B147),0)</f>
        <v>0</v>
      </c>
      <c r="AK87" s="7">
        <f ca="1">-MAX(FV(Inputs!$B148/12,AK$1*12+MthOff,Inputs!$B149,-Inputs!$B147),0)</f>
        <v>0</v>
      </c>
      <c r="AL87" s="7">
        <f ca="1">-MAX(FV(Inputs!$B148/12,AL$1*12+MthOff,Inputs!$B149,-Inputs!$B147),0)</f>
        <v>0</v>
      </c>
      <c r="AM87" s="7">
        <f ca="1">-MAX(FV(Inputs!$B148/12,AM$1*12+MthOff,Inputs!$B149,-Inputs!$B147),0)</f>
        <v>0</v>
      </c>
    </row>
    <row r="88" spans="1:39" x14ac:dyDescent="0.2">
      <c r="A88" s="3" t="str">
        <f>TEXT(Inputs!$B$87,"")</f>
        <v>Jewelry</v>
      </c>
      <c r="C88" s="7">
        <f ca="1">-MAX(FV(Inputs!$B153/12,C$1*12+MthOff,Inputs!$B154,-Inputs!$B152),0)</f>
        <v>-1804.7138362359074</v>
      </c>
      <c r="D88" s="7">
        <f ca="1">-MAX(FV(Inputs!$B153/12,D$1*12+MthOff,Inputs!$B154,-Inputs!$B152),0)</f>
        <v>-947.12722711486958</v>
      </c>
      <c r="E88" s="7">
        <f ca="1">-MAX(FV(Inputs!$B153/12,E$1*12+MthOff,Inputs!$B154,-Inputs!$B152),0)</f>
        <v>-63.456300641196776</v>
      </c>
      <c r="F88" s="7">
        <f ca="1">-MAX(FV(Inputs!$B153/12,F$1*12+MthOff,Inputs!$B154,-Inputs!$B152),0)</f>
        <v>0</v>
      </c>
      <c r="G88" s="7">
        <f ca="1">-MAX(FV(Inputs!$B153/12,G$1*12+MthOff,Inputs!$B154,-Inputs!$B152),0)</f>
        <v>0</v>
      </c>
      <c r="H88" s="7">
        <f ca="1">-MAX(FV(Inputs!$B153/12,H$1*12+MthOff,Inputs!$B154,-Inputs!$B152),0)</f>
        <v>0</v>
      </c>
      <c r="I88" s="7">
        <f ca="1">-MAX(FV(Inputs!$B153/12,I$1*12+MthOff,Inputs!$B154,-Inputs!$B152),0)</f>
        <v>0</v>
      </c>
      <c r="J88" s="7">
        <f ca="1">-MAX(FV(Inputs!$B153/12,J$1*12+MthOff,Inputs!$B154,-Inputs!$B152),0)</f>
        <v>0</v>
      </c>
      <c r="K88" s="7">
        <f ca="1">-MAX(FV(Inputs!$B153/12,K$1*12+MthOff,Inputs!$B154,-Inputs!$B152),0)</f>
        <v>0</v>
      </c>
      <c r="L88" s="7">
        <f ca="1">-MAX(FV(Inputs!$B153/12,L$1*12+MthOff,Inputs!$B154,-Inputs!$B152),0)</f>
        <v>0</v>
      </c>
      <c r="M88" s="7">
        <f ca="1">-MAX(FV(Inputs!$B153/12,M$1*12+MthOff,Inputs!$B154,-Inputs!$B152),0)</f>
        <v>0</v>
      </c>
      <c r="N88" s="7">
        <f ca="1">-MAX(FV(Inputs!$B153/12,N$1*12+MthOff,Inputs!$B154,-Inputs!$B152),0)</f>
        <v>0</v>
      </c>
      <c r="O88" s="7">
        <f ca="1">-MAX(FV(Inputs!$B153/12,O$1*12+MthOff,Inputs!$B154,-Inputs!$B152),0)</f>
        <v>0</v>
      </c>
      <c r="P88" s="7">
        <f ca="1">-MAX(FV(Inputs!$B153/12,P$1*12+MthOff,Inputs!$B154,-Inputs!$B152),0)</f>
        <v>0</v>
      </c>
      <c r="Q88" s="7">
        <f ca="1">-MAX(FV(Inputs!$B153/12,Q$1*12+MthOff,Inputs!$B154,-Inputs!$B152),0)</f>
        <v>0</v>
      </c>
      <c r="R88" s="7">
        <f ca="1">-MAX(FV(Inputs!$B153/12,R$1*12+MthOff,Inputs!$B154,-Inputs!$B152),0)</f>
        <v>0</v>
      </c>
      <c r="S88" s="7">
        <f ca="1">-MAX(FV(Inputs!$B153/12,S$1*12+MthOff,Inputs!$B154,-Inputs!$B152),0)</f>
        <v>0</v>
      </c>
      <c r="T88" s="7">
        <f ca="1">-MAX(FV(Inputs!$B153/12,T$1*12+MthOff,Inputs!$B154,-Inputs!$B152),0)</f>
        <v>0</v>
      </c>
      <c r="U88" s="7">
        <f ca="1">-MAX(FV(Inputs!$B153/12,U$1*12+MthOff,Inputs!$B154,-Inputs!$B152),0)</f>
        <v>0</v>
      </c>
      <c r="V88" s="7">
        <f ca="1">-MAX(FV(Inputs!$B153/12,V$1*12+MthOff,Inputs!$B154,-Inputs!$B152),0)</f>
        <v>0</v>
      </c>
      <c r="W88" s="7">
        <f ca="1">-MAX(FV(Inputs!$B153/12,W$1*12+MthOff,Inputs!$B154,-Inputs!$B152),0)</f>
        <v>0</v>
      </c>
      <c r="X88" s="7">
        <f ca="1">-MAX(FV(Inputs!$B153/12,X$1*12+MthOff,Inputs!$B154,-Inputs!$B152),0)</f>
        <v>0</v>
      </c>
      <c r="Y88" s="7">
        <f ca="1">-MAX(FV(Inputs!$B153/12,Y$1*12+MthOff,Inputs!$B154,-Inputs!$B152),0)</f>
        <v>0</v>
      </c>
      <c r="Z88" s="7">
        <f ca="1">-MAX(FV(Inputs!$B153/12,Z$1*12+MthOff,Inputs!$B154,-Inputs!$B152),0)</f>
        <v>0</v>
      </c>
      <c r="AA88" s="7">
        <f ca="1">-MAX(FV(Inputs!$B153/12,AA$1*12+MthOff,Inputs!$B154,-Inputs!$B152),0)</f>
        <v>0</v>
      </c>
      <c r="AB88" s="7">
        <f ca="1">-MAX(FV(Inputs!$B153/12,AB$1*12+MthOff,Inputs!$B154,-Inputs!$B152),0)</f>
        <v>0</v>
      </c>
      <c r="AC88" s="7">
        <f ca="1">-MAX(FV(Inputs!$B153/12,AC$1*12+MthOff,Inputs!$B154,-Inputs!$B152),0)</f>
        <v>0</v>
      </c>
      <c r="AD88" s="7">
        <f ca="1">-MAX(FV(Inputs!$B153/12,AD$1*12+MthOff,Inputs!$B154,-Inputs!$B152),0)</f>
        <v>0</v>
      </c>
      <c r="AE88" s="7">
        <f ca="1">-MAX(FV(Inputs!$B153/12,AE$1*12+MthOff,Inputs!$B154,-Inputs!$B152),0)</f>
        <v>0</v>
      </c>
      <c r="AF88" s="7">
        <f ca="1">-MAX(FV(Inputs!$B153/12,AF$1*12+MthOff,Inputs!$B154,-Inputs!$B152),0)</f>
        <v>0</v>
      </c>
      <c r="AG88" s="7">
        <f ca="1">-MAX(FV(Inputs!$B153/12,AG$1*12+MthOff,Inputs!$B154,-Inputs!$B152),0)</f>
        <v>0</v>
      </c>
      <c r="AH88" s="7">
        <f ca="1">-MAX(FV(Inputs!$B153/12,AH$1*12+MthOff,Inputs!$B154,-Inputs!$B152),0)</f>
        <v>0</v>
      </c>
      <c r="AI88" s="7">
        <f ca="1">-MAX(FV(Inputs!$B153/12,AI$1*12+MthOff,Inputs!$B154,-Inputs!$B152),0)</f>
        <v>0</v>
      </c>
      <c r="AJ88" s="7">
        <f ca="1">-MAX(FV(Inputs!$B153/12,AJ$1*12+MthOff,Inputs!$B154,-Inputs!$B152),0)</f>
        <v>0</v>
      </c>
      <c r="AK88" s="7">
        <f ca="1">-MAX(FV(Inputs!$B153/12,AK$1*12+MthOff,Inputs!$B154,-Inputs!$B152),0)</f>
        <v>0</v>
      </c>
      <c r="AL88" s="7">
        <f ca="1">-MAX(FV(Inputs!$B153/12,AL$1*12+MthOff,Inputs!$B154,-Inputs!$B152),0)</f>
        <v>0</v>
      </c>
      <c r="AM88" s="7">
        <f ca="1">-MAX(FV(Inputs!$B153/12,AM$1*12+MthOff,Inputs!$B154,-Inputs!$B152),0)</f>
        <v>0</v>
      </c>
    </row>
    <row r="89" spans="1:39" x14ac:dyDescent="0.2">
      <c r="A89" s="3" t="str">
        <f>TEXT(Inputs!$B$92,"")</f>
        <v>Car</v>
      </c>
      <c r="C89" s="7">
        <f ca="1">-MAX(FV(Inputs!$B158/12,C$1*12+MthOff,Inputs!$B159,-Inputs!$B157),0)</f>
        <v>-5234.2745926297666</v>
      </c>
      <c r="D89" s="7">
        <f ca="1">-MAX(FV(Inputs!$B158/12,D$1*12+MthOff,Inputs!$B159,-Inputs!$B157),0)</f>
        <v>-4298.4122995765474</v>
      </c>
      <c r="E89" s="7">
        <f ca="1">-MAX(FV(Inputs!$B158/12,E$1*12+MthOff,Inputs!$B159,-Inputs!$B157),0)</f>
        <v>-3343.6602291314293</v>
      </c>
      <c r="F89" s="7">
        <f ca="1">-MAX(FV(Inputs!$B158/12,F$1*12+MthOff,Inputs!$B159,-Inputs!$B157),0)</f>
        <v>-2369.6371033087999</v>
      </c>
      <c r="G89" s="7">
        <f ca="1">-MAX(FV(Inputs!$B158/12,G$1*12+MthOff,Inputs!$B159,-Inputs!$B157),0)</f>
        <v>-1375.9539482725622</v>
      </c>
      <c r="H89" s="7">
        <f ca="1">-MAX(FV(Inputs!$B158/12,H$1*12+MthOff,Inputs!$B159,-Inputs!$B157),0)</f>
        <v>-362.21393900035582</v>
      </c>
      <c r="I89" s="7">
        <f ca="1">-MAX(FV(Inputs!$B158/12,I$1*12+MthOff,Inputs!$B159,-Inputs!$B157),0)</f>
        <v>0</v>
      </c>
      <c r="J89" s="7">
        <f ca="1">-MAX(FV(Inputs!$B158/12,J$1*12+MthOff,Inputs!$B159,-Inputs!$B157),0)</f>
        <v>0</v>
      </c>
      <c r="K89" s="7">
        <f ca="1">-MAX(FV(Inputs!$B158/12,K$1*12+MthOff,Inputs!$B159,-Inputs!$B157),0)</f>
        <v>0</v>
      </c>
      <c r="L89" s="7">
        <f ca="1">-MAX(FV(Inputs!$B158/12,L$1*12+MthOff,Inputs!$B159,-Inputs!$B157),0)</f>
        <v>0</v>
      </c>
      <c r="M89" s="7">
        <f ca="1">-MAX(FV(Inputs!$B158/12,M$1*12+MthOff,Inputs!$B159,-Inputs!$B157),0)</f>
        <v>0</v>
      </c>
      <c r="N89" s="7">
        <f ca="1">-MAX(FV(Inputs!$B158/12,N$1*12+MthOff,Inputs!$B159,-Inputs!$B157),0)</f>
        <v>0</v>
      </c>
      <c r="O89" s="7">
        <f ca="1">-MAX(FV(Inputs!$B158/12,O$1*12+MthOff,Inputs!$B159,-Inputs!$B157),0)</f>
        <v>0</v>
      </c>
      <c r="P89" s="7">
        <f ca="1">-MAX(FV(Inputs!$B158/12,P$1*12+MthOff,Inputs!$B159,-Inputs!$B157),0)</f>
        <v>0</v>
      </c>
      <c r="Q89" s="7">
        <f ca="1">-MAX(FV(Inputs!$B158/12,Q$1*12+MthOff,Inputs!$B159,-Inputs!$B157),0)</f>
        <v>0</v>
      </c>
      <c r="R89" s="7">
        <f ca="1">-MAX(FV(Inputs!$B158/12,R$1*12+MthOff,Inputs!$B159,-Inputs!$B157),0)</f>
        <v>0</v>
      </c>
      <c r="S89" s="7">
        <f ca="1">-MAX(FV(Inputs!$B158/12,S$1*12+MthOff,Inputs!$B159,-Inputs!$B157),0)</f>
        <v>0</v>
      </c>
      <c r="T89" s="7">
        <f ca="1">-MAX(FV(Inputs!$B158/12,T$1*12+MthOff,Inputs!$B159,-Inputs!$B157),0)</f>
        <v>0</v>
      </c>
      <c r="U89" s="7">
        <f ca="1">-MAX(FV(Inputs!$B158/12,U$1*12+MthOff,Inputs!$B159,-Inputs!$B157),0)</f>
        <v>0</v>
      </c>
      <c r="V89" s="7">
        <f ca="1">-MAX(FV(Inputs!$B158/12,V$1*12+MthOff,Inputs!$B159,-Inputs!$B157),0)</f>
        <v>0</v>
      </c>
      <c r="W89" s="7">
        <f ca="1">-MAX(FV(Inputs!$B158/12,W$1*12+MthOff,Inputs!$B159,-Inputs!$B157),0)</f>
        <v>0</v>
      </c>
      <c r="X89" s="7">
        <f ca="1">-MAX(FV(Inputs!$B158/12,X$1*12+MthOff,Inputs!$B159,-Inputs!$B157),0)</f>
        <v>0</v>
      </c>
      <c r="Y89" s="7">
        <f ca="1">-MAX(FV(Inputs!$B158/12,Y$1*12+MthOff,Inputs!$B159,-Inputs!$B157),0)</f>
        <v>0</v>
      </c>
      <c r="Z89" s="7">
        <f ca="1">-MAX(FV(Inputs!$B158/12,Z$1*12+MthOff,Inputs!$B159,-Inputs!$B157),0)</f>
        <v>0</v>
      </c>
      <c r="AA89" s="7">
        <f ca="1">-MAX(FV(Inputs!$B158/12,AA$1*12+MthOff,Inputs!$B159,-Inputs!$B157),0)</f>
        <v>0</v>
      </c>
      <c r="AB89" s="7">
        <f ca="1">-MAX(FV(Inputs!$B158/12,AB$1*12+MthOff,Inputs!$B159,-Inputs!$B157),0)</f>
        <v>0</v>
      </c>
      <c r="AC89" s="7">
        <f ca="1">-MAX(FV(Inputs!$B158/12,AC$1*12+MthOff,Inputs!$B159,-Inputs!$B157),0)</f>
        <v>0</v>
      </c>
      <c r="AD89" s="7">
        <f ca="1">-MAX(FV(Inputs!$B158/12,AD$1*12+MthOff,Inputs!$B159,-Inputs!$B157),0)</f>
        <v>0</v>
      </c>
      <c r="AE89" s="7">
        <f ca="1">-MAX(FV(Inputs!$B158/12,AE$1*12+MthOff,Inputs!$B159,-Inputs!$B157),0)</f>
        <v>0</v>
      </c>
      <c r="AF89" s="7">
        <f ca="1">-MAX(FV(Inputs!$B158/12,AF$1*12+MthOff,Inputs!$B159,-Inputs!$B157),0)</f>
        <v>0</v>
      </c>
      <c r="AG89" s="7">
        <f ca="1">-MAX(FV(Inputs!$B158/12,AG$1*12+MthOff,Inputs!$B159,-Inputs!$B157),0)</f>
        <v>0</v>
      </c>
      <c r="AH89" s="7">
        <f ca="1">-MAX(FV(Inputs!$B158/12,AH$1*12+MthOff,Inputs!$B159,-Inputs!$B157),0)</f>
        <v>0</v>
      </c>
      <c r="AI89" s="7">
        <f ca="1">-MAX(FV(Inputs!$B158/12,AI$1*12+MthOff,Inputs!$B159,-Inputs!$B157),0)</f>
        <v>0</v>
      </c>
      <c r="AJ89" s="7">
        <f ca="1">-MAX(FV(Inputs!$B158/12,AJ$1*12+MthOff,Inputs!$B159,-Inputs!$B157),0)</f>
        <v>0</v>
      </c>
      <c r="AK89" s="7">
        <f ca="1">-MAX(FV(Inputs!$B158/12,AK$1*12+MthOff,Inputs!$B159,-Inputs!$B157),0)</f>
        <v>0</v>
      </c>
      <c r="AL89" s="7">
        <f ca="1">-MAX(FV(Inputs!$B158/12,AL$1*12+MthOff,Inputs!$B159,-Inputs!$B157),0)</f>
        <v>0</v>
      </c>
      <c r="AM89" s="7">
        <f ca="1">-MAX(FV(Inputs!$B158/12,AM$1*12+MthOff,Inputs!$B159,-Inputs!$B157),0)</f>
        <v>0</v>
      </c>
    </row>
    <row r="90" spans="1:39" x14ac:dyDescent="0.2">
      <c r="A90" s="3" t="str">
        <f>TEXT(Inputs!$B$97,"")</f>
        <v>Painting</v>
      </c>
      <c r="C90" s="7">
        <f ca="1">-MAX(FV(Inputs!$B163/12,C$1*12+MthOff,Inputs!$B164,-Inputs!$B162),0)</f>
        <v>-6544.7251312007966</v>
      </c>
      <c r="D90" s="7">
        <f ca="1">-MAX(FV(Inputs!$B163/12,D$1*12+MthOff,Inputs!$B164,-Inputs!$B162),0)</f>
        <v>-5344.7087535753089</v>
      </c>
      <c r="E90" s="7">
        <f ca="1">-MAX(FV(Inputs!$B163/12,E$1*12+MthOff,Inputs!$B164,-Inputs!$B162),0)</f>
        <v>-4083.2972605813311</v>
      </c>
      <c r="F90" s="7">
        <f ca="1">-MAX(FV(Inputs!$B163/12,F$1*12+MthOff,Inputs!$B164,-Inputs!$B162),0)</f>
        <v>-2757.3495615959573</v>
      </c>
      <c r="G90" s="7">
        <f ca="1">-MAX(FV(Inputs!$B163/12,G$1*12+MthOff,Inputs!$B164,-Inputs!$B162),0)</f>
        <v>-1363.5638618385628</v>
      </c>
      <c r="H90" s="7">
        <f ca="1">-MAX(FV(Inputs!$B163/12,H$1*12+MthOff,Inputs!$B164,-Inputs!$B162),0)</f>
        <v>0</v>
      </c>
      <c r="I90" s="7">
        <f ca="1">-MAX(FV(Inputs!$B163/12,I$1*12+MthOff,Inputs!$B164,-Inputs!$B162),0)</f>
        <v>0</v>
      </c>
      <c r="J90" s="7">
        <f ca="1">-MAX(FV(Inputs!$B163/12,J$1*12+MthOff,Inputs!$B164,-Inputs!$B162),0)</f>
        <v>0</v>
      </c>
      <c r="K90" s="7">
        <f ca="1">-MAX(FV(Inputs!$B163/12,K$1*12+MthOff,Inputs!$B164,-Inputs!$B162),0)</f>
        <v>0</v>
      </c>
      <c r="L90" s="7">
        <f ca="1">-MAX(FV(Inputs!$B163/12,L$1*12+MthOff,Inputs!$B164,-Inputs!$B162),0)</f>
        <v>0</v>
      </c>
      <c r="M90" s="7">
        <f ca="1">-MAX(FV(Inputs!$B163/12,M$1*12+MthOff,Inputs!$B164,-Inputs!$B162),0)</f>
        <v>0</v>
      </c>
      <c r="N90" s="7">
        <f ca="1">-MAX(FV(Inputs!$B163/12,N$1*12+MthOff,Inputs!$B164,-Inputs!$B162),0)</f>
        <v>0</v>
      </c>
      <c r="O90" s="7">
        <f ca="1">-MAX(FV(Inputs!$B163/12,O$1*12+MthOff,Inputs!$B164,-Inputs!$B162),0)</f>
        <v>0</v>
      </c>
      <c r="P90" s="7">
        <f ca="1">-MAX(FV(Inputs!$B163/12,P$1*12+MthOff,Inputs!$B164,-Inputs!$B162),0)</f>
        <v>0</v>
      </c>
      <c r="Q90" s="7">
        <f ca="1">-MAX(FV(Inputs!$B163/12,Q$1*12+MthOff,Inputs!$B164,-Inputs!$B162),0)</f>
        <v>0</v>
      </c>
      <c r="R90" s="7">
        <f ca="1">-MAX(FV(Inputs!$B163/12,R$1*12+MthOff,Inputs!$B164,-Inputs!$B162),0)</f>
        <v>0</v>
      </c>
      <c r="S90" s="7">
        <f ca="1">-MAX(FV(Inputs!$B163/12,S$1*12+MthOff,Inputs!$B164,-Inputs!$B162),0)</f>
        <v>0</v>
      </c>
      <c r="T90" s="7">
        <f ca="1">-MAX(FV(Inputs!$B163/12,T$1*12+MthOff,Inputs!$B164,-Inputs!$B162),0)</f>
        <v>0</v>
      </c>
      <c r="U90" s="7">
        <f ca="1">-MAX(FV(Inputs!$B163/12,U$1*12+MthOff,Inputs!$B164,-Inputs!$B162),0)</f>
        <v>0</v>
      </c>
      <c r="V90" s="7">
        <f ca="1">-MAX(FV(Inputs!$B163/12,V$1*12+MthOff,Inputs!$B164,-Inputs!$B162),0)</f>
        <v>0</v>
      </c>
      <c r="W90" s="7">
        <f ca="1">-MAX(FV(Inputs!$B163/12,W$1*12+MthOff,Inputs!$B164,-Inputs!$B162),0)</f>
        <v>0</v>
      </c>
      <c r="X90" s="7">
        <f ca="1">-MAX(FV(Inputs!$B163/12,X$1*12+MthOff,Inputs!$B164,-Inputs!$B162),0)</f>
        <v>0</v>
      </c>
      <c r="Y90" s="7">
        <f ca="1">-MAX(FV(Inputs!$B163/12,Y$1*12+MthOff,Inputs!$B164,-Inputs!$B162),0)</f>
        <v>0</v>
      </c>
      <c r="Z90" s="7">
        <f ca="1">-MAX(FV(Inputs!$B163/12,Z$1*12+MthOff,Inputs!$B164,-Inputs!$B162),0)</f>
        <v>0</v>
      </c>
      <c r="AA90" s="7">
        <f ca="1">-MAX(FV(Inputs!$B163/12,AA$1*12+MthOff,Inputs!$B164,-Inputs!$B162),0)</f>
        <v>0</v>
      </c>
      <c r="AB90" s="7">
        <f ca="1">-MAX(FV(Inputs!$B163/12,AB$1*12+MthOff,Inputs!$B164,-Inputs!$B162),0)</f>
        <v>0</v>
      </c>
      <c r="AC90" s="7">
        <f ca="1">-MAX(FV(Inputs!$B163/12,AC$1*12+MthOff,Inputs!$B164,-Inputs!$B162),0)</f>
        <v>0</v>
      </c>
      <c r="AD90" s="7">
        <f ca="1">-MAX(FV(Inputs!$B163/12,AD$1*12+MthOff,Inputs!$B164,-Inputs!$B162),0)</f>
        <v>0</v>
      </c>
      <c r="AE90" s="7">
        <f ca="1">-MAX(FV(Inputs!$B163/12,AE$1*12+MthOff,Inputs!$B164,-Inputs!$B162),0)</f>
        <v>0</v>
      </c>
      <c r="AF90" s="7">
        <f ca="1">-MAX(FV(Inputs!$B163/12,AF$1*12+MthOff,Inputs!$B164,-Inputs!$B162),0)</f>
        <v>0</v>
      </c>
      <c r="AG90" s="7">
        <f ca="1">-MAX(FV(Inputs!$B163/12,AG$1*12+MthOff,Inputs!$B164,-Inputs!$B162),0)</f>
        <v>0</v>
      </c>
      <c r="AH90" s="7">
        <f ca="1">-MAX(FV(Inputs!$B163/12,AH$1*12+MthOff,Inputs!$B164,-Inputs!$B162),0)</f>
        <v>0</v>
      </c>
      <c r="AI90" s="7">
        <f ca="1">-MAX(FV(Inputs!$B163/12,AI$1*12+MthOff,Inputs!$B164,-Inputs!$B162),0)</f>
        <v>0</v>
      </c>
      <c r="AJ90" s="7">
        <f ca="1">-MAX(FV(Inputs!$B163/12,AJ$1*12+MthOff,Inputs!$B164,-Inputs!$B162),0)</f>
        <v>0</v>
      </c>
      <c r="AK90" s="7">
        <f ca="1">-MAX(FV(Inputs!$B163/12,AK$1*12+MthOff,Inputs!$B164,-Inputs!$B162),0)</f>
        <v>0</v>
      </c>
      <c r="AL90" s="7">
        <f ca="1">-MAX(FV(Inputs!$B163/12,AL$1*12+MthOff,Inputs!$B164,-Inputs!$B162),0)</f>
        <v>0</v>
      </c>
      <c r="AM90" s="7">
        <f ca="1">-MAX(FV(Inputs!$B163/12,AM$1*12+MthOff,Inputs!$B164,-Inputs!$B162),0)</f>
        <v>0</v>
      </c>
    </row>
    <row r="91" spans="1:39" x14ac:dyDescent="0.2">
      <c r="A91" s="3" t="str">
        <f>TEXT(Inputs!$B$102,"")</f>
        <v>Boat</v>
      </c>
      <c r="C91" s="7">
        <f ca="1">-MAX(FV(Inputs!$B168/12,C$1*12+MthOff,Inputs!$B169,-Inputs!$B167),0)</f>
        <v>-35663.316802941074</v>
      </c>
      <c r="D91" s="7">
        <f ca="1">-MAX(FV(Inputs!$B168/12,D$1*12+MthOff,Inputs!$B169,-Inputs!$B167),0)</f>
        <v>-30165.561226487567</v>
      </c>
      <c r="E91" s="7">
        <f ca="1">-MAX(FV(Inputs!$B168/12,E$1*12+MthOff,Inputs!$B169,-Inputs!$B167),0)</f>
        <v>-24328.716115912546</v>
      </c>
      <c r="F91" s="7">
        <f ca="1">-MAX(FV(Inputs!$B168/12,F$1*12+MthOff,Inputs!$B169,-Inputs!$B167),0)</f>
        <v>-18131.867170725258</v>
      </c>
      <c r="G91" s="7">
        <f ca="1">-MAX(FV(Inputs!$B168/12,G$1*12+MthOff,Inputs!$B169,-Inputs!$B167),0)</f>
        <v>-11552.810142144008</v>
      </c>
      <c r="H91" s="7">
        <f ca="1">-MAX(FV(Inputs!$B168/12,H$1*12+MthOff,Inputs!$B169,-Inputs!$B167),0)</f>
        <v>-4567.971271908129</v>
      </c>
      <c r="I91" s="7">
        <f ca="1">-MAX(FV(Inputs!$B168/12,I$1*12+MthOff,Inputs!$B169,-Inputs!$B167),0)</f>
        <v>0</v>
      </c>
      <c r="J91" s="7">
        <f ca="1">-MAX(FV(Inputs!$B168/12,J$1*12+MthOff,Inputs!$B169,-Inputs!$B167),0)</f>
        <v>0</v>
      </c>
      <c r="K91" s="7">
        <f ca="1">-MAX(FV(Inputs!$B168/12,K$1*12+MthOff,Inputs!$B169,-Inputs!$B167),0)</f>
        <v>0</v>
      </c>
      <c r="L91" s="7">
        <f ca="1">-MAX(FV(Inputs!$B168/12,L$1*12+MthOff,Inputs!$B169,-Inputs!$B167),0)</f>
        <v>0</v>
      </c>
      <c r="M91" s="7">
        <f ca="1">-MAX(FV(Inputs!$B168/12,M$1*12+MthOff,Inputs!$B169,-Inputs!$B167),0)</f>
        <v>0</v>
      </c>
      <c r="N91" s="7">
        <f ca="1">-MAX(FV(Inputs!$B168/12,N$1*12+MthOff,Inputs!$B169,-Inputs!$B167),0)</f>
        <v>0</v>
      </c>
      <c r="O91" s="7">
        <f ca="1">-MAX(FV(Inputs!$B168/12,O$1*12+MthOff,Inputs!$B169,-Inputs!$B167),0)</f>
        <v>0</v>
      </c>
      <c r="P91" s="7">
        <f ca="1">-MAX(FV(Inputs!$B168/12,P$1*12+MthOff,Inputs!$B169,-Inputs!$B167),0)</f>
        <v>0</v>
      </c>
      <c r="Q91" s="7">
        <f ca="1">-MAX(FV(Inputs!$B168/12,Q$1*12+MthOff,Inputs!$B169,-Inputs!$B167),0)</f>
        <v>0</v>
      </c>
      <c r="R91" s="7">
        <f ca="1">-MAX(FV(Inputs!$B168/12,R$1*12+MthOff,Inputs!$B169,-Inputs!$B167),0)</f>
        <v>0</v>
      </c>
      <c r="S91" s="7">
        <f ca="1">-MAX(FV(Inputs!$B168/12,S$1*12+MthOff,Inputs!$B169,-Inputs!$B167),0)</f>
        <v>0</v>
      </c>
      <c r="T91" s="7">
        <f ca="1">-MAX(FV(Inputs!$B168/12,T$1*12+MthOff,Inputs!$B169,-Inputs!$B167),0)</f>
        <v>0</v>
      </c>
      <c r="U91" s="7">
        <f ca="1">-MAX(FV(Inputs!$B168/12,U$1*12+MthOff,Inputs!$B169,-Inputs!$B167),0)</f>
        <v>0</v>
      </c>
      <c r="V91" s="7">
        <f ca="1">-MAX(FV(Inputs!$B168/12,V$1*12+MthOff,Inputs!$B169,-Inputs!$B167),0)</f>
        <v>0</v>
      </c>
      <c r="W91" s="7">
        <f ca="1">-MAX(FV(Inputs!$B168/12,W$1*12+MthOff,Inputs!$B169,-Inputs!$B167),0)</f>
        <v>0</v>
      </c>
      <c r="X91" s="7">
        <f ca="1">-MAX(FV(Inputs!$B168/12,X$1*12+MthOff,Inputs!$B169,-Inputs!$B167),0)</f>
        <v>0</v>
      </c>
      <c r="Y91" s="7">
        <f ca="1">-MAX(FV(Inputs!$B168/12,Y$1*12+MthOff,Inputs!$B169,-Inputs!$B167),0)</f>
        <v>0</v>
      </c>
      <c r="Z91" s="7">
        <f ca="1">-MAX(FV(Inputs!$B168/12,Z$1*12+MthOff,Inputs!$B169,-Inputs!$B167),0)</f>
        <v>0</v>
      </c>
      <c r="AA91" s="7">
        <f ca="1">-MAX(FV(Inputs!$B168/12,AA$1*12+MthOff,Inputs!$B169,-Inputs!$B167),0)</f>
        <v>0</v>
      </c>
      <c r="AB91" s="7">
        <f ca="1">-MAX(FV(Inputs!$B168/12,AB$1*12+MthOff,Inputs!$B169,-Inputs!$B167),0)</f>
        <v>0</v>
      </c>
      <c r="AC91" s="7">
        <f ca="1">-MAX(FV(Inputs!$B168/12,AC$1*12+MthOff,Inputs!$B169,-Inputs!$B167),0)</f>
        <v>0</v>
      </c>
      <c r="AD91" s="7">
        <f ca="1">-MAX(FV(Inputs!$B168/12,AD$1*12+MthOff,Inputs!$B169,-Inputs!$B167),0)</f>
        <v>0</v>
      </c>
      <c r="AE91" s="7">
        <f ca="1">-MAX(FV(Inputs!$B168/12,AE$1*12+MthOff,Inputs!$B169,-Inputs!$B167),0)</f>
        <v>0</v>
      </c>
      <c r="AF91" s="7">
        <f ca="1">-MAX(FV(Inputs!$B168/12,AF$1*12+MthOff,Inputs!$B169,-Inputs!$B167),0)</f>
        <v>0</v>
      </c>
      <c r="AG91" s="7">
        <f ca="1">-MAX(FV(Inputs!$B168/12,AG$1*12+MthOff,Inputs!$B169,-Inputs!$B167),0)</f>
        <v>0</v>
      </c>
      <c r="AH91" s="7">
        <f ca="1">-MAX(FV(Inputs!$B168/12,AH$1*12+MthOff,Inputs!$B169,-Inputs!$B167),0)</f>
        <v>0</v>
      </c>
      <c r="AI91" s="7">
        <f ca="1">-MAX(FV(Inputs!$B168/12,AI$1*12+MthOff,Inputs!$B169,-Inputs!$B167),0)</f>
        <v>0</v>
      </c>
      <c r="AJ91" s="7">
        <f ca="1">-MAX(FV(Inputs!$B168/12,AJ$1*12+MthOff,Inputs!$B169,-Inputs!$B167),0)</f>
        <v>0</v>
      </c>
      <c r="AK91" s="7">
        <f ca="1">-MAX(FV(Inputs!$B168/12,AK$1*12+MthOff,Inputs!$B169,-Inputs!$B167),0)</f>
        <v>0</v>
      </c>
      <c r="AL91" s="7">
        <f ca="1">-MAX(FV(Inputs!$B168/12,AL$1*12+MthOff,Inputs!$B169,-Inputs!$B167),0)</f>
        <v>0</v>
      </c>
      <c r="AM91" s="7">
        <f ca="1">-MAX(FV(Inputs!$B168/12,AM$1*12+MthOff,Inputs!$B169,-Inputs!$B167),0)</f>
        <v>0</v>
      </c>
    </row>
    <row r="92" spans="1:39" x14ac:dyDescent="0.2">
      <c r="A92" s="3" t="str">
        <f>TEXT(Inputs!$B$107,"")</f>
        <v>Antiques</v>
      </c>
      <c r="C92" s="7">
        <f ca="1">-MAX(FV(Inputs!$B173/12,C$1*12+MthOff,Inputs!$B174,-Inputs!$B172),0)</f>
        <v>-2783.6180442430355</v>
      </c>
      <c r="D92" s="7">
        <f ca="1">-MAX(FV(Inputs!$B173/12,D$1*12+MthOff,Inputs!$B174,-Inputs!$B172),0)</f>
        <v>-1529.9823465461</v>
      </c>
      <c r="E92" s="7">
        <f ca="1">-MAX(FV(Inputs!$B173/12,E$1*12+MthOff,Inputs!$B174,-Inputs!$B172),0)</f>
        <v>-238.21611948276723</v>
      </c>
      <c r="F92" s="7">
        <f ca="1">-MAX(FV(Inputs!$B173/12,F$1*12+MthOff,Inputs!$B174,-Inputs!$B172),0)</f>
        <v>0</v>
      </c>
      <c r="G92" s="7">
        <f ca="1">-MAX(FV(Inputs!$B173/12,G$1*12+MthOff,Inputs!$B174,-Inputs!$B172),0)</f>
        <v>0</v>
      </c>
      <c r="H92" s="7">
        <f ca="1">-MAX(FV(Inputs!$B173/12,H$1*12+MthOff,Inputs!$B174,-Inputs!$B172),0)</f>
        <v>0</v>
      </c>
      <c r="I92" s="7">
        <f ca="1">-MAX(FV(Inputs!$B173/12,I$1*12+MthOff,Inputs!$B174,-Inputs!$B172),0)</f>
        <v>0</v>
      </c>
      <c r="J92" s="7">
        <f ca="1">-MAX(FV(Inputs!$B173/12,J$1*12+MthOff,Inputs!$B174,-Inputs!$B172),0)</f>
        <v>0</v>
      </c>
      <c r="K92" s="7">
        <f ca="1">-MAX(FV(Inputs!$B173/12,K$1*12+MthOff,Inputs!$B174,-Inputs!$B172),0)</f>
        <v>0</v>
      </c>
      <c r="L92" s="7">
        <f ca="1">-MAX(FV(Inputs!$B173/12,L$1*12+MthOff,Inputs!$B174,-Inputs!$B172),0)</f>
        <v>0</v>
      </c>
      <c r="M92" s="7">
        <f ca="1">-MAX(FV(Inputs!$B173/12,M$1*12+MthOff,Inputs!$B174,-Inputs!$B172),0)</f>
        <v>0</v>
      </c>
      <c r="N92" s="7">
        <f ca="1">-MAX(FV(Inputs!$B173/12,N$1*12+MthOff,Inputs!$B174,-Inputs!$B172),0)</f>
        <v>0</v>
      </c>
      <c r="O92" s="7">
        <f ca="1">-MAX(FV(Inputs!$B173/12,O$1*12+MthOff,Inputs!$B174,-Inputs!$B172),0)</f>
        <v>0</v>
      </c>
      <c r="P92" s="7">
        <f ca="1">-MAX(FV(Inputs!$B173/12,P$1*12+MthOff,Inputs!$B174,-Inputs!$B172),0)</f>
        <v>0</v>
      </c>
      <c r="Q92" s="7">
        <f ca="1">-MAX(FV(Inputs!$B173/12,Q$1*12+MthOff,Inputs!$B174,-Inputs!$B172),0)</f>
        <v>0</v>
      </c>
      <c r="R92" s="7">
        <f ca="1">-MAX(FV(Inputs!$B173/12,R$1*12+MthOff,Inputs!$B174,-Inputs!$B172),0)</f>
        <v>0</v>
      </c>
      <c r="S92" s="7">
        <f ca="1">-MAX(FV(Inputs!$B173/12,S$1*12+MthOff,Inputs!$B174,-Inputs!$B172),0)</f>
        <v>0</v>
      </c>
      <c r="T92" s="7">
        <f ca="1">-MAX(FV(Inputs!$B173/12,T$1*12+MthOff,Inputs!$B174,-Inputs!$B172),0)</f>
        <v>0</v>
      </c>
      <c r="U92" s="7">
        <f ca="1">-MAX(FV(Inputs!$B173/12,U$1*12+MthOff,Inputs!$B174,-Inputs!$B172),0)</f>
        <v>0</v>
      </c>
      <c r="V92" s="7">
        <f ca="1">-MAX(FV(Inputs!$B173/12,V$1*12+MthOff,Inputs!$B174,-Inputs!$B172),0)</f>
        <v>0</v>
      </c>
      <c r="W92" s="7">
        <f ca="1">-MAX(FV(Inputs!$B173/12,W$1*12+MthOff,Inputs!$B174,-Inputs!$B172),0)</f>
        <v>0</v>
      </c>
      <c r="X92" s="7">
        <f ca="1">-MAX(FV(Inputs!$B173/12,X$1*12+MthOff,Inputs!$B174,-Inputs!$B172),0)</f>
        <v>0</v>
      </c>
      <c r="Y92" s="7">
        <f ca="1">-MAX(FV(Inputs!$B173/12,Y$1*12+MthOff,Inputs!$B174,-Inputs!$B172),0)</f>
        <v>0</v>
      </c>
      <c r="Z92" s="7">
        <f ca="1">-MAX(FV(Inputs!$B173/12,Z$1*12+MthOff,Inputs!$B174,-Inputs!$B172),0)</f>
        <v>0</v>
      </c>
      <c r="AA92" s="7">
        <f ca="1">-MAX(FV(Inputs!$B173/12,AA$1*12+MthOff,Inputs!$B174,-Inputs!$B172),0)</f>
        <v>0</v>
      </c>
      <c r="AB92" s="7">
        <f ca="1">-MAX(FV(Inputs!$B173/12,AB$1*12+MthOff,Inputs!$B174,-Inputs!$B172),0)</f>
        <v>0</v>
      </c>
      <c r="AC92" s="7">
        <f ca="1">-MAX(FV(Inputs!$B173/12,AC$1*12+MthOff,Inputs!$B174,-Inputs!$B172),0)</f>
        <v>0</v>
      </c>
      <c r="AD92" s="7">
        <f ca="1">-MAX(FV(Inputs!$B173/12,AD$1*12+MthOff,Inputs!$B174,-Inputs!$B172),0)</f>
        <v>0</v>
      </c>
      <c r="AE92" s="7">
        <f ca="1">-MAX(FV(Inputs!$B173/12,AE$1*12+MthOff,Inputs!$B174,-Inputs!$B172),0)</f>
        <v>0</v>
      </c>
      <c r="AF92" s="7">
        <f ca="1">-MAX(FV(Inputs!$B173/12,AF$1*12+MthOff,Inputs!$B174,-Inputs!$B172),0)</f>
        <v>0</v>
      </c>
      <c r="AG92" s="7">
        <f ca="1">-MAX(FV(Inputs!$B173/12,AG$1*12+MthOff,Inputs!$B174,-Inputs!$B172),0)</f>
        <v>0</v>
      </c>
      <c r="AH92" s="7">
        <f ca="1">-MAX(FV(Inputs!$B173/12,AH$1*12+MthOff,Inputs!$B174,-Inputs!$B172),0)</f>
        <v>0</v>
      </c>
      <c r="AI92" s="7">
        <f ca="1">-MAX(FV(Inputs!$B173/12,AI$1*12+MthOff,Inputs!$B174,-Inputs!$B172),0)</f>
        <v>0</v>
      </c>
      <c r="AJ92" s="7">
        <f ca="1">-MAX(FV(Inputs!$B173/12,AJ$1*12+MthOff,Inputs!$B174,-Inputs!$B172),0)</f>
        <v>0</v>
      </c>
      <c r="AK92" s="7">
        <f ca="1">-MAX(FV(Inputs!$B173/12,AK$1*12+MthOff,Inputs!$B174,-Inputs!$B172),0)</f>
        <v>0</v>
      </c>
      <c r="AL92" s="7">
        <f ca="1">-MAX(FV(Inputs!$B173/12,AL$1*12+MthOff,Inputs!$B174,-Inputs!$B172),0)</f>
        <v>0</v>
      </c>
      <c r="AM92" s="7">
        <f ca="1">-MAX(FV(Inputs!$B173/12,AM$1*12+MthOff,Inputs!$B174,-Inputs!$B172),0)</f>
        <v>0</v>
      </c>
    </row>
    <row r="93" spans="1:39" x14ac:dyDescent="0.2">
      <c r="A93" s="4" t="s">
        <v>34</v>
      </c>
      <c r="C93" s="7">
        <f ca="1">-MAX(FV(Inputs!$B178/12,C$1*12+MthOff,Inputs!$B179,-Inputs!$B177),0)</f>
        <v>-3693.1592077552655</v>
      </c>
      <c r="D93" s="7">
        <f ca="1">-MAX(FV(Inputs!$B178/12,D$1*12+MthOff,Inputs!$B179,-Inputs!$B177),0)</f>
        <v>-3304.1670679118561</v>
      </c>
      <c r="E93" s="7">
        <f ca="1">-MAX(FV(Inputs!$B178/12,E$1*12+MthOff,Inputs!$B179,-Inputs!$B177),0)</f>
        <v>-2891.1827440504157</v>
      </c>
      <c r="F93" s="7">
        <f ca="1">-MAX(FV(Inputs!$B178/12,F$1*12+MthOff,Inputs!$B179,-Inputs!$B177),0)</f>
        <v>-2452.7264507588625</v>
      </c>
      <c r="G93" s="7">
        <f ca="1">-MAX(FV(Inputs!$B178/12,G$1*12+MthOff,Inputs!$B179,-Inputs!$B177),0)</f>
        <v>-1987.2271326988684</v>
      </c>
      <c r="H93" s="7">
        <f ca="1">-MAX(FV(Inputs!$B178/12,H$1*12+MthOff,Inputs!$B179,-Inputs!$B177),0)</f>
        <v>-1493.0168352765186</v>
      </c>
      <c r="I93" s="7">
        <f ca="1">-MAX(FV(Inputs!$B178/12,I$1*12+MthOff,Inputs!$B179,-Inputs!$B177),0)</f>
        <v>-968.32472810825493</v>
      </c>
      <c r="J93" s="7">
        <f ca="1">-MAX(FV(Inputs!$B178/12,J$1*12+MthOff,Inputs!$B179,-Inputs!$B177),0)</f>
        <v>-411.2707598672805</v>
      </c>
      <c r="K93" s="7">
        <f ca="1">-MAX(FV(Inputs!$B178/12,K$1*12+MthOff,Inputs!$B179,-Inputs!$B177),0)</f>
        <v>0</v>
      </c>
      <c r="L93" s="7">
        <f ca="1">-MAX(FV(Inputs!$B178/12,L$1*12+MthOff,Inputs!$B179,-Inputs!$B177),0)</f>
        <v>0</v>
      </c>
      <c r="M93" s="7">
        <f ca="1">-MAX(FV(Inputs!$B178/12,M$1*12+MthOff,Inputs!$B179,-Inputs!$B177),0)</f>
        <v>0</v>
      </c>
      <c r="N93" s="7">
        <f ca="1">-MAX(FV(Inputs!$B178/12,N$1*12+MthOff,Inputs!$B179,-Inputs!$B177),0)</f>
        <v>0</v>
      </c>
      <c r="O93" s="7">
        <f ca="1">-MAX(FV(Inputs!$B178/12,O$1*12+MthOff,Inputs!$B179,-Inputs!$B177),0)</f>
        <v>0</v>
      </c>
      <c r="P93" s="7">
        <f ca="1">-MAX(FV(Inputs!$B178/12,P$1*12+MthOff,Inputs!$B179,-Inputs!$B177),0)</f>
        <v>0</v>
      </c>
      <c r="Q93" s="7">
        <f ca="1">-MAX(FV(Inputs!$B178/12,Q$1*12+MthOff,Inputs!$B179,-Inputs!$B177),0)</f>
        <v>0</v>
      </c>
      <c r="R93" s="7">
        <f ca="1">-MAX(FV(Inputs!$B178/12,R$1*12+MthOff,Inputs!$B179,-Inputs!$B177),0)</f>
        <v>0</v>
      </c>
      <c r="S93" s="7">
        <f ca="1">-MAX(FV(Inputs!$B178/12,S$1*12+MthOff,Inputs!$B179,-Inputs!$B177),0)</f>
        <v>0</v>
      </c>
      <c r="T93" s="7">
        <f ca="1">-MAX(FV(Inputs!$B178/12,T$1*12+MthOff,Inputs!$B179,-Inputs!$B177),0)</f>
        <v>0</v>
      </c>
      <c r="U93" s="7">
        <f ca="1">-MAX(FV(Inputs!$B178/12,U$1*12+MthOff,Inputs!$B179,-Inputs!$B177),0)</f>
        <v>0</v>
      </c>
      <c r="V93" s="7">
        <f ca="1">-MAX(FV(Inputs!$B178/12,V$1*12+MthOff,Inputs!$B179,-Inputs!$B177),0)</f>
        <v>0</v>
      </c>
      <c r="W93" s="7">
        <f ca="1">-MAX(FV(Inputs!$B178/12,W$1*12+MthOff,Inputs!$B179,-Inputs!$B177),0)</f>
        <v>0</v>
      </c>
      <c r="X93" s="7">
        <f ca="1">-MAX(FV(Inputs!$B178/12,X$1*12+MthOff,Inputs!$B179,-Inputs!$B177),0)</f>
        <v>0</v>
      </c>
      <c r="Y93" s="7">
        <f ca="1">-MAX(FV(Inputs!$B178/12,Y$1*12+MthOff,Inputs!$B179,-Inputs!$B177),0)</f>
        <v>0</v>
      </c>
      <c r="Z93" s="7">
        <f ca="1">-MAX(FV(Inputs!$B178/12,Z$1*12+MthOff,Inputs!$B179,-Inputs!$B177),0)</f>
        <v>0</v>
      </c>
      <c r="AA93" s="7">
        <f ca="1">-MAX(FV(Inputs!$B178/12,AA$1*12+MthOff,Inputs!$B179,-Inputs!$B177),0)</f>
        <v>0</v>
      </c>
      <c r="AB93" s="7">
        <f ca="1">-MAX(FV(Inputs!$B178/12,AB$1*12+MthOff,Inputs!$B179,-Inputs!$B177),0)</f>
        <v>0</v>
      </c>
      <c r="AC93" s="7">
        <f ca="1">-MAX(FV(Inputs!$B178/12,AC$1*12+MthOff,Inputs!$B179,-Inputs!$B177),0)</f>
        <v>0</v>
      </c>
      <c r="AD93" s="7">
        <f ca="1">-MAX(FV(Inputs!$B178/12,AD$1*12+MthOff,Inputs!$B179,-Inputs!$B177),0)</f>
        <v>0</v>
      </c>
      <c r="AE93" s="7">
        <f ca="1">-MAX(FV(Inputs!$B178/12,AE$1*12+MthOff,Inputs!$B179,-Inputs!$B177),0)</f>
        <v>0</v>
      </c>
      <c r="AF93" s="7">
        <f ca="1">-MAX(FV(Inputs!$B178/12,AF$1*12+MthOff,Inputs!$B179,-Inputs!$B177),0)</f>
        <v>0</v>
      </c>
      <c r="AG93" s="7">
        <f ca="1">-MAX(FV(Inputs!$B178/12,AG$1*12+MthOff,Inputs!$B179,-Inputs!$B177),0)</f>
        <v>0</v>
      </c>
      <c r="AH93" s="7">
        <f ca="1">-MAX(FV(Inputs!$B178/12,AH$1*12+MthOff,Inputs!$B179,-Inputs!$B177),0)</f>
        <v>0</v>
      </c>
      <c r="AI93" s="7">
        <f ca="1">-MAX(FV(Inputs!$B178/12,AI$1*12+MthOff,Inputs!$B179,-Inputs!$B177),0)</f>
        <v>0</v>
      </c>
      <c r="AJ93" s="7">
        <f ca="1">-MAX(FV(Inputs!$B178/12,AJ$1*12+MthOff,Inputs!$B179,-Inputs!$B177),0)</f>
        <v>0</v>
      </c>
      <c r="AK93" s="7">
        <f ca="1">-MAX(FV(Inputs!$B178/12,AK$1*12+MthOff,Inputs!$B179,-Inputs!$B177),0)</f>
        <v>0</v>
      </c>
      <c r="AL93" s="7">
        <f ca="1">-MAX(FV(Inputs!$B178/12,AL$1*12+MthOff,Inputs!$B179,-Inputs!$B177),0)</f>
        <v>0</v>
      </c>
      <c r="AM93" s="7">
        <f ca="1">-MAX(FV(Inputs!$B178/12,AM$1*12+MthOff,Inputs!$B179,-Inputs!$B177),0)</f>
        <v>0</v>
      </c>
    </row>
    <row r="94" spans="1:39" x14ac:dyDescent="0.2">
      <c r="A94" s="4"/>
      <c r="C94" s="9">
        <f t="shared" ref="C94:AM94" ca="1" si="51">SUM(C65:C93)</f>
        <v>1789619.3445012956</v>
      </c>
      <c r="D94" s="9">
        <f t="shared" ca="1" si="51"/>
        <v>1864141.9295812796</v>
      </c>
      <c r="E94" s="9">
        <f t="shared" ca="1" si="51"/>
        <v>1957643.3432369996</v>
      </c>
      <c r="F94" s="9">
        <f t="shared" ca="1" si="51"/>
        <v>1943566.3117812213</v>
      </c>
      <c r="G94" s="9">
        <f t="shared" ca="1" si="51"/>
        <v>1958032.5505822469</v>
      </c>
      <c r="H94" s="9">
        <f t="shared" ca="1" si="51"/>
        <v>1976480.0390794906</v>
      </c>
      <c r="I94" s="9">
        <f t="shared" ca="1" si="51"/>
        <v>1995384.7064545406</v>
      </c>
      <c r="J94" s="9">
        <f t="shared" ca="1" si="51"/>
        <v>2020991.9387522282</v>
      </c>
      <c r="K94" s="9">
        <f t="shared" ca="1" si="51"/>
        <v>2030367.6445486422</v>
      </c>
      <c r="L94" s="9">
        <f t="shared" ca="1" si="51"/>
        <v>2122519.3635705947</v>
      </c>
      <c r="M94" s="9">
        <f t="shared" ca="1" si="51"/>
        <v>2118475.491937927</v>
      </c>
      <c r="N94" s="9">
        <f t="shared" ca="1" si="51"/>
        <v>2158417.6605000366</v>
      </c>
      <c r="O94" s="9">
        <f t="shared" ca="1" si="51"/>
        <v>2205059.3872083016</v>
      </c>
      <c r="P94" s="9">
        <f t="shared" ca="1" si="51"/>
        <v>2253867.3177628331</v>
      </c>
      <c r="Q94" s="9">
        <f t="shared" ca="1" si="51"/>
        <v>2304889.8024535058</v>
      </c>
      <c r="R94" s="9">
        <f t="shared" ca="1" si="51"/>
        <v>2360432.9710737611</v>
      </c>
      <c r="S94" s="9">
        <f t="shared" ca="1" si="51"/>
        <v>2418539.8812250742</v>
      </c>
      <c r="T94" s="9">
        <f t="shared" ca="1" si="51"/>
        <v>2497243.8880940815</v>
      </c>
      <c r="U94" s="9">
        <f t="shared" ca="1" si="51"/>
        <v>2586920.0198029997</v>
      </c>
      <c r="V94" s="9">
        <f t="shared" ca="1" si="51"/>
        <v>2664670.4770683451</v>
      </c>
      <c r="W94" s="9">
        <f t="shared" ca="1" si="51"/>
        <v>2761340.5644711782</v>
      </c>
      <c r="X94" s="9">
        <f t="shared" ca="1" si="51"/>
        <v>2861821.8155615102</v>
      </c>
      <c r="Y94" s="9">
        <f t="shared" ca="1" si="51"/>
        <v>2944159.0633941963</v>
      </c>
      <c r="Z94" s="9">
        <f t="shared" ca="1" si="51"/>
        <v>3029821.5858983784</v>
      </c>
      <c r="AA94" s="9">
        <f t="shared" ca="1" si="51"/>
        <v>3094061.4501525341</v>
      </c>
      <c r="AB94" s="9">
        <f t="shared" ca="1" si="51"/>
        <v>3183550.4511519209</v>
      </c>
      <c r="AC94" s="9">
        <f t="shared" ca="1" si="51"/>
        <v>3276401.1320646564</v>
      </c>
      <c r="AD94" s="9">
        <f t="shared" ca="1" si="51"/>
        <v>3372715.3192613753</v>
      </c>
      <c r="AE94" s="9">
        <f t="shared" ca="1" si="51"/>
        <v>3482581.4503833875</v>
      </c>
      <c r="AF94" s="9">
        <f t="shared" ca="1" si="51"/>
        <v>3596376.8232663851</v>
      </c>
      <c r="AG94" s="9">
        <f t="shared" ca="1" si="51"/>
        <v>3714222.2546374127</v>
      </c>
      <c r="AH94" s="9">
        <f t="shared" ca="1" si="51"/>
        <v>3837881.4472816237</v>
      </c>
      <c r="AI94" s="9">
        <f t="shared" ca="1" si="51"/>
        <v>3966069.6606393377</v>
      </c>
      <c r="AJ94" s="9">
        <f t="shared" ca="1" si="51"/>
        <v>4098945.1088282224</v>
      </c>
      <c r="AK94" s="9">
        <f t="shared" ca="1" si="51"/>
        <v>4236673.2099231444</v>
      </c>
      <c r="AL94" s="9">
        <f t="shared" ca="1" si="51"/>
        <v>4379426.9269101871</v>
      </c>
      <c r="AM94" s="9">
        <f t="shared" ca="1" si="51"/>
        <v>4527387.1314674336</v>
      </c>
    </row>
    <row r="95" spans="1:39" x14ac:dyDescent="0.2">
      <c r="A95" s="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">
      <c r="A96" s="30" t="s">
        <v>71</v>
      </c>
      <c r="C96" s="7">
        <f t="shared" ref="C96:AM96" ca="1" si="52">C66-buffer</f>
        <v>12809.375000000015</v>
      </c>
      <c r="D96" s="7">
        <f t="shared" ca="1" si="52"/>
        <v>24162.215625000026</v>
      </c>
      <c r="E96" s="7">
        <f t="shared" ca="1" si="52"/>
        <v>41813.279140625047</v>
      </c>
      <c r="F96" s="7">
        <f t="shared" ca="1" si="52"/>
        <v>-46707.318342494793</v>
      </c>
      <c r="G96" s="7">
        <f t="shared" ca="1" si="52"/>
        <v>-107685.33741072394</v>
      </c>
      <c r="H96" s="7">
        <f t="shared" ca="1" si="52"/>
        <v>-165530.45073344803</v>
      </c>
      <c r="I96" s="7">
        <f t="shared" ca="1" si="52"/>
        <v>-198768.97998161564</v>
      </c>
      <c r="J96" s="7">
        <f t="shared" ca="1" si="52"/>
        <v>-232568.86465624889</v>
      </c>
      <c r="K96" s="7">
        <f t="shared" ca="1" si="52"/>
        <v>-284124.16045572638</v>
      </c>
      <c r="L96" s="7">
        <f t="shared" ca="1" si="52"/>
        <v>-253599.9633535335</v>
      </c>
      <c r="M96" s="7">
        <f t="shared" ca="1" si="52"/>
        <v>-317210.126035436</v>
      </c>
      <c r="N96" s="7">
        <f t="shared" ca="1" si="52"/>
        <v>-332318.86424734304</v>
      </c>
      <c r="O96" s="7">
        <f t="shared" ca="1" si="52"/>
        <v>-347565.96380773495</v>
      </c>
      <c r="P96" s="7">
        <f t="shared" ca="1" si="52"/>
        <v>-362947.70303711947</v>
      </c>
      <c r="Q96" s="7">
        <f t="shared" ca="1" si="52"/>
        <v>-378460.05179262091</v>
      </c>
      <c r="R96" s="7">
        <f t="shared" ca="1" si="52"/>
        <v>-394098.65729375376</v>
      </c>
      <c r="S96" s="7">
        <f t="shared" ca="1" si="52"/>
        <v>-409858.82939996105</v>
      </c>
      <c r="T96" s="7">
        <f t="shared" ca="1" si="52"/>
        <v>-407780.4298385065</v>
      </c>
      <c r="U96" s="7">
        <f t="shared" ca="1" si="52"/>
        <v>-397565.97179640277</v>
      </c>
      <c r="V96" s="7">
        <f t="shared" ca="1" si="52"/>
        <v>-386801.77325307368</v>
      </c>
      <c r="W96" s="7">
        <f t="shared" ca="1" si="52"/>
        <v>-375465.2593244834</v>
      </c>
      <c r="X96" s="7">
        <f t="shared" ca="1" si="52"/>
        <v>-363533.02581335016</v>
      </c>
      <c r="Y96" s="7">
        <f t="shared" ca="1" si="52"/>
        <v>-371639.66729904164</v>
      </c>
      <c r="Z96" s="7">
        <f t="shared" ca="1" si="52"/>
        <v>-379617.64860742656</v>
      </c>
      <c r="AA96" s="7">
        <f t="shared" ca="1" si="52"/>
        <v>-387453.81344763876</v>
      </c>
      <c r="AB96" s="7">
        <f t="shared" ca="1" si="52"/>
        <v>-395134.37842794746</v>
      </c>
      <c r="AC96" s="7">
        <f t="shared" ca="1" si="52"/>
        <v>-402644.90843242779</v>
      </c>
      <c r="AD96" s="7">
        <f t="shared" ca="1" si="52"/>
        <v>-409970.29111367406</v>
      </c>
      <c r="AE96" s="7">
        <f t="shared" ca="1" si="52"/>
        <v>-407112.23537761893</v>
      </c>
      <c r="AF96" s="7">
        <f t="shared" ca="1" si="52"/>
        <v>-403787.10742089956</v>
      </c>
      <c r="AG96" s="7">
        <f t="shared" ca="1" si="52"/>
        <v>-399971.36181318137</v>
      </c>
      <c r="AH96" s="7">
        <f t="shared" ca="1" si="52"/>
        <v>-395640.50842962705</v>
      </c>
      <c r="AI96" s="7">
        <f t="shared" ca="1" si="52"/>
        <v>-390769.07815177133</v>
      </c>
      <c r="AJ96" s="7">
        <f t="shared" ca="1" si="52"/>
        <v>-385330.58739046531</v>
      </c>
      <c r="AK96" s="7">
        <f t="shared" ca="1" si="52"/>
        <v>-379297.50139182765</v>
      </c>
      <c r="AL96" s="7">
        <f t="shared" ca="1" si="52"/>
        <v>-372641.19628587604</v>
      </c>
      <c r="AM96" s="7">
        <f t="shared" ca="1" si="52"/>
        <v>-365331.91983620723</v>
      </c>
    </row>
    <row r="97" spans="1:39" x14ac:dyDescent="0.2">
      <c r="A97" s="2" t="s">
        <v>20</v>
      </c>
      <c r="C97" s="7">
        <f ca="1">IF(C96&lt;0,-C96,0)</f>
        <v>0</v>
      </c>
      <c r="D97" s="7">
        <f ca="1">IF(D96+SUM($C97:C97)&lt;0,-(D96+SUM($C97:C97)),0)</f>
        <v>0</v>
      </c>
      <c r="E97" s="7">
        <f ca="1">IF(E96+SUM($C97:D97)&lt;0,-(E96+SUM($C97:D97)),0)</f>
        <v>0</v>
      </c>
      <c r="F97" s="7">
        <f ca="1">IF(F96+SUM($C97:E97)&lt;0,-(F96+SUM($C97:E97)),0)</f>
        <v>46707.318342494793</v>
      </c>
      <c r="G97" s="7">
        <f ca="1">IF(G96+SUM($C97:F97)&lt;0,-(G96+SUM($C97:F97)),0)</f>
        <v>60978.019068229143</v>
      </c>
      <c r="H97" s="7">
        <f ca="1">IF(H96+SUM($C97:G97)&lt;0,-(H96+SUM($C97:G97)),0)</f>
        <v>57845.113322724093</v>
      </c>
      <c r="I97" s="7">
        <f ca="1">IF(I96+SUM($C97:H97)&lt;0,-(I96+SUM($C97:H97)),0)</f>
        <v>33238.529248167615</v>
      </c>
      <c r="J97" s="7">
        <f ca="1">IF(J96+SUM($C97:I97)&lt;0,-(J96+SUM($C97:I97)),0)</f>
        <v>33799.884674633242</v>
      </c>
      <c r="K97" s="7">
        <f ca="1">IF(K96+SUM($C97:J97)&lt;0,-(K96+SUM($C97:J97)),0)</f>
        <v>51555.295799477492</v>
      </c>
      <c r="L97" s="7">
        <f ca="1">IF(L96+SUM($C97:K97)&lt;0,-(L96+SUM($C97:K97)),0)</f>
        <v>0</v>
      </c>
      <c r="M97" s="7">
        <f ca="1">IF(M96+SUM($C97:L97)&lt;0,-(M96+SUM($C97:L97)),0)</f>
        <v>33085.96557970962</v>
      </c>
      <c r="N97" s="7">
        <f ca="1">IF(N96+SUM($C97:M97)&lt;0,-(N96+SUM($C97:M97)),0)</f>
        <v>15108.738211907039</v>
      </c>
      <c r="O97" s="7">
        <f ca="1">IF(O96+SUM($C97:N97)&lt;0,-(O96+SUM($C97:N97)),0)</f>
        <v>15247.099560391915</v>
      </c>
      <c r="P97" s="7">
        <f ca="1">IF(P96+SUM($C97:O97)&lt;0,-(P96+SUM($C97:O97)),0)</f>
        <v>15381.739229384519</v>
      </c>
      <c r="Q97" s="7">
        <f ca="1">IF(Q96+SUM($C97:P97)&lt;0,-(Q96+SUM($C97:P97)),0)</f>
        <v>15512.348755501444</v>
      </c>
      <c r="R97" s="7">
        <f ca="1">IF(R96+SUM($C97:Q97)&lt;0,-(R96+SUM($C97:Q97)),0)</f>
        <v>15638.605501132843</v>
      </c>
      <c r="S97" s="7">
        <f ca="1">IF(S96+SUM($C97:R97)&lt;0,-(S96+SUM($C97:R97)),0)</f>
        <v>15760.17210620729</v>
      </c>
      <c r="T97" s="7">
        <f ca="1">IF(T96+SUM($C97:S97)&lt;0,-(T96+SUM($C97:S97)),0)</f>
        <v>0</v>
      </c>
      <c r="U97" s="7">
        <f ca="1">IF(U96+SUM($C97:T97)&lt;0,-(U96+SUM($C97:T97)),0)</f>
        <v>0</v>
      </c>
      <c r="V97" s="7">
        <f ca="1">IF(V96+SUM($C97:U97)&lt;0,-(V96+SUM($C97:U97)),0)</f>
        <v>0</v>
      </c>
      <c r="W97" s="7">
        <f ca="1">IF(W96+SUM($C97:V97)&lt;0,-(W96+SUM($C97:V97)),0)</f>
        <v>0</v>
      </c>
      <c r="X97" s="7">
        <f ca="1">IF(X96+SUM($C97:W97)&lt;0,-(X96+SUM($C97:W97)),0)</f>
        <v>0</v>
      </c>
      <c r="Y97" s="7">
        <f ca="1">IF(Y96+SUM($C97:X97)&lt;0,-(Y96+SUM($C97:X97)),0)</f>
        <v>0</v>
      </c>
      <c r="Z97" s="7">
        <f ca="1">IF(Z96+SUM($C97:Y97)&lt;0,-(Z96+SUM($C97:Y97)),0)</f>
        <v>0</v>
      </c>
      <c r="AA97" s="7">
        <f ca="1">IF(AA96+SUM($C97:Z97)&lt;0,-(AA96+SUM($C97:Z97)),0)</f>
        <v>0</v>
      </c>
      <c r="AB97" s="7">
        <f ca="1">IF(AB96+SUM($C97:AA97)&lt;0,-(AB96+SUM($C97:AA97)),0)</f>
        <v>0</v>
      </c>
      <c r="AC97" s="7">
        <f ca="1">IF(AC96+SUM($C97:AB97)&lt;0,-(AC96+SUM($C97:AB97)),0)</f>
        <v>0</v>
      </c>
      <c r="AD97" s="7">
        <f ca="1">IF(AD96+SUM($C97:AC97)&lt;0,-(AD96+SUM($C97:AC97)),0)</f>
        <v>111.4617137130117</v>
      </c>
      <c r="AE97" s="7">
        <f ca="1">IF(AE96+SUM($C97:AD97)&lt;0,-(AE96+SUM($C97:AD97)),0)</f>
        <v>0</v>
      </c>
      <c r="AF97" s="7">
        <f ca="1">IF(AF96+SUM($C97:AE97)&lt;0,-(AF96+SUM($C97:AE97)),0)</f>
        <v>0</v>
      </c>
      <c r="AG97" s="7">
        <f ca="1">IF(AG96+SUM($C97:AF97)&lt;0,-(AG96+SUM($C97:AF97)),0)</f>
        <v>0</v>
      </c>
      <c r="AH97" s="7">
        <f ca="1">IF(AH96+SUM($C97:AG97)&lt;0,-(AH96+SUM($C97:AG97)),0)</f>
        <v>0</v>
      </c>
      <c r="AI97" s="7">
        <f ca="1">IF(AI96+SUM($C97:AH97)&lt;0,-(AI96+SUM($C97:AH97)),0)</f>
        <v>0</v>
      </c>
      <c r="AJ97" s="7">
        <f ca="1">IF(AJ96+SUM($C97:AI97)&lt;0,-(AJ96+SUM($C97:AI97)),0)</f>
        <v>0</v>
      </c>
      <c r="AK97" s="7">
        <f ca="1">IF(AK96+SUM($C97:AJ97)&lt;0,-(AK96+SUM($C97:AJ97)),0)</f>
        <v>0</v>
      </c>
      <c r="AL97" s="7">
        <f ca="1">IF(AL96+SUM($C97:AK97)&lt;0,-(AL96+SUM($C97:AK97)),0)</f>
        <v>0</v>
      </c>
      <c r="AM97" s="7">
        <f ca="1">IF(AM96+SUM($C97:AL97)&lt;0,-(AM96+SUM($C97:AL97)),0)</f>
        <v>0</v>
      </c>
    </row>
    <row r="98" spans="1:39" x14ac:dyDescent="0.2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9" x14ac:dyDescent="0.25">
      <c r="A99" s="25" t="s">
        <v>21</v>
      </c>
      <c r="B99" s="26"/>
      <c r="C99" s="27"/>
      <c r="D99" s="28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</row>
    <row r="100" spans="1:39" x14ac:dyDescent="0.2">
      <c r="A100" s="1"/>
      <c r="C100" s="7"/>
      <c r="D100" s="11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x14ac:dyDescent="0.2">
      <c r="A101" s="24" t="s">
        <v>27</v>
      </c>
      <c r="B101" s="26"/>
      <c r="C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x14ac:dyDescent="0.2">
      <c r="A102" s="3" t="s">
        <v>22</v>
      </c>
      <c r="C102" s="7">
        <f ca="1">C80</f>
        <v>31987.064369139065</v>
      </c>
      <c r="D102" s="7">
        <f t="shared" ref="D102:AM102" ca="1" si="53">C105</f>
        <v>31987.064369139065</v>
      </c>
      <c r="E102" s="7">
        <f t="shared" ca="1" si="53"/>
        <v>27189.004713768205</v>
      </c>
      <c r="F102" s="7">
        <f t="shared" ca="1" si="53"/>
        <v>31987.064369139065</v>
      </c>
      <c r="G102" s="7">
        <f t="shared" ca="1" si="53"/>
        <v>0</v>
      </c>
      <c r="H102" s="7">
        <f t="shared" ca="1" si="53"/>
        <v>0</v>
      </c>
      <c r="I102" s="7">
        <f t="shared" ca="1" si="53"/>
        <v>0</v>
      </c>
      <c r="J102" s="7">
        <f t="shared" ca="1" si="53"/>
        <v>0</v>
      </c>
      <c r="K102" s="7">
        <f t="shared" ca="1" si="53"/>
        <v>0</v>
      </c>
      <c r="L102" s="7">
        <f t="shared" ca="1" si="53"/>
        <v>0</v>
      </c>
      <c r="M102" s="7">
        <f t="shared" ca="1" si="53"/>
        <v>0</v>
      </c>
      <c r="N102" s="7">
        <f t="shared" ca="1" si="53"/>
        <v>0</v>
      </c>
      <c r="O102" s="7">
        <f t="shared" ca="1" si="53"/>
        <v>0</v>
      </c>
      <c r="P102" s="7">
        <f t="shared" ca="1" si="53"/>
        <v>0</v>
      </c>
      <c r="Q102" s="7">
        <f t="shared" ca="1" si="53"/>
        <v>0</v>
      </c>
      <c r="R102" s="7">
        <f t="shared" ca="1" si="53"/>
        <v>0</v>
      </c>
      <c r="S102" s="7">
        <f t="shared" ca="1" si="53"/>
        <v>0</v>
      </c>
      <c r="T102" s="7">
        <f t="shared" ca="1" si="53"/>
        <v>0</v>
      </c>
      <c r="U102" s="7">
        <f t="shared" ca="1" si="53"/>
        <v>0</v>
      </c>
      <c r="V102" s="7">
        <f t="shared" ca="1" si="53"/>
        <v>0</v>
      </c>
      <c r="W102" s="7">
        <f t="shared" ca="1" si="53"/>
        <v>0</v>
      </c>
      <c r="X102" s="7">
        <f t="shared" ca="1" si="53"/>
        <v>0</v>
      </c>
      <c r="Y102" s="7">
        <f t="shared" ca="1" si="53"/>
        <v>0</v>
      </c>
      <c r="Z102" s="7">
        <f t="shared" ca="1" si="53"/>
        <v>0</v>
      </c>
      <c r="AA102" s="7">
        <f t="shared" ca="1" si="53"/>
        <v>0</v>
      </c>
      <c r="AB102" s="7">
        <f t="shared" ca="1" si="53"/>
        <v>0</v>
      </c>
      <c r="AC102" s="7">
        <f t="shared" ca="1" si="53"/>
        <v>0</v>
      </c>
      <c r="AD102" s="7">
        <f t="shared" ca="1" si="53"/>
        <v>0</v>
      </c>
      <c r="AE102" s="7">
        <f t="shared" ca="1" si="53"/>
        <v>0</v>
      </c>
      <c r="AF102" s="7">
        <f t="shared" ca="1" si="53"/>
        <v>0</v>
      </c>
      <c r="AG102" s="7">
        <f t="shared" ca="1" si="53"/>
        <v>0</v>
      </c>
      <c r="AH102" s="7">
        <f t="shared" ca="1" si="53"/>
        <v>0</v>
      </c>
      <c r="AI102" s="7">
        <f t="shared" ca="1" si="53"/>
        <v>0</v>
      </c>
      <c r="AJ102" s="7">
        <f t="shared" ca="1" si="53"/>
        <v>0</v>
      </c>
      <c r="AK102" s="7">
        <f t="shared" ca="1" si="53"/>
        <v>0</v>
      </c>
      <c r="AL102" s="7">
        <f t="shared" ca="1" si="53"/>
        <v>0</v>
      </c>
      <c r="AM102" s="7">
        <f t="shared" ca="1" si="53"/>
        <v>0</v>
      </c>
    </row>
    <row r="103" spans="1:39" x14ac:dyDescent="0.2">
      <c r="A103" s="3" t="s">
        <v>23</v>
      </c>
      <c r="C103" s="7">
        <f ca="1">-MIN(C102, C97/(1-Inputs!$B$273))</f>
        <v>0</v>
      </c>
      <c r="D103" s="7">
        <f ca="1">-MIN(D102, D97/(1-Inputs!$B$273))</f>
        <v>0</v>
      </c>
      <c r="E103" s="7">
        <f ca="1">-MIN(E102, E97/(1-Inputs!$B$273))</f>
        <v>0</v>
      </c>
      <c r="F103" s="7">
        <f ca="1">-MIN(F102, F97/(1-Inputs!$B$273))</f>
        <v>-31987.064369139065</v>
      </c>
      <c r="G103" s="7">
        <f ca="1">-MIN(G102, G97/(1-Inputs!$B$273))</f>
        <v>0</v>
      </c>
      <c r="H103" s="7">
        <f ca="1">-MIN(H102, H97/(1-Inputs!$B$273))</f>
        <v>0</v>
      </c>
      <c r="I103" s="7">
        <f ca="1">-MIN(I102, I97/(1-Inputs!$B$273))</f>
        <v>0</v>
      </c>
      <c r="J103" s="7">
        <f ca="1">-MIN(J102, J97/(1-Inputs!$B$273))</f>
        <v>0</v>
      </c>
      <c r="K103" s="7">
        <f ca="1">-MIN(K102, K97/(1-Inputs!$B$273))</f>
        <v>0</v>
      </c>
      <c r="L103" s="7">
        <f ca="1">-MIN(L102, L97/(1-Inputs!$B$273))</f>
        <v>0</v>
      </c>
      <c r="M103" s="7">
        <f ca="1">-MIN(M102, M97/(1-Inputs!$B$273))</f>
        <v>0</v>
      </c>
      <c r="N103" s="7">
        <f ca="1">-MIN(N102, N97/(1-Inputs!$B$273))</f>
        <v>0</v>
      </c>
      <c r="O103" s="7">
        <f ca="1">-MIN(O102, O97/(1-Inputs!$B$273))</f>
        <v>0</v>
      </c>
      <c r="P103" s="7">
        <f ca="1">-MIN(P102, P97/(1-Inputs!$B$273))</f>
        <v>0</v>
      </c>
      <c r="Q103" s="7">
        <f ca="1">-MIN(Q102, Q97/(1-Inputs!$B$273))</f>
        <v>0</v>
      </c>
      <c r="R103" s="7">
        <f ca="1">-MIN(R102, R97/(1-Inputs!$B$273))</f>
        <v>0</v>
      </c>
      <c r="S103" s="7">
        <f ca="1">-MIN(S102, S97/(1-Inputs!$B$273))</f>
        <v>0</v>
      </c>
      <c r="T103" s="7">
        <f ca="1">-MIN(T102, T97/(1-Inputs!$B$273))</f>
        <v>0</v>
      </c>
      <c r="U103" s="7">
        <f ca="1">-MIN(U102, U97/(1-Inputs!$B$273))</f>
        <v>0</v>
      </c>
      <c r="V103" s="7">
        <f ca="1">-MIN(V102, V97/(1-Inputs!$B$273))</f>
        <v>0</v>
      </c>
      <c r="W103" s="7">
        <f ca="1">-MIN(W102, W97/(1-Inputs!$B$273))</f>
        <v>0</v>
      </c>
      <c r="X103" s="7">
        <f ca="1">-MIN(X102, X97/(1-Inputs!$B$273))</f>
        <v>0</v>
      </c>
      <c r="Y103" s="7">
        <f ca="1">-MIN(Y102, Y97/(1-Inputs!$B$273))</f>
        <v>0</v>
      </c>
      <c r="Z103" s="7">
        <f ca="1">-MIN(Z102, Z97/(1-Inputs!$B$273))</f>
        <v>0</v>
      </c>
      <c r="AA103" s="7">
        <f ca="1">-MIN(AA102, AA97/(1-Inputs!$B$273))</f>
        <v>0</v>
      </c>
      <c r="AB103" s="7">
        <f ca="1">-MIN(AB102, AB97/(1-Inputs!$B$273))</f>
        <v>0</v>
      </c>
      <c r="AC103" s="7">
        <f ca="1">-MIN(AC102, AC97/(1-Inputs!$B$273))</f>
        <v>0</v>
      </c>
      <c r="AD103" s="7">
        <f ca="1">-MIN(AD102, AD97/(1-Inputs!$B$273))</f>
        <v>0</v>
      </c>
      <c r="AE103" s="7">
        <f ca="1">-MIN(AE102, AE97/(1-Inputs!$B$273))</f>
        <v>0</v>
      </c>
      <c r="AF103" s="7">
        <f ca="1">-MIN(AF102, AF97/(1-Inputs!$B$273))</f>
        <v>0</v>
      </c>
      <c r="AG103" s="7">
        <f ca="1">-MIN(AG102, AG97/(1-Inputs!$B$273))</f>
        <v>0</v>
      </c>
      <c r="AH103" s="7">
        <f ca="1">-MIN(AH102, AH97/(1-Inputs!$B$273))</f>
        <v>0</v>
      </c>
      <c r="AI103" s="7">
        <f ca="1">-MIN(AI102, AI97/(1-Inputs!$B$273))</f>
        <v>0</v>
      </c>
      <c r="AJ103" s="7">
        <f ca="1">-MIN(AJ102, AJ97/(1-Inputs!$B$273))</f>
        <v>0</v>
      </c>
      <c r="AK103" s="7">
        <f ca="1">-MIN(AK102, AK97/(1-Inputs!$B$273))</f>
        <v>0</v>
      </c>
      <c r="AL103" s="7">
        <f ca="1">-MIN(AL102, AL97/(1-Inputs!$B$273))</f>
        <v>0</v>
      </c>
      <c r="AM103" s="7">
        <f ca="1">-MIN(AM102, AM97/(1-Inputs!$B$273))</f>
        <v>0</v>
      </c>
    </row>
    <row r="104" spans="1:39" x14ac:dyDescent="0.2">
      <c r="A104" s="3" t="s">
        <v>24</v>
      </c>
      <c r="C104" s="7">
        <v>0</v>
      </c>
      <c r="D104" s="7">
        <f ca="1">SUM(D102:D103)*IF(AND(Inputs!$B$218&lt;&gt;"",D$2=Inputs!$B$218),-Inputs!$B$219,IF(AND(Inputs!$B$218&lt;&gt;"",D$2&gt;Inputs!$B$218,D$2&lt;=Inputs!$B$218+Inputs!$B$220),(1/(1-Inputs!$B$219))^(1/Inputs!$B$220)-1,IF(AND(Inputs!$B$223&lt;&gt;"",D$2=Inputs!$B$223),-Inputs!$B$224,IF(AND(Inputs!$B$223&lt;&gt;"",D$2&gt;Inputs!$B$223,D$2&lt;=Inputs!$B$223+Inputs!$B$225),(1/(1-Inputs!$B$224))^(1/Inputs!$B$225)-1,IF(AND(Inputs!$B$228&lt;&gt;"",D$2=Inputs!$B$228),-Inputs!$B$229,IF(AND(Inputs!$B$228&lt;&gt;"",D$2&gt;Inputs!$B$228,D$2&lt;=Inputs!$B$228+Inputs!$B$230),(1/(1-Inputs!$B$229))^(1/Inputs!$B$230)-1,IF(AND(Inputs!$B$233&lt;&gt;"",D$2=Inputs!$B$233),-Inputs!$B$234,IF(AND(Inputs!$B$233&lt;&gt;"",D$2&gt;Inputs!$B$233,D$2&lt;=Inputs!$B$233+Inputs!$B$235),(1/(1-Inputs!$B$234))^(1/Inputs!$B$235)-1,IF(AND(Inputs!$B$238&lt;&gt;"",D$2=Inputs!$B$238),-Inputs!$B$239,IF(AND(Inputs!$B$238&lt;&gt;"",D$2&gt;Inputs!$B$238,D$2&lt;=Inputs!$B$238+Inputs!$B$240),(1/(1-Inputs!$B$239))^(1/Inputs!$B$240)-1,stinc))))))))))</f>
        <v>-4798.0596553708592</v>
      </c>
      <c r="E104" s="7">
        <f ca="1">SUM(E102:E103)*IF(AND(Inputs!$B$218&lt;&gt;"",E$2=Inputs!$B$218),-Inputs!$B$219,IF(AND(Inputs!$B$218&lt;&gt;"",E$2&gt;Inputs!$B$218,E$2&lt;=Inputs!$B$218+Inputs!$B$220),(1/(1-Inputs!$B$219))^(1/Inputs!$B$220)-1,IF(AND(Inputs!$B$223&lt;&gt;"",E$2=Inputs!$B$223),-Inputs!$B$224,IF(AND(Inputs!$B$223&lt;&gt;"",E$2&gt;Inputs!$B$223,E$2&lt;=Inputs!$B$223+Inputs!$B$225),(1/(1-Inputs!$B$224))^(1/Inputs!$B$225)-1,IF(AND(Inputs!$B$228&lt;&gt;"",E$2=Inputs!$B$228),-Inputs!$B$229,IF(AND(Inputs!$B$228&lt;&gt;"",E$2&gt;Inputs!$B$228,E$2&lt;=Inputs!$B$228+Inputs!$B$230),(1/(1-Inputs!$B$229))^(1/Inputs!$B$230)-1,IF(AND(Inputs!$B$233&lt;&gt;"",E$2=Inputs!$B$233),-Inputs!$B$234,IF(AND(Inputs!$B$233&lt;&gt;"",E$2&gt;Inputs!$B$233,E$2&lt;=Inputs!$B$233+Inputs!$B$235),(1/(1-Inputs!$B$234))^(1/Inputs!$B$235)-1,IF(AND(Inputs!$B$238&lt;&gt;"",E$2=Inputs!$B$238),-Inputs!$B$239,IF(AND(Inputs!$B$238&lt;&gt;"",E$2&gt;Inputs!$B$238,E$2&lt;=Inputs!$B$238+Inputs!$B$240),(1/(1-Inputs!$B$239))^(1/Inputs!$B$240)-1,stinc))))))))))</f>
        <v>4798.059655370861</v>
      </c>
      <c r="F104" s="7">
        <f ca="1">SUM(F102:F103)*IF(AND(Inputs!$B$218&lt;&gt;"",F$2=Inputs!$B$218),-Inputs!$B$219,IF(AND(Inputs!$B$218&lt;&gt;"",F$2&gt;Inputs!$B$218,F$2&lt;=Inputs!$B$218+Inputs!$B$220),(1/(1-Inputs!$B$219))^(1/Inputs!$B$220)-1,IF(AND(Inputs!$B$223&lt;&gt;"",F$2=Inputs!$B$223),-Inputs!$B$224,IF(AND(Inputs!$B$223&lt;&gt;"",F$2&gt;Inputs!$B$223,F$2&lt;=Inputs!$B$223+Inputs!$B$225),(1/(1-Inputs!$B$224))^(1/Inputs!$B$225)-1,IF(AND(Inputs!$B$228&lt;&gt;"",F$2=Inputs!$B$228),-Inputs!$B$229,IF(AND(Inputs!$B$228&lt;&gt;"",F$2&gt;Inputs!$B$228,F$2&lt;=Inputs!$B$228+Inputs!$B$230),(1/(1-Inputs!$B$229))^(1/Inputs!$B$230)-1,IF(AND(Inputs!$B$233&lt;&gt;"",F$2=Inputs!$B$233),-Inputs!$B$234,IF(AND(Inputs!$B$233&lt;&gt;"",F$2&gt;Inputs!$B$233,F$2&lt;=Inputs!$B$233+Inputs!$B$235),(1/(1-Inputs!$B$234))^(1/Inputs!$B$235)-1,IF(AND(Inputs!$B$238&lt;&gt;"",F$2=Inputs!$B$238),-Inputs!$B$239,IF(AND(Inputs!$B$238&lt;&gt;"",F$2&gt;Inputs!$B$238,F$2&lt;=Inputs!$B$238+Inputs!$B$240),(1/(1-Inputs!$B$239))^(1/Inputs!$B$240)-1,stinc))))))))))</f>
        <v>0</v>
      </c>
      <c r="G104" s="7">
        <f ca="1">SUM(G102:G103)*IF(AND(Inputs!$B$218&lt;&gt;"",G$2=Inputs!$B$218),-Inputs!$B$219,IF(AND(Inputs!$B$218&lt;&gt;"",G$2&gt;Inputs!$B$218,G$2&lt;=Inputs!$B$218+Inputs!$B$220),(1/(1-Inputs!$B$219))^(1/Inputs!$B$220)-1,IF(AND(Inputs!$B$223&lt;&gt;"",G$2=Inputs!$B$223),-Inputs!$B$224,IF(AND(Inputs!$B$223&lt;&gt;"",G$2&gt;Inputs!$B$223,G$2&lt;=Inputs!$B$223+Inputs!$B$225),(1/(1-Inputs!$B$224))^(1/Inputs!$B$225)-1,IF(AND(Inputs!$B$228&lt;&gt;"",G$2=Inputs!$B$228),-Inputs!$B$229,IF(AND(Inputs!$B$228&lt;&gt;"",G$2&gt;Inputs!$B$228,G$2&lt;=Inputs!$B$228+Inputs!$B$230),(1/(1-Inputs!$B$229))^(1/Inputs!$B$230)-1,IF(AND(Inputs!$B$233&lt;&gt;"",G$2=Inputs!$B$233),-Inputs!$B$234,IF(AND(Inputs!$B$233&lt;&gt;"",G$2&gt;Inputs!$B$233,G$2&lt;=Inputs!$B$233+Inputs!$B$235),(1/(1-Inputs!$B$234))^(1/Inputs!$B$235)-1,IF(AND(Inputs!$B$238&lt;&gt;"",G$2=Inputs!$B$238),-Inputs!$B$239,IF(AND(Inputs!$B$238&lt;&gt;"",G$2&gt;Inputs!$B$238,G$2&lt;=Inputs!$B$238+Inputs!$B$240),(1/(1-Inputs!$B$239))^(1/Inputs!$B$240)-1,stinc))))))))))</f>
        <v>0</v>
      </c>
      <c r="H104" s="7">
        <f ca="1">SUM(H102:H103)*IF(AND(Inputs!$B$218&lt;&gt;"",H$2=Inputs!$B$218),-Inputs!$B$219,IF(AND(Inputs!$B$218&lt;&gt;"",H$2&gt;Inputs!$B$218,H$2&lt;=Inputs!$B$218+Inputs!$B$220),(1/(1-Inputs!$B$219))^(1/Inputs!$B$220)-1,IF(AND(Inputs!$B$223&lt;&gt;"",H$2=Inputs!$B$223),-Inputs!$B$224,IF(AND(Inputs!$B$223&lt;&gt;"",H$2&gt;Inputs!$B$223,H$2&lt;=Inputs!$B$223+Inputs!$B$225),(1/(1-Inputs!$B$224))^(1/Inputs!$B$225)-1,IF(AND(Inputs!$B$228&lt;&gt;"",H$2=Inputs!$B$228),-Inputs!$B$229,IF(AND(Inputs!$B$228&lt;&gt;"",H$2&gt;Inputs!$B$228,H$2&lt;=Inputs!$B$228+Inputs!$B$230),(1/(1-Inputs!$B$229))^(1/Inputs!$B$230)-1,IF(AND(Inputs!$B$233&lt;&gt;"",H$2=Inputs!$B$233),-Inputs!$B$234,IF(AND(Inputs!$B$233&lt;&gt;"",H$2&gt;Inputs!$B$233,H$2&lt;=Inputs!$B$233+Inputs!$B$235),(1/(1-Inputs!$B$234))^(1/Inputs!$B$235)-1,IF(AND(Inputs!$B$238&lt;&gt;"",H$2=Inputs!$B$238),-Inputs!$B$239,IF(AND(Inputs!$B$238&lt;&gt;"",H$2&gt;Inputs!$B$238,H$2&lt;=Inputs!$B$238+Inputs!$B$240),(1/(1-Inputs!$B$239))^(1/Inputs!$B$240)-1,stinc))))))))))</f>
        <v>0</v>
      </c>
      <c r="I104" s="7">
        <f ca="1">SUM(I102:I103)*IF(AND(Inputs!$B$218&lt;&gt;"",I$2=Inputs!$B$218),-Inputs!$B$219,IF(AND(Inputs!$B$218&lt;&gt;"",I$2&gt;Inputs!$B$218,I$2&lt;=Inputs!$B$218+Inputs!$B$220),(1/(1-Inputs!$B$219))^(1/Inputs!$B$220)-1,IF(AND(Inputs!$B$223&lt;&gt;"",I$2=Inputs!$B$223),-Inputs!$B$224,IF(AND(Inputs!$B$223&lt;&gt;"",I$2&gt;Inputs!$B$223,I$2&lt;=Inputs!$B$223+Inputs!$B$225),(1/(1-Inputs!$B$224))^(1/Inputs!$B$225)-1,IF(AND(Inputs!$B$228&lt;&gt;"",I$2=Inputs!$B$228),-Inputs!$B$229,IF(AND(Inputs!$B$228&lt;&gt;"",I$2&gt;Inputs!$B$228,I$2&lt;=Inputs!$B$228+Inputs!$B$230),(1/(1-Inputs!$B$229))^(1/Inputs!$B$230)-1,IF(AND(Inputs!$B$233&lt;&gt;"",I$2=Inputs!$B$233),-Inputs!$B$234,IF(AND(Inputs!$B$233&lt;&gt;"",I$2&gt;Inputs!$B$233,I$2&lt;=Inputs!$B$233+Inputs!$B$235),(1/(1-Inputs!$B$234))^(1/Inputs!$B$235)-1,IF(AND(Inputs!$B$238&lt;&gt;"",I$2=Inputs!$B$238),-Inputs!$B$239,IF(AND(Inputs!$B$238&lt;&gt;"",I$2&gt;Inputs!$B$238,I$2&lt;=Inputs!$B$238+Inputs!$B$240),(1/(1-Inputs!$B$239))^(1/Inputs!$B$240)-1,stinc))))))))))</f>
        <v>0</v>
      </c>
      <c r="J104" s="7">
        <f ca="1">SUM(J102:J103)*IF(AND(Inputs!$B$218&lt;&gt;"",J$2=Inputs!$B$218),-Inputs!$B$219,IF(AND(Inputs!$B$218&lt;&gt;"",J$2&gt;Inputs!$B$218,J$2&lt;=Inputs!$B$218+Inputs!$B$220),(1/(1-Inputs!$B$219))^(1/Inputs!$B$220)-1,IF(AND(Inputs!$B$223&lt;&gt;"",J$2=Inputs!$B$223),-Inputs!$B$224,IF(AND(Inputs!$B$223&lt;&gt;"",J$2&gt;Inputs!$B$223,J$2&lt;=Inputs!$B$223+Inputs!$B$225),(1/(1-Inputs!$B$224))^(1/Inputs!$B$225)-1,IF(AND(Inputs!$B$228&lt;&gt;"",J$2=Inputs!$B$228),-Inputs!$B$229,IF(AND(Inputs!$B$228&lt;&gt;"",J$2&gt;Inputs!$B$228,J$2&lt;=Inputs!$B$228+Inputs!$B$230),(1/(1-Inputs!$B$229))^(1/Inputs!$B$230)-1,IF(AND(Inputs!$B$233&lt;&gt;"",J$2=Inputs!$B$233),-Inputs!$B$234,IF(AND(Inputs!$B$233&lt;&gt;"",J$2&gt;Inputs!$B$233,J$2&lt;=Inputs!$B$233+Inputs!$B$235),(1/(1-Inputs!$B$234))^(1/Inputs!$B$235)-1,IF(AND(Inputs!$B$238&lt;&gt;"",J$2=Inputs!$B$238),-Inputs!$B$239,IF(AND(Inputs!$B$238&lt;&gt;"",J$2&gt;Inputs!$B$238,J$2&lt;=Inputs!$B$238+Inputs!$B$240),(1/(1-Inputs!$B$239))^(1/Inputs!$B$240)-1,stinc))))))))))</f>
        <v>0</v>
      </c>
      <c r="K104" s="7">
        <f ca="1">SUM(K102:K103)*IF(AND(Inputs!$B$218&lt;&gt;"",K$2=Inputs!$B$218),-Inputs!$B$219,IF(AND(Inputs!$B$218&lt;&gt;"",K$2&gt;Inputs!$B$218,K$2&lt;=Inputs!$B$218+Inputs!$B$220),(1/(1-Inputs!$B$219))^(1/Inputs!$B$220)-1,IF(AND(Inputs!$B$223&lt;&gt;"",K$2=Inputs!$B$223),-Inputs!$B$224,IF(AND(Inputs!$B$223&lt;&gt;"",K$2&gt;Inputs!$B$223,K$2&lt;=Inputs!$B$223+Inputs!$B$225),(1/(1-Inputs!$B$224))^(1/Inputs!$B$225)-1,IF(AND(Inputs!$B$228&lt;&gt;"",K$2=Inputs!$B$228),-Inputs!$B$229,IF(AND(Inputs!$B$228&lt;&gt;"",K$2&gt;Inputs!$B$228,K$2&lt;=Inputs!$B$228+Inputs!$B$230),(1/(1-Inputs!$B$229))^(1/Inputs!$B$230)-1,IF(AND(Inputs!$B$233&lt;&gt;"",K$2=Inputs!$B$233),-Inputs!$B$234,IF(AND(Inputs!$B$233&lt;&gt;"",K$2&gt;Inputs!$B$233,K$2&lt;=Inputs!$B$233+Inputs!$B$235),(1/(1-Inputs!$B$234))^(1/Inputs!$B$235)-1,IF(AND(Inputs!$B$238&lt;&gt;"",K$2=Inputs!$B$238),-Inputs!$B$239,IF(AND(Inputs!$B$238&lt;&gt;"",K$2&gt;Inputs!$B$238,K$2&lt;=Inputs!$B$238+Inputs!$B$240),(1/(1-Inputs!$B$239))^(1/Inputs!$B$240)-1,stinc))))))))))</f>
        <v>0</v>
      </c>
      <c r="L104" s="7">
        <f ca="1">SUM(L102:L103)*IF(AND(Inputs!$B$218&lt;&gt;"",L$2=Inputs!$B$218),-Inputs!$B$219,IF(AND(Inputs!$B$218&lt;&gt;"",L$2&gt;Inputs!$B$218,L$2&lt;=Inputs!$B$218+Inputs!$B$220),(1/(1-Inputs!$B$219))^(1/Inputs!$B$220)-1,IF(AND(Inputs!$B$223&lt;&gt;"",L$2=Inputs!$B$223),-Inputs!$B$224,IF(AND(Inputs!$B$223&lt;&gt;"",L$2&gt;Inputs!$B$223,L$2&lt;=Inputs!$B$223+Inputs!$B$225),(1/(1-Inputs!$B$224))^(1/Inputs!$B$225)-1,IF(AND(Inputs!$B$228&lt;&gt;"",L$2=Inputs!$B$228),-Inputs!$B$229,IF(AND(Inputs!$B$228&lt;&gt;"",L$2&gt;Inputs!$B$228,L$2&lt;=Inputs!$B$228+Inputs!$B$230),(1/(1-Inputs!$B$229))^(1/Inputs!$B$230)-1,IF(AND(Inputs!$B$233&lt;&gt;"",L$2=Inputs!$B$233),-Inputs!$B$234,IF(AND(Inputs!$B$233&lt;&gt;"",L$2&gt;Inputs!$B$233,L$2&lt;=Inputs!$B$233+Inputs!$B$235),(1/(1-Inputs!$B$234))^(1/Inputs!$B$235)-1,IF(AND(Inputs!$B$238&lt;&gt;"",L$2=Inputs!$B$238),-Inputs!$B$239,IF(AND(Inputs!$B$238&lt;&gt;"",L$2&gt;Inputs!$B$238,L$2&lt;=Inputs!$B$238+Inputs!$B$240),(1/(1-Inputs!$B$239))^(1/Inputs!$B$240)-1,stinc))))))))))</f>
        <v>0</v>
      </c>
      <c r="M104" s="7">
        <f ca="1">SUM(M102:M103)*IF(AND(Inputs!$B$218&lt;&gt;"",M$2=Inputs!$B$218),-Inputs!$B$219,IF(AND(Inputs!$B$218&lt;&gt;"",M$2&gt;Inputs!$B$218,M$2&lt;=Inputs!$B$218+Inputs!$B$220),(1/(1-Inputs!$B$219))^(1/Inputs!$B$220)-1,IF(AND(Inputs!$B$223&lt;&gt;"",M$2=Inputs!$B$223),-Inputs!$B$224,IF(AND(Inputs!$B$223&lt;&gt;"",M$2&gt;Inputs!$B$223,M$2&lt;=Inputs!$B$223+Inputs!$B$225),(1/(1-Inputs!$B$224))^(1/Inputs!$B$225)-1,IF(AND(Inputs!$B$228&lt;&gt;"",M$2=Inputs!$B$228),-Inputs!$B$229,IF(AND(Inputs!$B$228&lt;&gt;"",M$2&gt;Inputs!$B$228,M$2&lt;=Inputs!$B$228+Inputs!$B$230),(1/(1-Inputs!$B$229))^(1/Inputs!$B$230)-1,IF(AND(Inputs!$B$233&lt;&gt;"",M$2=Inputs!$B$233),-Inputs!$B$234,IF(AND(Inputs!$B$233&lt;&gt;"",M$2&gt;Inputs!$B$233,M$2&lt;=Inputs!$B$233+Inputs!$B$235),(1/(1-Inputs!$B$234))^(1/Inputs!$B$235)-1,IF(AND(Inputs!$B$238&lt;&gt;"",M$2=Inputs!$B$238),-Inputs!$B$239,IF(AND(Inputs!$B$238&lt;&gt;"",M$2&gt;Inputs!$B$238,M$2&lt;=Inputs!$B$238+Inputs!$B$240),(1/(1-Inputs!$B$239))^(1/Inputs!$B$240)-1,stinc))))))))))</f>
        <v>0</v>
      </c>
      <c r="N104" s="7">
        <f ca="1">SUM(N102:N103)*IF(AND(Inputs!$B$218&lt;&gt;"",N$2=Inputs!$B$218),-Inputs!$B$219,IF(AND(Inputs!$B$218&lt;&gt;"",N$2&gt;Inputs!$B$218,N$2&lt;=Inputs!$B$218+Inputs!$B$220),(1/(1-Inputs!$B$219))^(1/Inputs!$B$220)-1,IF(AND(Inputs!$B$223&lt;&gt;"",N$2=Inputs!$B$223),-Inputs!$B$224,IF(AND(Inputs!$B$223&lt;&gt;"",N$2&gt;Inputs!$B$223,N$2&lt;=Inputs!$B$223+Inputs!$B$225),(1/(1-Inputs!$B$224))^(1/Inputs!$B$225)-1,IF(AND(Inputs!$B$228&lt;&gt;"",N$2=Inputs!$B$228),-Inputs!$B$229,IF(AND(Inputs!$B$228&lt;&gt;"",N$2&gt;Inputs!$B$228,N$2&lt;=Inputs!$B$228+Inputs!$B$230),(1/(1-Inputs!$B$229))^(1/Inputs!$B$230)-1,IF(AND(Inputs!$B$233&lt;&gt;"",N$2=Inputs!$B$233),-Inputs!$B$234,IF(AND(Inputs!$B$233&lt;&gt;"",N$2&gt;Inputs!$B$233,N$2&lt;=Inputs!$B$233+Inputs!$B$235),(1/(1-Inputs!$B$234))^(1/Inputs!$B$235)-1,IF(AND(Inputs!$B$238&lt;&gt;"",N$2=Inputs!$B$238),-Inputs!$B$239,IF(AND(Inputs!$B$238&lt;&gt;"",N$2&gt;Inputs!$B$238,N$2&lt;=Inputs!$B$238+Inputs!$B$240),(1/(1-Inputs!$B$239))^(1/Inputs!$B$240)-1,stinc))))))))))</f>
        <v>0</v>
      </c>
      <c r="O104" s="7">
        <f ca="1">SUM(O102:O103)*IF(AND(Inputs!$B$218&lt;&gt;"",O$2=Inputs!$B$218),-Inputs!$B$219,IF(AND(Inputs!$B$218&lt;&gt;"",O$2&gt;Inputs!$B$218,O$2&lt;=Inputs!$B$218+Inputs!$B$220),(1/(1-Inputs!$B$219))^(1/Inputs!$B$220)-1,IF(AND(Inputs!$B$223&lt;&gt;"",O$2=Inputs!$B$223),-Inputs!$B$224,IF(AND(Inputs!$B$223&lt;&gt;"",O$2&gt;Inputs!$B$223,O$2&lt;=Inputs!$B$223+Inputs!$B$225),(1/(1-Inputs!$B$224))^(1/Inputs!$B$225)-1,IF(AND(Inputs!$B$228&lt;&gt;"",O$2=Inputs!$B$228),-Inputs!$B$229,IF(AND(Inputs!$B$228&lt;&gt;"",O$2&gt;Inputs!$B$228,O$2&lt;=Inputs!$B$228+Inputs!$B$230),(1/(1-Inputs!$B$229))^(1/Inputs!$B$230)-1,IF(AND(Inputs!$B$233&lt;&gt;"",O$2=Inputs!$B$233),-Inputs!$B$234,IF(AND(Inputs!$B$233&lt;&gt;"",O$2&gt;Inputs!$B$233,O$2&lt;=Inputs!$B$233+Inputs!$B$235),(1/(1-Inputs!$B$234))^(1/Inputs!$B$235)-1,IF(AND(Inputs!$B$238&lt;&gt;"",O$2=Inputs!$B$238),-Inputs!$B$239,IF(AND(Inputs!$B$238&lt;&gt;"",O$2&gt;Inputs!$B$238,O$2&lt;=Inputs!$B$238+Inputs!$B$240),(1/(1-Inputs!$B$239))^(1/Inputs!$B$240)-1,stinc))))))))))</f>
        <v>0</v>
      </c>
      <c r="P104" s="7">
        <f ca="1">SUM(P102:P103)*IF(AND(Inputs!$B$218&lt;&gt;"",P$2=Inputs!$B$218),-Inputs!$B$219,IF(AND(Inputs!$B$218&lt;&gt;"",P$2&gt;Inputs!$B$218,P$2&lt;=Inputs!$B$218+Inputs!$B$220),(1/(1-Inputs!$B$219))^(1/Inputs!$B$220)-1,IF(AND(Inputs!$B$223&lt;&gt;"",P$2=Inputs!$B$223),-Inputs!$B$224,IF(AND(Inputs!$B$223&lt;&gt;"",P$2&gt;Inputs!$B$223,P$2&lt;=Inputs!$B$223+Inputs!$B$225),(1/(1-Inputs!$B$224))^(1/Inputs!$B$225)-1,IF(AND(Inputs!$B$228&lt;&gt;"",P$2=Inputs!$B$228),-Inputs!$B$229,IF(AND(Inputs!$B$228&lt;&gt;"",P$2&gt;Inputs!$B$228,P$2&lt;=Inputs!$B$228+Inputs!$B$230),(1/(1-Inputs!$B$229))^(1/Inputs!$B$230)-1,IF(AND(Inputs!$B$233&lt;&gt;"",P$2=Inputs!$B$233),-Inputs!$B$234,IF(AND(Inputs!$B$233&lt;&gt;"",P$2&gt;Inputs!$B$233,P$2&lt;=Inputs!$B$233+Inputs!$B$235),(1/(1-Inputs!$B$234))^(1/Inputs!$B$235)-1,IF(AND(Inputs!$B$238&lt;&gt;"",P$2=Inputs!$B$238),-Inputs!$B$239,IF(AND(Inputs!$B$238&lt;&gt;"",P$2&gt;Inputs!$B$238,P$2&lt;=Inputs!$B$238+Inputs!$B$240),(1/(1-Inputs!$B$239))^(1/Inputs!$B$240)-1,stinc))))))))))</f>
        <v>0</v>
      </c>
      <c r="Q104" s="7">
        <f ca="1">SUM(Q102:Q103)*IF(AND(Inputs!$B$218&lt;&gt;"",Q$2=Inputs!$B$218),-Inputs!$B$219,IF(AND(Inputs!$B$218&lt;&gt;"",Q$2&gt;Inputs!$B$218,Q$2&lt;=Inputs!$B$218+Inputs!$B$220),(1/(1-Inputs!$B$219))^(1/Inputs!$B$220)-1,IF(AND(Inputs!$B$223&lt;&gt;"",Q$2=Inputs!$B$223),-Inputs!$B$224,IF(AND(Inputs!$B$223&lt;&gt;"",Q$2&gt;Inputs!$B$223,Q$2&lt;=Inputs!$B$223+Inputs!$B$225),(1/(1-Inputs!$B$224))^(1/Inputs!$B$225)-1,IF(AND(Inputs!$B$228&lt;&gt;"",Q$2=Inputs!$B$228),-Inputs!$B$229,IF(AND(Inputs!$B$228&lt;&gt;"",Q$2&gt;Inputs!$B$228,Q$2&lt;=Inputs!$B$228+Inputs!$B$230),(1/(1-Inputs!$B$229))^(1/Inputs!$B$230)-1,IF(AND(Inputs!$B$233&lt;&gt;"",Q$2=Inputs!$B$233),-Inputs!$B$234,IF(AND(Inputs!$B$233&lt;&gt;"",Q$2&gt;Inputs!$B$233,Q$2&lt;=Inputs!$B$233+Inputs!$B$235),(1/(1-Inputs!$B$234))^(1/Inputs!$B$235)-1,IF(AND(Inputs!$B$238&lt;&gt;"",Q$2=Inputs!$B$238),-Inputs!$B$239,IF(AND(Inputs!$B$238&lt;&gt;"",Q$2&gt;Inputs!$B$238,Q$2&lt;=Inputs!$B$238+Inputs!$B$240),(1/(1-Inputs!$B$239))^(1/Inputs!$B$240)-1,stinc))))))))))</f>
        <v>0</v>
      </c>
      <c r="R104" s="7">
        <f ca="1">SUM(R102:R103)*IF(AND(Inputs!$B$218&lt;&gt;"",R$2=Inputs!$B$218),-Inputs!$B$219,IF(AND(Inputs!$B$218&lt;&gt;"",R$2&gt;Inputs!$B$218,R$2&lt;=Inputs!$B$218+Inputs!$B$220),(1/(1-Inputs!$B$219))^(1/Inputs!$B$220)-1,IF(AND(Inputs!$B$223&lt;&gt;"",R$2=Inputs!$B$223),-Inputs!$B$224,IF(AND(Inputs!$B$223&lt;&gt;"",R$2&gt;Inputs!$B$223,R$2&lt;=Inputs!$B$223+Inputs!$B$225),(1/(1-Inputs!$B$224))^(1/Inputs!$B$225)-1,IF(AND(Inputs!$B$228&lt;&gt;"",R$2=Inputs!$B$228),-Inputs!$B$229,IF(AND(Inputs!$B$228&lt;&gt;"",R$2&gt;Inputs!$B$228,R$2&lt;=Inputs!$B$228+Inputs!$B$230),(1/(1-Inputs!$B$229))^(1/Inputs!$B$230)-1,IF(AND(Inputs!$B$233&lt;&gt;"",R$2=Inputs!$B$233),-Inputs!$B$234,IF(AND(Inputs!$B$233&lt;&gt;"",R$2&gt;Inputs!$B$233,R$2&lt;=Inputs!$B$233+Inputs!$B$235),(1/(1-Inputs!$B$234))^(1/Inputs!$B$235)-1,IF(AND(Inputs!$B$238&lt;&gt;"",R$2=Inputs!$B$238),-Inputs!$B$239,IF(AND(Inputs!$B$238&lt;&gt;"",R$2&gt;Inputs!$B$238,R$2&lt;=Inputs!$B$238+Inputs!$B$240),(1/(1-Inputs!$B$239))^(1/Inputs!$B$240)-1,stinc))))))))))</f>
        <v>0</v>
      </c>
      <c r="S104" s="7">
        <f ca="1">SUM(S102:S103)*IF(AND(Inputs!$B$218&lt;&gt;"",S$2=Inputs!$B$218),-Inputs!$B$219,IF(AND(Inputs!$B$218&lt;&gt;"",S$2&gt;Inputs!$B$218,S$2&lt;=Inputs!$B$218+Inputs!$B$220),(1/(1-Inputs!$B$219))^(1/Inputs!$B$220)-1,IF(AND(Inputs!$B$223&lt;&gt;"",S$2=Inputs!$B$223),-Inputs!$B$224,IF(AND(Inputs!$B$223&lt;&gt;"",S$2&gt;Inputs!$B$223,S$2&lt;=Inputs!$B$223+Inputs!$B$225),(1/(1-Inputs!$B$224))^(1/Inputs!$B$225)-1,IF(AND(Inputs!$B$228&lt;&gt;"",S$2=Inputs!$B$228),-Inputs!$B$229,IF(AND(Inputs!$B$228&lt;&gt;"",S$2&gt;Inputs!$B$228,S$2&lt;=Inputs!$B$228+Inputs!$B$230),(1/(1-Inputs!$B$229))^(1/Inputs!$B$230)-1,IF(AND(Inputs!$B$233&lt;&gt;"",S$2=Inputs!$B$233),-Inputs!$B$234,IF(AND(Inputs!$B$233&lt;&gt;"",S$2&gt;Inputs!$B$233,S$2&lt;=Inputs!$B$233+Inputs!$B$235),(1/(1-Inputs!$B$234))^(1/Inputs!$B$235)-1,IF(AND(Inputs!$B$238&lt;&gt;"",S$2=Inputs!$B$238),-Inputs!$B$239,IF(AND(Inputs!$B$238&lt;&gt;"",S$2&gt;Inputs!$B$238,S$2&lt;=Inputs!$B$238+Inputs!$B$240),(1/(1-Inputs!$B$239))^(1/Inputs!$B$240)-1,stinc))))))))))</f>
        <v>0</v>
      </c>
      <c r="T104" s="7">
        <f ca="1">SUM(T102:T103)*IF(AND(Inputs!$B$218&lt;&gt;"",T$2=Inputs!$B$218),-Inputs!$B$219,IF(AND(Inputs!$B$218&lt;&gt;"",T$2&gt;Inputs!$B$218,T$2&lt;=Inputs!$B$218+Inputs!$B$220),(1/(1-Inputs!$B$219))^(1/Inputs!$B$220)-1,IF(AND(Inputs!$B$223&lt;&gt;"",T$2=Inputs!$B$223),-Inputs!$B$224,IF(AND(Inputs!$B$223&lt;&gt;"",T$2&gt;Inputs!$B$223,T$2&lt;=Inputs!$B$223+Inputs!$B$225),(1/(1-Inputs!$B$224))^(1/Inputs!$B$225)-1,IF(AND(Inputs!$B$228&lt;&gt;"",T$2=Inputs!$B$228),-Inputs!$B$229,IF(AND(Inputs!$B$228&lt;&gt;"",T$2&gt;Inputs!$B$228,T$2&lt;=Inputs!$B$228+Inputs!$B$230),(1/(1-Inputs!$B$229))^(1/Inputs!$B$230)-1,IF(AND(Inputs!$B$233&lt;&gt;"",T$2=Inputs!$B$233),-Inputs!$B$234,IF(AND(Inputs!$B$233&lt;&gt;"",T$2&gt;Inputs!$B$233,T$2&lt;=Inputs!$B$233+Inputs!$B$235),(1/(1-Inputs!$B$234))^(1/Inputs!$B$235)-1,IF(AND(Inputs!$B$238&lt;&gt;"",T$2=Inputs!$B$238),-Inputs!$B$239,IF(AND(Inputs!$B$238&lt;&gt;"",T$2&gt;Inputs!$B$238,T$2&lt;=Inputs!$B$238+Inputs!$B$240),(1/(1-Inputs!$B$239))^(1/Inputs!$B$240)-1,stinc))))))))))</f>
        <v>0</v>
      </c>
      <c r="U104" s="7">
        <f ca="1">SUM(U102:U103)*IF(AND(Inputs!$B$218&lt;&gt;"",U$2=Inputs!$B$218),-Inputs!$B$219,IF(AND(Inputs!$B$218&lt;&gt;"",U$2&gt;Inputs!$B$218,U$2&lt;=Inputs!$B$218+Inputs!$B$220),(1/(1-Inputs!$B$219))^(1/Inputs!$B$220)-1,IF(AND(Inputs!$B$223&lt;&gt;"",U$2=Inputs!$B$223),-Inputs!$B$224,IF(AND(Inputs!$B$223&lt;&gt;"",U$2&gt;Inputs!$B$223,U$2&lt;=Inputs!$B$223+Inputs!$B$225),(1/(1-Inputs!$B$224))^(1/Inputs!$B$225)-1,IF(AND(Inputs!$B$228&lt;&gt;"",U$2=Inputs!$B$228),-Inputs!$B$229,IF(AND(Inputs!$B$228&lt;&gt;"",U$2&gt;Inputs!$B$228,U$2&lt;=Inputs!$B$228+Inputs!$B$230),(1/(1-Inputs!$B$229))^(1/Inputs!$B$230)-1,IF(AND(Inputs!$B$233&lt;&gt;"",U$2=Inputs!$B$233),-Inputs!$B$234,IF(AND(Inputs!$B$233&lt;&gt;"",U$2&gt;Inputs!$B$233,U$2&lt;=Inputs!$B$233+Inputs!$B$235),(1/(1-Inputs!$B$234))^(1/Inputs!$B$235)-1,IF(AND(Inputs!$B$238&lt;&gt;"",U$2=Inputs!$B$238),-Inputs!$B$239,IF(AND(Inputs!$B$238&lt;&gt;"",U$2&gt;Inputs!$B$238,U$2&lt;=Inputs!$B$238+Inputs!$B$240),(1/(1-Inputs!$B$239))^(1/Inputs!$B$240)-1,stinc))))))))))</f>
        <v>0</v>
      </c>
      <c r="V104" s="7">
        <f ca="1">SUM(V102:V103)*IF(AND(Inputs!$B$218&lt;&gt;"",V$2=Inputs!$B$218),-Inputs!$B$219,IF(AND(Inputs!$B$218&lt;&gt;"",V$2&gt;Inputs!$B$218,V$2&lt;=Inputs!$B$218+Inputs!$B$220),(1/(1-Inputs!$B$219))^(1/Inputs!$B$220)-1,IF(AND(Inputs!$B$223&lt;&gt;"",V$2=Inputs!$B$223),-Inputs!$B$224,IF(AND(Inputs!$B$223&lt;&gt;"",V$2&gt;Inputs!$B$223,V$2&lt;=Inputs!$B$223+Inputs!$B$225),(1/(1-Inputs!$B$224))^(1/Inputs!$B$225)-1,IF(AND(Inputs!$B$228&lt;&gt;"",V$2=Inputs!$B$228),-Inputs!$B$229,IF(AND(Inputs!$B$228&lt;&gt;"",V$2&gt;Inputs!$B$228,V$2&lt;=Inputs!$B$228+Inputs!$B$230),(1/(1-Inputs!$B$229))^(1/Inputs!$B$230)-1,IF(AND(Inputs!$B$233&lt;&gt;"",V$2=Inputs!$B$233),-Inputs!$B$234,IF(AND(Inputs!$B$233&lt;&gt;"",V$2&gt;Inputs!$B$233,V$2&lt;=Inputs!$B$233+Inputs!$B$235),(1/(1-Inputs!$B$234))^(1/Inputs!$B$235)-1,IF(AND(Inputs!$B$238&lt;&gt;"",V$2=Inputs!$B$238),-Inputs!$B$239,IF(AND(Inputs!$B$238&lt;&gt;"",V$2&gt;Inputs!$B$238,V$2&lt;=Inputs!$B$238+Inputs!$B$240),(1/(1-Inputs!$B$239))^(1/Inputs!$B$240)-1,stinc))))))))))</f>
        <v>0</v>
      </c>
      <c r="W104" s="7">
        <f ca="1">SUM(W102:W103)*IF(AND(Inputs!$B$218&lt;&gt;"",W$2=Inputs!$B$218),-Inputs!$B$219,IF(AND(Inputs!$B$218&lt;&gt;"",W$2&gt;Inputs!$B$218,W$2&lt;=Inputs!$B$218+Inputs!$B$220),(1/(1-Inputs!$B$219))^(1/Inputs!$B$220)-1,IF(AND(Inputs!$B$223&lt;&gt;"",W$2=Inputs!$B$223),-Inputs!$B$224,IF(AND(Inputs!$B$223&lt;&gt;"",W$2&gt;Inputs!$B$223,W$2&lt;=Inputs!$B$223+Inputs!$B$225),(1/(1-Inputs!$B$224))^(1/Inputs!$B$225)-1,IF(AND(Inputs!$B$228&lt;&gt;"",W$2=Inputs!$B$228),-Inputs!$B$229,IF(AND(Inputs!$B$228&lt;&gt;"",W$2&gt;Inputs!$B$228,W$2&lt;=Inputs!$B$228+Inputs!$B$230),(1/(1-Inputs!$B$229))^(1/Inputs!$B$230)-1,IF(AND(Inputs!$B$233&lt;&gt;"",W$2=Inputs!$B$233),-Inputs!$B$234,IF(AND(Inputs!$B$233&lt;&gt;"",W$2&gt;Inputs!$B$233,W$2&lt;=Inputs!$B$233+Inputs!$B$235),(1/(1-Inputs!$B$234))^(1/Inputs!$B$235)-1,IF(AND(Inputs!$B$238&lt;&gt;"",W$2=Inputs!$B$238),-Inputs!$B$239,IF(AND(Inputs!$B$238&lt;&gt;"",W$2&gt;Inputs!$B$238,W$2&lt;=Inputs!$B$238+Inputs!$B$240),(1/(1-Inputs!$B$239))^(1/Inputs!$B$240)-1,stinc))))))))))</f>
        <v>0</v>
      </c>
      <c r="X104" s="7">
        <f ca="1">SUM(X102:X103)*IF(AND(Inputs!$B$218&lt;&gt;"",X$2=Inputs!$B$218),-Inputs!$B$219,IF(AND(Inputs!$B$218&lt;&gt;"",X$2&gt;Inputs!$B$218,X$2&lt;=Inputs!$B$218+Inputs!$B$220),(1/(1-Inputs!$B$219))^(1/Inputs!$B$220)-1,IF(AND(Inputs!$B$223&lt;&gt;"",X$2=Inputs!$B$223),-Inputs!$B$224,IF(AND(Inputs!$B$223&lt;&gt;"",X$2&gt;Inputs!$B$223,X$2&lt;=Inputs!$B$223+Inputs!$B$225),(1/(1-Inputs!$B$224))^(1/Inputs!$B$225)-1,IF(AND(Inputs!$B$228&lt;&gt;"",X$2=Inputs!$B$228),-Inputs!$B$229,IF(AND(Inputs!$B$228&lt;&gt;"",X$2&gt;Inputs!$B$228,X$2&lt;=Inputs!$B$228+Inputs!$B$230),(1/(1-Inputs!$B$229))^(1/Inputs!$B$230)-1,IF(AND(Inputs!$B$233&lt;&gt;"",X$2=Inputs!$B$233),-Inputs!$B$234,IF(AND(Inputs!$B$233&lt;&gt;"",X$2&gt;Inputs!$B$233,X$2&lt;=Inputs!$B$233+Inputs!$B$235),(1/(1-Inputs!$B$234))^(1/Inputs!$B$235)-1,IF(AND(Inputs!$B$238&lt;&gt;"",X$2=Inputs!$B$238),-Inputs!$B$239,IF(AND(Inputs!$B$238&lt;&gt;"",X$2&gt;Inputs!$B$238,X$2&lt;=Inputs!$B$238+Inputs!$B$240),(1/(1-Inputs!$B$239))^(1/Inputs!$B$240)-1,stinc))))))))))</f>
        <v>0</v>
      </c>
      <c r="Y104" s="7">
        <f ca="1">SUM(Y102:Y103)*IF(AND(Inputs!$B$218&lt;&gt;"",Y$2=Inputs!$B$218),-Inputs!$B$219,IF(AND(Inputs!$B$218&lt;&gt;"",Y$2&gt;Inputs!$B$218,Y$2&lt;=Inputs!$B$218+Inputs!$B$220),(1/(1-Inputs!$B$219))^(1/Inputs!$B$220)-1,IF(AND(Inputs!$B$223&lt;&gt;"",Y$2=Inputs!$B$223),-Inputs!$B$224,IF(AND(Inputs!$B$223&lt;&gt;"",Y$2&gt;Inputs!$B$223,Y$2&lt;=Inputs!$B$223+Inputs!$B$225),(1/(1-Inputs!$B$224))^(1/Inputs!$B$225)-1,IF(AND(Inputs!$B$228&lt;&gt;"",Y$2=Inputs!$B$228),-Inputs!$B$229,IF(AND(Inputs!$B$228&lt;&gt;"",Y$2&gt;Inputs!$B$228,Y$2&lt;=Inputs!$B$228+Inputs!$B$230),(1/(1-Inputs!$B$229))^(1/Inputs!$B$230)-1,IF(AND(Inputs!$B$233&lt;&gt;"",Y$2=Inputs!$B$233),-Inputs!$B$234,IF(AND(Inputs!$B$233&lt;&gt;"",Y$2&gt;Inputs!$B$233,Y$2&lt;=Inputs!$B$233+Inputs!$B$235),(1/(1-Inputs!$B$234))^(1/Inputs!$B$235)-1,IF(AND(Inputs!$B$238&lt;&gt;"",Y$2=Inputs!$B$238),-Inputs!$B$239,IF(AND(Inputs!$B$238&lt;&gt;"",Y$2&gt;Inputs!$B$238,Y$2&lt;=Inputs!$B$238+Inputs!$B$240),(1/(1-Inputs!$B$239))^(1/Inputs!$B$240)-1,stinc))))))))))</f>
        <v>0</v>
      </c>
      <c r="Z104" s="7">
        <f ca="1">SUM(Z102:Z103)*IF(AND(Inputs!$B$218&lt;&gt;"",Z$2=Inputs!$B$218),-Inputs!$B$219,IF(AND(Inputs!$B$218&lt;&gt;"",Z$2&gt;Inputs!$B$218,Z$2&lt;=Inputs!$B$218+Inputs!$B$220),(1/(1-Inputs!$B$219))^(1/Inputs!$B$220)-1,IF(AND(Inputs!$B$223&lt;&gt;"",Z$2=Inputs!$B$223),-Inputs!$B$224,IF(AND(Inputs!$B$223&lt;&gt;"",Z$2&gt;Inputs!$B$223,Z$2&lt;=Inputs!$B$223+Inputs!$B$225),(1/(1-Inputs!$B$224))^(1/Inputs!$B$225)-1,IF(AND(Inputs!$B$228&lt;&gt;"",Z$2=Inputs!$B$228),-Inputs!$B$229,IF(AND(Inputs!$B$228&lt;&gt;"",Z$2&gt;Inputs!$B$228,Z$2&lt;=Inputs!$B$228+Inputs!$B$230),(1/(1-Inputs!$B$229))^(1/Inputs!$B$230)-1,IF(AND(Inputs!$B$233&lt;&gt;"",Z$2=Inputs!$B$233),-Inputs!$B$234,IF(AND(Inputs!$B$233&lt;&gt;"",Z$2&gt;Inputs!$B$233,Z$2&lt;=Inputs!$B$233+Inputs!$B$235),(1/(1-Inputs!$B$234))^(1/Inputs!$B$235)-1,IF(AND(Inputs!$B$238&lt;&gt;"",Z$2=Inputs!$B$238),-Inputs!$B$239,IF(AND(Inputs!$B$238&lt;&gt;"",Z$2&gt;Inputs!$B$238,Z$2&lt;=Inputs!$B$238+Inputs!$B$240),(1/(1-Inputs!$B$239))^(1/Inputs!$B$240)-1,stinc))))))))))</f>
        <v>0</v>
      </c>
      <c r="AA104" s="7">
        <f ca="1">SUM(AA102:AA103)*IF(AND(Inputs!$B$218&lt;&gt;"",AA$2=Inputs!$B$218),-Inputs!$B$219,IF(AND(Inputs!$B$218&lt;&gt;"",AA$2&gt;Inputs!$B$218,AA$2&lt;=Inputs!$B$218+Inputs!$B$220),(1/(1-Inputs!$B$219))^(1/Inputs!$B$220)-1,IF(AND(Inputs!$B$223&lt;&gt;"",AA$2=Inputs!$B$223),-Inputs!$B$224,IF(AND(Inputs!$B$223&lt;&gt;"",AA$2&gt;Inputs!$B$223,AA$2&lt;=Inputs!$B$223+Inputs!$B$225),(1/(1-Inputs!$B$224))^(1/Inputs!$B$225)-1,IF(AND(Inputs!$B$228&lt;&gt;"",AA$2=Inputs!$B$228),-Inputs!$B$229,IF(AND(Inputs!$B$228&lt;&gt;"",AA$2&gt;Inputs!$B$228,AA$2&lt;=Inputs!$B$228+Inputs!$B$230),(1/(1-Inputs!$B$229))^(1/Inputs!$B$230)-1,IF(AND(Inputs!$B$233&lt;&gt;"",AA$2=Inputs!$B$233),-Inputs!$B$234,IF(AND(Inputs!$B$233&lt;&gt;"",AA$2&gt;Inputs!$B$233,AA$2&lt;=Inputs!$B$233+Inputs!$B$235),(1/(1-Inputs!$B$234))^(1/Inputs!$B$235)-1,IF(AND(Inputs!$B$238&lt;&gt;"",AA$2=Inputs!$B$238),-Inputs!$B$239,IF(AND(Inputs!$B$238&lt;&gt;"",AA$2&gt;Inputs!$B$238,AA$2&lt;=Inputs!$B$238+Inputs!$B$240),(1/(1-Inputs!$B$239))^(1/Inputs!$B$240)-1,stinc))))))))))</f>
        <v>0</v>
      </c>
      <c r="AB104" s="7">
        <f ca="1">SUM(AB102:AB103)*IF(AND(Inputs!$B$218&lt;&gt;"",AB$2=Inputs!$B$218),-Inputs!$B$219,IF(AND(Inputs!$B$218&lt;&gt;"",AB$2&gt;Inputs!$B$218,AB$2&lt;=Inputs!$B$218+Inputs!$B$220),(1/(1-Inputs!$B$219))^(1/Inputs!$B$220)-1,IF(AND(Inputs!$B$223&lt;&gt;"",AB$2=Inputs!$B$223),-Inputs!$B$224,IF(AND(Inputs!$B$223&lt;&gt;"",AB$2&gt;Inputs!$B$223,AB$2&lt;=Inputs!$B$223+Inputs!$B$225),(1/(1-Inputs!$B$224))^(1/Inputs!$B$225)-1,IF(AND(Inputs!$B$228&lt;&gt;"",AB$2=Inputs!$B$228),-Inputs!$B$229,IF(AND(Inputs!$B$228&lt;&gt;"",AB$2&gt;Inputs!$B$228,AB$2&lt;=Inputs!$B$228+Inputs!$B$230),(1/(1-Inputs!$B$229))^(1/Inputs!$B$230)-1,IF(AND(Inputs!$B$233&lt;&gt;"",AB$2=Inputs!$B$233),-Inputs!$B$234,IF(AND(Inputs!$B$233&lt;&gt;"",AB$2&gt;Inputs!$B$233,AB$2&lt;=Inputs!$B$233+Inputs!$B$235),(1/(1-Inputs!$B$234))^(1/Inputs!$B$235)-1,IF(AND(Inputs!$B$238&lt;&gt;"",AB$2=Inputs!$B$238),-Inputs!$B$239,IF(AND(Inputs!$B$238&lt;&gt;"",AB$2&gt;Inputs!$B$238,AB$2&lt;=Inputs!$B$238+Inputs!$B$240),(1/(1-Inputs!$B$239))^(1/Inputs!$B$240)-1,stinc))))))))))</f>
        <v>0</v>
      </c>
      <c r="AC104" s="7">
        <f ca="1">SUM(AC102:AC103)*IF(AND(Inputs!$B$218&lt;&gt;"",AC$2=Inputs!$B$218),-Inputs!$B$219,IF(AND(Inputs!$B$218&lt;&gt;"",AC$2&gt;Inputs!$B$218,AC$2&lt;=Inputs!$B$218+Inputs!$B$220),(1/(1-Inputs!$B$219))^(1/Inputs!$B$220)-1,IF(AND(Inputs!$B$223&lt;&gt;"",AC$2=Inputs!$B$223),-Inputs!$B$224,IF(AND(Inputs!$B$223&lt;&gt;"",AC$2&gt;Inputs!$B$223,AC$2&lt;=Inputs!$B$223+Inputs!$B$225),(1/(1-Inputs!$B$224))^(1/Inputs!$B$225)-1,IF(AND(Inputs!$B$228&lt;&gt;"",AC$2=Inputs!$B$228),-Inputs!$B$229,IF(AND(Inputs!$B$228&lt;&gt;"",AC$2&gt;Inputs!$B$228,AC$2&lt;=Inputs!$B$228+Inputs!$B$230),(1/(1-Inputs!$B$229))^(1/Inputs!$B$230)-1,IF(AND(Inputs!$B$233&lt;&gt;"",AC$2=Inputs!$B$233),-Inputs!$B$234,IF(AND(Inputs!$B$233&lt;&gt;"",AC$2&gt;Inputs!$B$233,AC$2&lt;=Inputs!$B$233+Inputs!$B$235),(1/(1-Inputs!$B$234))^(1/Inputs!$B$235)-1,IF(AND(Inputs!$B$238&lt;&gt;"",AC$2=Inputs!$B$238),-Inputs!$B$239,IF(AND(Inputs!$B$238&lt;&gt;"",AC$2&gt;Inputs!$B$238,AC$2&lt;=Inputs!$B$238+Inputs!$B$240),(1/(1-Inputs!$B$239))^(1/Inputs!$B$240)-1,stinc))))))))))</f>
        <v>0</v>
      </c>
      <c r="AD104" s="7">
        <f ca="1">SUM(AD102:AD103)*IF(AND(Inputs!$B$218&lt;&gt;"",AD$2=Inputs!$B$218),-Inputs!$B$219,IF(AND(Inputs!$B$218&lt;&gt;"",AD$2&gt;Inputs!$B$218,AD$2&lt;=Inputs!$B$218+Inputs!$B$220),(1/(1-Inputs!$B$219))^(1/Inputs!$B$220)-1,IF(AND(Inputs!$B$223&lt;&gt;"",AD$2=Inputs!$B$223),-Inputs!$B$224,IF(AND(Inputs!$B$223&lt;&gt;"",AD$2&gt;Inputs!$B$223,AD$2&lt;=Inputs!$B$223+Inputs!$B$225),(1/(1-Inputs!$B$224))^(1/Inputs!$B$225)-1,IF(AND(Inputs!$B$228&lt;&gt;"",AD$2=Inputs!$B$228),-Inputs!$B$229,IF(AND(Inputs!$B$228&lt;&gt;"",AD$2&gt;Inputs!$B$228,AD$2&lt;=Inputs!$B$228+Inputs!$B$230),(1/(1-Inputs!$B$229))^(1/Inputs!$B$230)-1,IF(AND(Inputs!$B$233&lt;&gt;"",AD$2=Inputs!$B$233),-Inputs!$B$234,IF(AND(Inputs!$B$233&lt;&gt;"",AD$2&gt;Inputs!$B$233,AD$2&lt;=Inputs!$B$233+Inputs!$B$235),(1/(1-Inputs!$B$234))^(1/Inputs!$B$235)-1,IF(AND(Inputs!$B$238&lt;&gt;"",AD$2=Inputs!$B$238),-Inputs!$B$239,IF(AND(Inputs!$B$238&lt;&gt;"",AD$2&gt;Inputs!$B$238,AD$2&lt;=Inputs!$B$238+Inputs!$B$240),(1/(1-Inputs!$B$239))^(1/Inputs!$B$240)-1,stinc))))))))))</f>
        <v>0</v>
      </c>
      <c r="AE104" s="7">
        <f ca="1">SUM(AE102:AE103)*IF(AND(Inputs!$B$218&lt;&gt;"",AE$2=Inputs!$B$218),-Inputs!$B$219,IF(AND(Inputs!$B$218&lt;&gt;"",AE$2&gt;Inputs!$B$218,AE$2&lt;=Inputs!$B$218+Inputs!$B$220),(1/(1-Inputs!$B$219))^(1/Inputs!$B$220)-1,IF(AND(Inputs!$B$223&lt;&gt;"",AE$2=Inputs!$B$223),-Inputs!$B$224,IF(AND(Inputs!$B$223&lt;&gt;"",AE$2&gt;Inputs!$B$223,AE$2&lt;=Inputs!$B$223+Inputs!$B$225),(1/(1-Inputs!$B$224))^(1/Inputs!$B$225)-1,IF(AND(Inputs!$B$228&lt;&gt;"",AE$2=Inputs!$B$228),-Inputs!$B$229,IF(AND(Inputs!$B$228&lt;&gt;"",AE$2&gt;Inputs!$B$228,AE$2&lt;=Inputs!$B$228+Inputs!$B$230),(1/(1-Inputs!$B$229))^(1/Inputs!$B$230)-1,IF(AND(Inputs!$B$233&lt;&gt;"",AE$2=Inputs!$B$233),-Inputs!$B$234,IF(AND(Inputs!$B$233&lt;&gt;"",AE$2&gt;Inputs!$B$233,AE$2&lt;=Inputs!$B$233+Inputs!$B$235),(1/(1-Inputs!$B$234))^(1/Inputs!$B$235)-1,IF(AND(Inputs!$B$238&lt;&gt;"",AE$2=Inputs!$B$238),-Inputs!$B$239,IF(AND(Inputs!$B$238&lt;&gt;"",AE$2&gt;Inputs!$B$238,AE$2&lt;=Inputs!$B$238+Inputs!$B$240),(1/(1-Inputs!$B$239))^(1/Inputs!$B$240)-1,stinc))))))))))</f>
        <v>0</v>
      </c>
      <c r="AF104" s="7">
        <f ca="1">SUM(AF102:AF103)*IF(AND(Inputs!$B$218&lt;&gt;"",AF$2=Inputs!$B$218),-Inputs!$B$219,IF(AND(Inputs!$B$218&lt;&gt;"",AF$2&gt;Inputs!$B$218,AF$2&lt;=Inputs!$B$218+Inputs!$B$220),(1/(1-Inputs!$B$219))^(1/Inputs!$B$220)-1,IF(AND(Inputs!$B$223&lt;&gt;"",AF$2=Inputs!$B$223),-Inputs!$B$224,IF(AND(Inputs!$B$223&lt;&gt;"",AF$2&gt;Inputs!$B$223,AF$2&lt;=Inputs!$B$223+Inputs!$B$225),(1/(1-Inputs!$B$224))^(1/Inputs!$B$225)-1,IF(AND(Inputs!$B$228&lt;&gt;"",AF$2=Inputs!$B$228),-Inputs!$B$229,IF(AND(Inputs!$B$228&lt;&gt;"",AF$2&gt;Inputs!$B$228,AF$2&lt;=Inputs!$B$228+Inputs!$B$230),(1/(1-Inputs!$B$229))^(1/Inputs!$B$230)-1,IF(AND(Inputs!$B$233&lt;&gt;"",AF$2=Inputs!$B$233),-Inputs!$B$234,IF(AND(Inputs!$B$233&lt;&gt;"",AF$2&gt;Inputs!$B$233,AF$2&lt;=Inputs!$B$233+Inputs!$B$235),(1/(1-Inputs!$B$234))^(1/Inputs!$B$235)-1,IF(AND(Inputs!$B$238&lt;&gt;"",AF$2=Inputs!$B$238),-Inputs!$B$239,IF(AND(Inputs!$B$238&lt;&gt;"",AF$2&gt;Inputs!$B$238,AF$2&lt;=Inputs!$B$238+Inputs!$B$240),(1/(1-Inputs!$B$239))^(1/Inputs!$B$240)-1,stinc))))))))))</f>
        <v>0</v>
      </c>
      <c r="AG104" s="7">
        <f ca="1">SUM(AG102:AG103)*IF(AND(Inputs!$B$218&lt;&gt;"",AG$2=Inputs!$B$218),-Inputs!$B$219,IF(AND(Inputs!$B$218&lt;&gt;"",AG$2&gt;Inputs!$B$218,AG$2&lt;=Inputs!$B$218+Inputs!$B$220),(1/(1-Inputs!$B$219))^(1/Inputs!$B$220)-1,IF(AND(Inputs!$B$223&lt;&gt;"",AG$2=Inputs!$B$223),-Inputs!$B$224,IF(AND(Inputs!$B$223&lt;&gt;"",AG$2&gt;Inputs!$B$223,AG$2&lt;=Inputs!$B$223+Inputs!$B$225),(1/(1-Inputs!$B$224))^(1/Inputs!$B$225)-1,IF(AND(Inputs!$B$228&lt;&gt;"",AG$2=Inputs!$B$228),-Inputs!$B$229,IF(AND(Inputs!$B$228&lt;&gt;"",AG$2&gt;Inputs!$B$228,AG$2&lt;=Inputs!$B$228+Inputs!$B$230),(1/(1-Inputs!$B$229))^(1/Inputs!$B$230)-1,IF(AND(Inputs!$B$233&lt;&gt;"",AG$2=Inputs!$B$233),-Inputs!$B$234,IF(AND(Inputs!$B$233&lt;&gt;"",AG$2&gt;Inputs!$B$233,AG$2&lt;=Inputs!$B$233+Inputs!$B$235),(1/(1-Inputs!$B$234))^(1/Inputs!$B$235)-1,IF(AND(Inputs!$B$238&lt;&gt;"",AG$2=Inputs!$B$238),-Inputs!$B$239,IF(AND(Inputs!$B$238&lt;&gt;"",AG$2&gt;Inputs!$B$238,AG$2&lt;=Inputs!$B$238+Inputs!$B$240),(1/(1-Inputs!$B$239))^(1/Inputs!$B$240)-1,stinc))))))))))</f>
        <v>0</v>
      </c>
      <c r="AH104" s="7">
        <f ca="1">SUM(AH102:AH103)*IF(AND(Inputs!$B$218&lt;&gt;"",AH$2=Inputs!$B$218),-Inputs!$B$219,IF(AND(Inputs!$B$218&lt;&gt;"",AH$2&gt;Inputs!$B$218,AH$2&lt;=Inputs!$B$218+Inputs!$B$220),(1/(1-Inputs!$B$219))^(1/Inputs!$B$220)-1,IF(AND(Inputs!$B$223&lt;&gt;"",AH$2=Inputs!$B$223),-Inputs!$B$224,IF(AND(Inputs!$B$223&lt;&gt;"",AH$2&gt;Inputs!$B$223,AH$2&lt;=Inputs!$B$223+Inputs!$B$225),(1/(1-Inputs!$B$224))^(1/Inputs!$B$225)-1,IF(AND(Inputs!$B$228&lt;&gt;"",AH$2=Inputs!$B$228),-Inputs!$B$229,IF(AND(Inputs!$B$228&lt;&gt;"",AH$2&gt;Inputs!$B$228,AH$2&lt;=Inputs!$B$228+Inputs!$B$230),(1/(1-Inputs!$B$229))^(1/Inputs!$B$230)-1,IF(AND(Inputs!$B$233&lt;&gt;"",AH$2=Inputs!$B$233),-Inputs!$B$234,IF(AND(Inputs!$B$233&lt;&gt;"",AH$2&gt;Inputs!$B$233,AH$2&lt;=Inputs!$B$233+Inputs!$B$235),(1/(1-Inputs!$B$234))^(1/Inputs!$B$235)-1,IF(AND(Inputs!$B$238&lt;&gt;"",AH$2=Inputs!$B$238),-Inputs!$B$239,IF(AND(Inputs!$B$238&lt;&gt;"",AH$2&gt;Inputs!$B$238,AH$2&lt;=Inputs!$B$238+Inputs!$B$240),(1/(1-Inputs!$B$239))^(1/Inputs!$B$240)-1,stinc))))))))))</f>
        <v>0</v>
      </c>
      <c r="AI104" s="7">
        <f ca="1">SUM(AI102:AI103)*IF(AND(Inputs!$B$218&lt;&gt;"",AI$2=Inputs!$B$218),-Inputs!$B$219,IF(AND(Inputs!$B$218&lt;&gt;"",AI$2&gt;Inputs!$B$218,AI$2&lt;=Inputs!$B$218+Inputs!$B$220),(1/(1-Inputs!$B$219))^(1/Inputs!$B$220)-1,IF(AND(Inputs!$B$223&lt;&gt;"",AI$2=Inputs!$B$223),-Inputs!$B$224,IF(AND(Inputs!$B$223&lt;&gt;"",AI$2&gt;Inputs!$B$223,AI$2&lt;=Inputs!$B$223+Inputs!$B$225),(1/(1-Inputs!$B$224))^(1/Inputs!$B$225)-1,IF(AND(Inputs!$B$228&lt;&gt;"",AI$2=Inputs!$B$228),-Inputs!$B$229,IF(AND(Inputs!$B$228&lt;&gt;"",AI$2&gt;Inputs!$B$228,AI$2&lt;=Inputs!$B$228+Inputs!$B$230),(1/(1-Inputs!$B$229))^(1/Inputs!$B$230)-1,IF(AND(Inputs!$B$233&lt;&gt;"",AI$2=Inputs!$B$233),-Inputs!$B$234,IF(AND(Inputs!$B$233&lt;&gt;"",AI$2&gt;Inputs!$B$233,AI$2&lt;=Inputs!$B$233+Inputs!$B$235),(1/(1-Inputs!$B$234))^(1/Inputs!$B$235)-1,IF(AND(Inputs!$B$238&lt;&gt;"",AI$2=Inputs!$B$238),-Inputs!$B$239,IF(AND(Inputs!$B$238&lt;&gt;"",AI$2&gt;Inputs!$B$238,AI$2&lt;=Inputs!$B$238+Inputs!$B$240),(1/(1-Inputs!$B$239))^(1/Inputs!$B$240)-1,stinc))))))))))</f>
        <v>0</v>
      </c>
      <c r="AJ104" s="7">
        <f ca="1">SUM(AJ102:AJ103)*IF(AND(Inputs!$B$218&lt;&gt;"",AJ$2=Inputs!$B$218),-Inputs!$B$219,IF(AND(Inputs!$B$218&lt;&gt;"",AJ$2&gt;Inputs!$B$218,AJ$2&lt;=Inputs!$B$218+Inputs!$B$220),(1/(1-Inputs!$B$219))^(1/Inputs!$B$220)-1,IF(AND(Inputs!$B$223&lt;&gt;"",AJ$2=Inputs!$B$223),-Inputs!$B$224,IF(AND(Inputs!$B$223&lt;&gt;"",AJ$2&gt;Inputs!$B$223,AJ$2&lt;=Inputs!$B$223+Inputs!$B$225),(1/(1-Inputs!$B$224))^(1/Inputs!$B$225)-1,IF(AND(Inputs!$B$228&lt;&gt;"",AJ$2=Inputs!$B$228),-Inputs!$B$229,IF(AND(Inputs!$B$228&lt;&gt;"",AJ$2&gt;Inputs!$B$228,AJ$2&lt;=Inputs!$B$228+Inputs!$B$230),(1/(1-Inputs!$B$229))^(1/Inputs!$B$230)-1,IF(AND(Inputs!$B$233&lt;&gt;"",AJ$2=Inputs!$B$233),-Inputs!$B$234,IF(AND(Inputs!$B$233&lt;&gt;"",AJ$2&gt;Inputs!$B$233,AJ$2&lt;=Inputs!$B$233+Inputs!$B$235),(1/(1-Inputs!$B$234))^(1/Inputs!$B$235)-1,IF(AND(Inputs!$B$238&lt;&gt;"",AJ$2=Inputs!$B$238),-Inputs!$B$239,IF(AND(Inputs!$B$238&lt;&gt;"",AJ$2&gt;Inputs!$B$238,AJ$2&lt;=Inputs!$B$238+Inputs!$B$240),(1/(1-Inputs!$B$239))^(1/Inputs!$B$240)-1,stinc))))))))))</f>
        <v>0</v>
      </c>
      <c r="AK104" s="7">
        <f ca="1">SUM(AK102:AK103)*IF(AND(Inputs!$B$218&lt;&gt;"",AK$2=Inputs!$B$218),-Inputs!$B$219,IF(AND(Inputs!$B$218&lt;&gt;"",AK$2&gt;Inputs!$B$218,AK$2&lt;=Inputs!$B$218+Inputs!$B$220),(1/(1-Inputs!$B$219))^(1/Inputs!$B$220)-1,IF(AND(Inputs!$B$223&lt;&gt;"",AK$2=Inputs!$B$223),-Inputs!$B$224,IF(AND(Inputs!$B$223&lt;&gt;"",AK$2&gt;Inputs!$B$223,AK$2&lt;=Inputs!$B$223+Inputs!$B$225),(1/(1-Inputs!$B$224))^(1/Inputs!$B$225)-1,IF(AND(Inputs!$B$228&lt;&gt;"",AK$2=Inputs!$B$228),-Inputs!$B$229,IF(AND(Inputs!$B$228&lt;&gt;"",AK$2&gt;Inputs!$B$228,AK$2&lt;=Inputs!$B$228+Inputs!$B$230),(1/(1-Inputs!$B$229))^(1/Inputs!$B$230)-1,IF(AND(Inputs!$B$233&lt;&gt;"",AK$2=Inputs!$B$233),-Inputs!$B$234,IF(AND(Inputs!$B$233&lt;&gt;"",AK$2&gt;Inputs!$B$233,AK$2&lt;=Inputs!$B$233+Inputs!$B$235),(1/(1-Inputs!$B$234))^(1/Inputs!$B$235)-1,IF(AND(Inputs!$B$238&lt;&gt;"",AK$2=Inputs!$B$238),-Inputs!$B$239,IF(AND(Inputs!$B$238&lt;&gt;"",AK$2&gt;Inputs!$B$238,AK$2&lt;=Inputs!$B$238+Inputs!$B$240),(1/(1-Inputs!$B$239))^(1/Inputs!$B$240)-1,stinc))))))))))</f>
        <v>0</v>
      </c>
      <c r="AL104" s="7">
        <f ca="1">SUM(AL102:AL103)*IF(AND(Inputs!$B$218&lt;&gt;"",AL$2=Inputs!$B$218),-Inputs!$B$219,IF(AND(Inputs!$B$218&lt;&gt;"",AL$2&gt;Inputs!$B$218,AL$2&lt;=Inputs!$B$218+Inputs!$B$220),(1/(1-Inputs!$B$219))^(1/Inputs!$B$220)-1,IF(AND(Inputs!$B$223&lt;&gt;"",AL$2=Inputs!$B$223),-Inputs!$B$224,IF(AND(Inputs!$B$223&lt;&gt;"",AL$2&gt;Inputs!$B$223,AL$2&lt;=Inputs!$B$223+Inputs!$B$225),(1/(1-Inputs!$B$224))^(1/Inputs!$B$225)-1,IF(AND(Inputs!$B$228&lt;&gt;"",AL$2=Inputs!$B$228),-Inputs!$B$229,IF(AND(Inputs!$B$228&lt;&gt;"",AL$2&gt;Inputs!$B$228,AL$2&lt;=Inputs!$B$228+Inputs!$B$230),(1/(1-Inputs!$B$229))^(1/Inputs!$B$230)-1,IF(AND(Inputs!$B$233&lt;&gt;"",AL$2=Inputs!$B$233),-Inputs!$B$234,IF(AND(Inputs!$B$233&lt;&gt;"",AL$2&gt;Inputs!$B$233,AL$2&lt;=Inputs!$B$233+Inputs!$B$235),(1/(1-Inputs!$B$234))^(1/Inputs!$B$235)-1,IF(AND(Inputs!$B$238&lt;&gt;"",AL$2=Inputs!$B$238),-Inputs!$B$239,IF(AND(Inputs!$B$238&lt;&gt;"",AL$2&gt;Inputs!$B$238,AL$2&lt;=Inputs!$B$238+Inputs!$B$240),(1/(1-Inputs!$B$239))^(1/Inputs!$B$240)-1,stinc))))))))))</f>
        <v>0</v>
      </c>
      <c r="AM104" s="7">
        <f ca="1">SUM(AM102:AM103)*IF(AND(Inputs!$B$218&lt;&gt;"",AM$2=Inputs!$B$218),-Inputs!$B$219,IF(AND(Inputs!$B$218&lt;&gt;"",AM$2&gt;Inputs!$B$218,AM$2&lt;=Inputs!$B$218+Inputs!$B$220),(1/(1-Inputs!$B$219))^(1/Inputs!$B$220)-1,IF(AND(Inputs!$B$223&lt;&gt;"",AM$2=Inputs!$B$223),-Inputs!$B$224,IF(AND(Inputs!$B$223&lt;&gt;"",AM$2&gt;Inputs!$B$223,AM$2&lt;=Inputs!$B$223+Inputs!$B$225),(1/(1-Inputs!$B$224))^(1/Inputs!$B$225)-1,IF(AND(Inputs!$B$228&lt;&gt;"",AM$2=Inputs!$B$228),-Inputs!$B$229,IF(AND(Inputs!$B$228&lt;&gt;"",AM$2&gt;Inputs!$B$228,AM$2&lt;=Inputs!$B$228+Inputs!$B$230),(1/(1-Inputs!$B$229))^(1/Inputs!$B$230)-1,IF(AND(Inputs!$B$233&lt;&gt;"",AM$2=Inputs!$B$233),-Inputs!$B$234,IF(AND(Inputs!$B$233&lt;&gt;"",AM$2&gt;Inputs!$B$233,AM$2&lt;=Inputs!$B$233+Inputs!$B$235),(1/(1-Inputs!$B$234))^(1/Inputs!$B$235)-1,IF(AND(Inputs!$B$238&lt;&gt;"",AM$2=Inputs!$B$238),-Inputs!$B$239,IF(AND(Inputs!$B$238&lt;&gt;"",AM$2&gt;Inputs!$B$238,AM$2&lt;=Inputs!$B$238+Inputs!$B$240),(1/(1-Inputs!$B$239))^(1/Inputs!$B$240)-1,stinc))))))))))</f>
        <v>0</v>
      </c>
    </row>
    <row r="105" spans="1:39" x14ac:dyDescent="0.2">
      <c r="A105" s="3" t="s">
        <v>25</v>
      </c>
      <c r="C105" s="7">
        <f ca="1">SUM(C102:C104)</f>
        <v>31987.064369139065</v>
      </c>
      <c r="D105" s="7">
        <f ca="1">SUM(D102:D104)</f>
        <v>27189.004713768205</v>
      </c>
      <c r="E105" s="7">
        <f t="shared" ref="E105:AM105" ca="1" si="54">SUM(E102:E104)</f>
        <v>31987.064369139065</v>
      </c>
      <c r="F105" s="7">
        <f t="shared" ca="1" si="54"/>
        <v>0</v>
      </c>
      <c r="G105" s="7">
        <f t="shared" ca="1" si="54"/>
        <v>0</v>
      </c>
      <c r="H105" s="7">
        <f t="shared" ca="1" si="54"/>
        <v>0</v>
      </c>
      <c r="I105" s="7">
        <f t="shared" ca="1" si="54"/>
        <v>0</v>
      </c>
      <c r="J105" s="7">
        <f t="shared" ca="1" si="54"/>
        <v>0</v>
      </c>
      <c r="K105" s="7">
        <f t="shared" ca="1" si="54"/>
        <v>0</v>
      </c>
      <c r="L105" s="7">
        <f t="shared" ca="1" si="54"/>
        <v>0</v>
      </c>
      <c r="M105" s="7">
        <f t="shared" ca="1" si="54"/>
        <v>0</v>
      </c>
      <c r="N105" s="7">
        <f t="shared" ca="1" si="54"/>
        <v>0</v>
      </c>
      <c r="O105" s="7">
        <f t="shared" ca="1" si="54"/>
        <v>0</v>
      </c>
      <c r="P105" s="7">
        <f t="shared" ca="1" si="54"/>
        <v>0</v>
      </c>
      <c r="Q105" s="7">
        <f t="shared" ca="1" si="54"/>
        <v>0</v>
      </c>
      <c r="R105" s="7">
        <f t="shared" ca="1" si="54"/>
        <v>0</v>
      </c>
      <c r="S105" s="7">
        <f t="shared" ca="1" si="54"/>
        <v>0</v>
      </c>
      <c r="T105" s="7">
        <f t="shared" ca="1" si="54"/>
        <v>0</v>
      </c>
      <c r="U105" s="7">
        <f t="shared" ca="1" si="54"/>
        <v>0</v>
      </c>
      <c r="V105" s="7">
        <f t="shared" ca="1" si="54"/>
        <v>0</v>
      </c>
      <c r="W105" s="7">
        <f t="shared" ca="1" si="54"/>
        <v>0</v>
      </c>
      <c r="X105" s="7">
        <f t="shared" ca="1" si="54"/>
        <v>0</v>
      </c>
      <c r="Y105" s="7">
        <f t="shared" ca="1" si="54"/>
        <v>0</v>
      </c>
      <c r="Z105" s="7">
        <f t="shared" ca="1" si="54"/>
        <v>0</v>
      </c>
      <c r="AA105" s="7">
        <f t="shared" ca="1" si="54"/>
        <v>0</v>
      </c>
      <c r="AB105" s="7">
        <f t="shared" ca="1" si="54"/>
        <v>0</v>
      </c>
      <c r="AC105" s="7">
        <f t="shared" ca="1" si="54"/>
        <v>0</v>
      </c>
      <c r="AD105" s="7">
        <f t="shared" ca="1" si="54"/>
        <v>0</v>
      </c>
      <c r="AE105" s="7">
        <f t="shared" ca="1" si="54"/>
        <v>0</v>
      </c>
      <c r="AF105" s="7">
        <f t="shared" ca="1" si="54"/>
        <v>0</v>
      </c>
      <c r="AG105" s="7">
        <f t="shared" ca="1" si="54"/>
        <v>0</v>
      </c>
      <c r="AH105" s="7">
        <f t="shared" ca="1" si="54"/>
        <v>0</v>
      </c>
      <c r="AI105" s="7">
        <f t="shared" ca="1" si="54"/>
        <v>0</v>
      </c>
      <c r="AJ105" s="7">
        <f t="shared" ca="1" si="54"/>
        <v>0</v>
      </c>
      <c r="AK105" s="7">
        <f t="shared" ca="1" si="54"/>
        <v>0</v>
      </c>
      <c r="AL105" s="7">
        <f t="shared" ca="1" si="54"/>
        <v>0</v>
      </c>
      <c r="AM105" s="7">
        <f t="shared" ca="1" si="54"/>
        <v>0</v>
      </c>
    </row>
    <row r="106" spans="1:39" x14ac:dyDescent="0.2">
      <c r="A106" s="3" t="s">
        <v>26</v>
      </c>
      <c r="C106" s="7">
        <f ca="1">C103*Inputs!$B$273</f>
        <v>0</v>
      </c>
      <c r="D106" s="7">
        <f ca="1">D103*Inputs!$B$273</f>
        <v>0</v>
      </c>
      <c r="E106" s="7">
        <f ca="1">E103*Inputs!$B$273</f>
        <v>0</v>
      </c>
      <c r="F106" s="7">
        <f ca="1">F103*Inputs!$B$273</f>
        <v>-1599.3532184569533</v>
      </c>
      <c r="G106" s="7">
        <f ca="1">G103*Inputs!$B$273</f>
        <v>0</v>
      </c>
      <c r="H106" s="7">
        <f ca="1">H103*Inputs!$B$273</f>
        <v>0</v>
      </c>
      <c r="I106" s="7">
        <f ca="1">I103*Inputs!$B$273</f>
        <v>0</v>
      </c>
      <c r="J106" s="7">
        <f ca="1">J103*Inputs!$B$273</f>
        <v>0</v>
      </c>
      <c r="K106" s="7">
        <f ca="1">K103*Inputs!$B$273</f>
        <v>0</v>
      </c>
      <c r="L106" s="7">
        <f ca="1">L103*Inputs!$B$273</f>
        <v>0</v>
      </c>
      <c r="M106" s="7">
        <f ca="1">M103*Inputs!$B$273</f>
        <v>0</v>
      </c>
      <c r="N106" s="7">
        <f ca="1">N103*Inputs!$B$273</f>
        <v>0</v>
      </c>
      <c r="O106" s="7">
        <f ca="1">O103*Inputs!$B$273</f>
        <v>0</v>
      </c>
      <c r="P106" s="7">
        <f ca="1">P103*Inputs!$B$273</f>
        <v>0</v>
      </c>
      <c r="Q106" s="7">
        <f ca="1">Q103*Inputs!$B$273</f>
        <v>0</v>
      </c>
      <c r="R106" s="7">
        <f ca="1">R103*Inputs!$B$273</f>
        <v>0</v>
      </c>
      <c r="S106" s="7">
        <f ca="1">S103*Inputs!$B$273</f>
        <v>0</v>
      </c>
      <c r="T106" s="7">
        <f ca="1">T103*Inputs!$B$273</f>
        <v>0</v>
      </c>
      <c r="U106" s="7">
        <f ca="1">U103*Inputs!$B$273</f>
        <v>0</v>
      </c>
      <c r="V106" s="7">
        <f ca="1">V103*Inputs!$B$273</f>
        <v>0</v>
      </c>
      <c r="W106" s="7">
        <f ca="1">W103*Inputs!$B$273</f>
        <v>0</v>
      </c>
      <c r="X106" s="7">
        <f ca="1">X103*Inputs!$B$273</f>
        <v>0</v>
      </c>
      <c r="Y106" s="7">
        <f ca="1">Y103*Inputs!$B$273</f>
        <v>0</v>
      </c>
      <c r="Z106" s="7">
        <f ca="1">Z103*Inputs!$B$273</f>
        <v>0</v>
      </c>
      <c r="AA106" s="7">
        <f ca="1">AA103*Inputs!$B$273</f>
        <v>0</v>
      </c>
      <c r="AB106" s="7">
        <f ca="1">AB103*Inputs!$B$273</f>
        <v>0</v>
      </c>
      <c r="AC106" s="7">
        <f ca="1">AC103*Inputs!$B$273</f>
        <v>0</v>
      </c>
      <c r="AD106" s="7">
        <f ca="1">AD103*Inputs!$B$273</f>
        <v>0</v>
      </c>
      <c r="AE106" s="7">
        <f ca="1">AE103*Inputs!$B$273</f>
        <v>0</v>
      </c>
      <c r="AF106" s="7">
        <f ca="1">AF103*Inputs!$B$273</f>
        <v>0</v>
      </c>
      <c r="AG106" s="7">
        <f ca="1">AG103*Inputs!$B$273</f>
        <v>0</v>
      </c>
      <c r="AH106" s="7">
        <f ca="1">AH103*Inputs!$B$273</f>
        <v>0</v>
      </c>
      <c r="AI106" s="7">
        <f ca="1">AI103*Inputs!$B$273</f>
        <v>0</v>
      </c>
      <c r="AJ106" s="7">
        <f ca="1">AJ103*Inputs!$B$273</f>
        <v>0</v>
      </c>
      <c r="AK106" s="7">
        <f ca="1">AK103*Inputs!$B$273</f>
        <v>0</v>
      </c>
      <c r="AL106" s="7">
        <f ca="1">AL103*Inputs!$B$273</f>
        <v>0</v>
      </c>
      <c r="AM106" s="7">
        <f ca="1">AM103*Inputs!$B$273</f>
        <v>0</v>
      </c>
    </row>
    <row r="107" spans="1:39" x14ac:dyDescent="0.2">
      <c r="A107" s="3" t="s">
        <v>37</v>
      </c>
      <c r="C107" s="7">
        <f ca="1">-C103+C106</f>
        <v>0</v>
      </c>
      <c r="D107" s="7">
        <f t="shared" ref="D107:AM107" ca="1" si="55">-D103+D106</f>
        <v>0</v>
      </c>
      <c r="E107" s="7">
        <f t="shared" ca="1" si="55"/>
        <v>0</v>
      </c>
      <c r="F107" s="7">
        <f t="shared" ca="1" si="55"/>
        <v>30387.711150682113</v>
      </c>
      <c r="G107" s="7">
        <f t="shared" ca="1" si="55"/>
        <v>0</v>
      </c>
      <c r="H107" s="7">
        <f t="shared" ca="1" si="55"/>
        <v>0</v>
      </c>
      <c r="I107" s="7">
        <f t="shared" ca="1" si="55"/>
        <v>0</v>
      </c>
      <c r="J107" s="7">
        <f t="shared" ca="1" si="55"/>
        <v>0</v>
      </c>
      <c r="K107" s="7">
        <f t="shared" ca="1" si="55"/>
        <v>0</v>
      </c>
      <c r="L107" s="7">
        <f t="shared" ca="1" si="55"/>
        <v>0</v>
      </c>
      <c r="M107" s="7">
        <f t="shared" ca="1" si="55"/>
        <v>0</v>
      </c>
      <c r="N107" s="7">
        <f t="shared" ca="1" si="55"/>
        <v>0</v>
      </c>
      <c r="O107" s="7">
        <f t="shared" ca="1" si="55"/>
        <v>0</v>
      </c>
      <c r="P107" s="7">
        <f t="shared" ca="1" si="55"/>
        <v>0</v>
      </c>
      <c r="Q107" s="7">
        <f t="shared" ca="1" si="55"/>
        <v>0</v>
      </c>
      <c r="R107" s="7">
        <f t="shared" ca="1" si="55"/>
        <v>0</v>
      </c>
      <c r="S107" s="7">
        <f t="shared" ca="1" si="55"/>
        <v>0</v>
      </c>
      <c r="T107" s="7">
        <f t="shared" ca="1" si="55"/>
        <v>0</v>
      </c>
      <c r="U107" s="7">
        <f t="shared" ca="1" si="55"/>
        <v>0</v>
      </c>
      <c r="V107" s="7">
        <f t="shared" ca="1" si="55"/>
        <v>0</v>
      </c>
      <c r="W107" s="7">
        <f t="shared" ca="1" si="55"/>
        <v>0</v>
      </c>
      <c r="X107" s="7">
        <f t="shared" ca="1" si="55"/>
        <v>0</v>
      </c>
      <c r="Y107" s="7">
        <f t="shared" ca="1" si="55"/>
        <v>0</v>
      </c>
      <c r="Z107" s="7">
        <f t="shared" ca="1" si="55"/>
        <v>0</v>
      </c>
      <c r="AA107" s="7">
        <f t="shared" ca="1" si="55"/>
        <v>0</v>
      </c>
      <c r="AB107" s="7">
        <f t="shared" ca="1" si="55"/>
        <v>0</v>
      </c>
      <c r="AC107" s="7">
        <f t="shared" ca="1" si="55"/>
        <v>0</v>
      </c>
      <c r="AD107" s="7">
        <f t="shared" ca="1" si="55"/>
        <v>0</v>
      </c>
      <c r="AE107" s="7">
        <f t="shared" ca="1" si="55"/>
        <v>0</v>
      </c>
      <c r="AF107" s="7">
        <f t="shared" ca="1" si="55"/>
        <v>0</v>
      </c>
      <c r="AG107" s="7">
        <f t="shared" ca="1" si="55"/>
        <v>0</v>
      </c>
      <c r="AH107" s="7">
        <f t="shared" ca="1" si="55"/>
        <v>0</v>
      </c>
      <c r="AI107" s="7">
        <f t="shared" ca="1" si="55"/>
        <v>0</v>
      </c>
      <c r="AJ107" s="7">
        <f t="shared" ca="1" si="55"/>
        <v>0</v>
      </c>
      <c r="AK107" s="7">
        <f t="shared" ca="1" si="55"/>
        <v>0</v>
      </c>
      <c r="AL107" s="7">
        <f t="shared" ca="1" si="55"/>
        <v>0</v>
      </c>
      <c r="AM107" s="7">
        <f t="shared" ca="1" si="55"/>
        <v>0</v>
      </c>
    </row>
    <row r="108" spans="1:39" x14ac:dyDescent="0.2">
      <c r="A108" s="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x14ac:dyDescent="0.2">
      <c r="A109" s="3" t="s">
        <v>71</v>
      </c>
      <c r="C109" s="7">
        <f ca="1">C96+SUM($C107:C107)</f>
        <v>12809.375000000015</v>
      </c>
      <c r="D109" s="7">
        <f ca="1">D96+SUM($C107:D107)</f>
        <v>24162.215625000026</v>
      </c>
      <c r="E109" s="7">
        <f ca="1">E96+SUM($C107:E107)</f>
        <v>41813.279140625047</v>
      </c>
      <c r="F109" s="7">
        <f ca="1">F96+SUM($C107:F107)</f>
        <v>-16319.60719181268</v>
      </c>
      <c r="G109" s="7">
        <f ca="1">G96+SUM($C107:G107)</f>
        <v>-77297.626260041827</v>
      </c>
      <c r="H109" s="7">
        <f ca="1">H96+SUM($C107:H107)</f>
        <v>-135142.73958276591</v>
      </c>
      <c r="I109" s="7">
        <f ca="1">I96+SUM($C107:I107)</f>
        <v>-168381.26883093352</v>
      </c>
      <c r="J109" s="7">
        <f ca="1">J96+SUM($C107:J107)</f>
        <v>-202181.15350556676</v>
      </c>
      <c r="K109" s="7">
        <f ca="1">K96+SUM($C107:K107)</f>
        <v>-253736.44930504425</v>
      </c>
      <c r="L109" s="7">
        <f ca="1">L96+SUM($C107:L107)</f>
        <v>-223212.25220285138</v>
      </c>
      <c r="M109" s="7">
        <f ca="1">M96+SUM($C107:M107)</f>
        <v>-286822.41488475387</v>
      </c>
      <c r="N109" s="7">
        <f ca="1">N96+SUM($C107:N107)</f>
        <v>-301931.15309666091</v>
      </c>
      <c r="O109" s="7">
        <f ca="1">O96+SUM($C107:O107)</f>
        <v>-317178.25265705283</v>
      </c>
      <c r="P109" s="7">
        <f ca="1">P96+SUM($C107:P107)</f>
        <v>-332559.99188643735</v>
      </c>
      <c r="Q109" s="7">
        <f ca="1">Q96+SUM($C107:Q107)</f>
        <v>-348072.34064193879</v>
      </c>
      <c r="R109" s="7">
        <f ca="1">R96+SUM($C107:R107)</f>
        <v>-363710.94614307163</v>
      </c>
      <c r="S109" s="7">
        <f ca="1">S96+SUM($C107:S107)</f>
        <v>-379471.11824927892</v>
      </c>
      <c r="T109" s="7">
        <f ca="1">T96+SUM($C107:T107)</f>
        <v>-377392.71868782438</v>
      </c>
      <c r="U109" s="7">
        <f ca="1">U96+SUM($C107:U107)</f>
        <v>-367178.26064572064</v>
      </c>
      <c r="V109" s="7">
        <f ca="1">V96+SUM($C107:V107)</f>
        <v>-356414.06210239156</v>
      </c>
      <c r="W109" s="7">
        <f ca="1">W96+SUM($C107:W107)</f>
        <v>-345077.54817380127</v>
      </c>
      <c r="X109" s="7">
        <f ca="1">X96+SUM($C107:X107)</f>
        <v>-333145.31466266804</v>
      </c>
      <c r="Y109" s="7">
        <f ca="1">Y96+SUM($C107:Y107)</f>
        <v>-341251.95614835952</v>
      </c>
      <c r="Z109" s="7">
        <f ca="1">Z96+SUM($C107:Z107)</f>
        <v>-349229.93745674443</v>
      </c>
      <c r="AA109" s="7">
        <f ca="1">AA96+SUM($C107:AA107)</f>
        <v>-357066.10229695664</v>
      </c>
      <c r="AB109" s="7">
        <f ca="1">AB96+SUM($C107:AB107)</f>
        <v>-364746.66727726534</v>
      </c>
      <c r="AC109" s="7">
        <f ca="1">AC96+SUM($C107:AC107)</f>
        <v>-372257.19728174567</v>
      </c>
      <c r="AD109" s="7">
        <f ca="1">AD96+SUM($C107:AD107)</f>
        <v>-379582.57996299193</v>
      </c>
      <c r="AE109" s="7">
        <f ca="1">AE96+SUM($C107:AE107)</f>
        <v>-376724.5242269368</v>
      </c>
      <c r="AF109" s="7">
        <f ca="1">AF96+SUM($C107:AF107)</f>
        <v>-373399.39627021743</v>
      </c>
      <c r="AG109" s="7">
        <f ca="1">AG96+SUM($C107:AG107)</f>
        <v>-369583.65066249925</v>
      </c>
      <c r="AH109" s="7">
        <f ca="1">AH96+SUM($C107:AH107)</f>
        <v>-365252.79727894493</v>
      </c>
      <c r="AI109" s="7">
        <f ca="1">AI96+SUM($C107:AI107)</f>
        <v>-360381.36700108921</v>
      </c>
      <c r="AJ109" s="7">
        <f ca="1">AJ96+SUM($C107:AJ107)</f>
        <v>-354942.87623978319</v>
      </c>
      <c r="AK109" s="7">
        <f ca="1">AK96+SUM($C107:AK107)</f>
        <v>-348909.79024114553</v>
      </c>
      <c r="AL109" s="7">
        <f ca="1">AL96+SUM($C107:AL107)</f>
        <v>-342253.48513519391</v>
      </c>
      <c r="AM109" s="7">
        <f ca="1">AM96+SUM($C107:AM107)</f>
        <v>-334944.20868552511</v>
      </c>
    </row>
    <row r="110" spans="1:39" x14ac:dyDescent="0.2">
      <c r="A110" s="3" t="s">
        <v>20</v>
      </c>
      <c r="C110" s="7">
        <f ca="1">IF(C109&lt;0,-C109,0)</f>
        <v>0</v>
      </c>
      <c r="D110" s="7">
        <f ca="1">IF(D109+SUM($C110:C110)&lt;0,-(D109+SUM($C110:C110)),0)</f>
        <v>0</v>
      </c>
      <c r="E110" s="7">
        <f ca="1">IF(E109+SUM($C110:D110)&lt;0,-(E109+SUM($C110:D110)),0)</f>
        <v>0</v>
      </c>
      <c r="F110" s="7">
        <f ca="1">IF(F109+SUM($C110:E110)&lt;0,-(F109+SUM($C110:E110)),0)</f>
        <v>16319.60719181268</v>
      </c>
      <c r="G110" s="7">
        <f ca="1">IF(G109+SUM($C110:F110)&lt;0,-(G109+SUM($C110:F110)),0)</f>
        <v>60978.019068229143</v>
      </c>
      <c r="H110" s="7">
        <f ca="1">IF(H109+SUM($C110:G110)&lt;0,-(H109+SUM($C110:G110)),0)</f>
        <v>57845.113322724079</v>
      </c>
      <c r="I110" s="7">
        <f ca="1">IF(I109+SUM($C110:H110)&lt;0,-(I109+SUM($C110:H110)),0)</f>
        <v>33238.529248167615</v>
      </c>
      <c r="J110" s="7">
        <f ca="1">IF(J109+SUM($C110:I110)&lt;0,-(J109+SUM($C110:I110)),0)</f>
        <v>33799.884674633242</v>
      </c>
      <c r="K110" s="7">
        <f ca="1">IF(K109+SUM($C110:J110)&lt;0,-(K109+SUM($C110:J110)),0)</f>
        <v>51555.295799477492</v>
      </c>
      <c r="L110" s="7">
        <f ca="1">IF(L109+SUM($C110:K110)&lt;0,-(L109+SUM($C110:K110)),0)</f>
        <v>0</v>
      </c>
      <c r="M110" s="7">
        <f ca="1">IF(M109+SUM($C110:L110)&lt;0,-(M109+SUM($C110:L110)),0)</f>
        <v>33085.96557970962</v>
      </c>
      <c r="N110" s="7">
        <f ca="1">IF(N109+SUM($C110:M110)&lt;0,-(N109+SUM($C110:M110)),0)</f>
        <v>15108.738211907039</v>
      </c>
      <c r="O110" s="7">
        <f ca="1">IF(O109+SUM($C110:N110)&lt;0,-(O109+SUM($C110:N110)),0)</f>
        <v>15247.099560391915</v>
      </c>
      <c r="P110" s="7">
        <f ca="1">IF(P109+SUM($C110:O110)&lt;0,-(P109+SUM($C110:O110)),0)</f>
        <v>15381.739229384519</v>
      </c>
      <c r="Q110" s="7">
        <f ca="1">IF(Q109+SUM($C110:P110)&lt;0,-(Q109+SUM($C110:P110)),0)</f>
        <v>15512.348755501444</v>
      </c>
      <c r="R110" s="7">
        <f ca="1">IF(R109+SUM($C110:Q110)&lt;0,-(R109+SUM($C110:Q110)),0)</f>
        <v>15638.605501132843</v>
      </c>
      <c r="S110" s="7">
        <f ca="1">IF(S109+SUM($C110:R110)&lt;0,-(S109+SUM($C110:R110)),0)</f>
        <v>15760.17210620729</v>
      </c>
      <c r="T110" s="7">
        <f ca="1">IF(T109+SUM($C110:S110)&lt;0,-(T109+SUM($C110:S110)),0)</f>
        <v>0</v>
      </c>
      <c r="U110" s="7">
        <f ca="1">IF(U109+SUM($C110:T110)&lt;0,-(U109+SUM($C110:T110)),0)</f>
        <v>0</v>
      </c>
      <c r="V110" s="7">
        <f ca="1">IF(V109+SUM($C110:U110)&lt;0,-(V109+SUM($C110:U110)),0)</f>
        <v>0</v>
      </c>
      <c r="W110" s="7">
        <f ca="1">IF(W109+SUM($C110:V110)&lt;0,-(W109+SUM($C110:V110)),0)</f>
        <v>0</v>
      </c>
      <c r="X110" s="7">
        <f ca="1">IF(X109+SUM($C110:W110)&lt;0,-(X109+SUM($C110:W110)),0)</f>
        <v>0</v>
      </c>
      <c r="Y110" s="7">
        <f ca="1">IF(Y109+SUM($C110:X110)&lt;0,-(Y109+SUM($C110:X110)),0)</f>
        <v>0</v>
      </c>
      <c r="Z110" s="7">
        <f ca="1">IF(Z109+SUM($C110:Y110)&lt;0,-(Z109+SUM($C110:Y110)),0)</f>
        <v>0</v>
      </c>
      <c r="AA110" s="7">
        <f ca="1">IF(AA109+SUM($C110:Z110)&lt;0,-(AA109+SUM($C110:Z110)),0)</f>
        <v>0</v>
      </c>
      <c r="AB110" s="7">
        <f ca="1">IF(AB109+SUM($C110:AA110)&lt;0,-(AB109+SUM($C110:AA110)),0)</f>
        <v>0</v>
      </c>
      <c r="AC110" s="7">
        <f ca="1">IF(AC109+SUM($C110:AB110)&lt;0,-(AC109+SUM($C110:AB110)),0)</f>
        <v>0</v>
      </c>
      <c r="AD110" s="7">
        <f ca="1">IF(AD109+SUM($C110:AC110)&lt;0,-(AD109+SUM($C110:AC110)),0)</f>
        <v>111.4617137130117</v>
      </c>
      <c r="AE110" s="7">
        <f ca="1">IF(AE109+SUM($C110:AD110)&lt;0,-(AE109+SUM($C110:AD110)),0)</f>
        <v>0</v>
      </c>
      <c r="AF110" s="7">
        <f ca="1">IF(AF109+SUM($C110:AE110)&lt;0,-(AF109+SUM($C110:AE110)),0)</f>
        <v>0</v>
      </c>
      <c r="AG110" s="7">
        <f ca="1">IF(AG109+SUM($C110:AF110)&lt;0,-(AG109+SUM($C110:AF110)),0)</f>
        <v>0</v>
      </c>
      <c r="AH110" s="7">
        <f ca="1">IF(AH109+SUM($C110:AG110)&lt;0,-(AH109+SUM($C110:AG110)),0)</f>
        <v>0</v>
      </c>
      <c r="AI110" s="7">
        <f ca="1">IF(AI109+SUM($C110:AH110)&lt;0,-(AI109+SUM($C110:AH110)),0)</f>
        <v>0</v>
      </c>
      <c r="AJ110" s="7">
        <f ca="1">IF(AJ109+SUM($C110:AI110)&lt;0,-(AJ109+SUM($C110:AI110)),0)</f>
        <v>0</v>
      </c>
      <c r="AK110" s="7">
        <f ca="1">IF(AK109+SUM($C110:AJ110)&lt;0,-(AK109+SUM($C110:AJ110)),0)</f>
        <v>0</v>
      </c>
      <c r="AL110" s="7">
        <f ca="1">IF(AL109+SUM($C110:AK110)&lt;0,-(AL109+SUM($C110:AK110)),0)</f>
        <v>0</v>
      </c>
      <c r="AM110" s="7">
        <f ca="1">IF(AM109+SUM($C110:AL110)&lt;0,-(AM109+SUM($C110:AL110)),0)</f>
        <v>0</v>
      </c>
    </row>
    <row r="111" spans="1:39" x14ac:dyDescent="0.2">
      <c r="A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x14ac:dyDescent="0.2">
      <c r="A112" s="24" t="str">
        <f>IF(Inputs!$B$279=6,IFERROR(_xlfn.XLOOKUP($B112,Inputs!$B$280:$B$289,Inputs!$A$280:$A$289,,0,1),""),IFERROR(_xlfn.XLOOKUP($B112,Inputs!$C$280:$C$289,Inputs!$A$280:$A$289,,0,1),""))</f>
        <v>Painting</v>
      </c>
      <c r="B112" s="26">
        <v>1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">
      <c r="A113" s="3" t="s">
        <v>22</v>
      </c>
      <c r="C113" s="7">
        <f ca="1">IFERROR(VLOOKUP($A112,$A$65:$H$94,C$1+2,FALSE),0)</f>
        <v>20498.764350764995</v>
      </c>
      <c r="D113" s="7">
        <f ca="1">C116</f>
        <v>20498.764350764995</v>
      </c>
      <c r="E113" s="7">
        <f t="shared" ref="E113:AM113" ca="1" si="56">D116</f>
        <v>21113.727281287946</v>
      </c>
      <c r="F113" s="7">
        <f t="shared" ca="1" si="56"/>
        <v>0</v>
      </c>
      <c r="G113" s="7">
        <f t="shared" ca="1" si="56"/>
        <v>0</v>
      </c>
      <c r="H113" s="7">
        <f t="shared" ca="1" si="56"/>
        <v>0</v>
      </c>
      <c r="I113" s="7">
        <f t="shared" ca="1" si="56"/>
        <v>0</v>
      </c>
      <c r="J113" s="7">
        <f t="shared" ca="1" si="56"/>
        <v>0</v>
      </c>
      <c r="K113" s="7">
        <f t="shared" ca="1" si="56"/>
        <v>0</v>
      </c>
      <c r="L113" s="7">
        <f t="shared" ca="1" si="56"/>
        <v>0</v>
      </c>
      <c r="M113" s="7">
        <f t="shared" ca="1" si="56"/>
        <v>0</v>
      </c>
      <c r="N113" s="7">
        <f t="shared" ca="1" si="56"/>
        <v>0</v>
      </c>
      <c r="O113" s="7">
        <f t="shared" ca="1" si="56"/>
        <v>0</v>
      </c>
      <c r="P113" s="7">
        <f t="shared" ca="1" si="56"/>
        <v>0</v>
      </c>
      <c r="Q113" s="7">
        <f t="shared" ca="1" si="56"/>
        <v>0</v>
      </c>
      <c r="R113" s="7">
        <f t="shared" ca="1" si="56"/>
        <v>0</v>
      </c>
      <c r="S113" s="7">
        <f t="shared" ca="1" si="56"/>
        <v>0</v>
      </c>
      <c r="T113" s="7">
        <f t="shared" ca="1" si="56"/>
        <v>0</v>
      </c>
      <c r="U113" s="7">
        <f t="shared" ca="1" si="56"/>
        <v>0</v>
      </c>
      <c r="V113" s="7">
        <f t="shared" ca="1" si="56"/>
        <v>0</v>
      </c>
      <c r="W113" s="7">
        <f t="shared" ca="1" si="56"/>
        <v>0</v>
      </c>
      <c r="X113" s="7">
        <f t="shared" ca="1" si="56"/>
        <v>0</v>
      </c>
      <c r="Y113" s="7">
        <f t="shared" ca="1" si="56"/>
        <v>0</v>
      </c>
      <c r="Z113" s="7">
        <f t="shared" ca="1" si="56"/>
        <v>0</v>
      </c>
      <c r="AA113" s="7">
        <f t="shared" ca="1" si="56"/>
        <v>0</v>
      </c>
      <c r="AB113" s="7">
        <f t="shared" ca="1" si="56"/>
        <v>0</v>
      </c>
      <c r="AC113" s="7">
        <f t="shared" ca="1" si="56"/>
        <v>0</v>
      </c>
      <c r="AD113" s="7">
        <f t="shared" ca="1" si="56"/>
        <v>0</v>
      </c>
      <c r="AE113" s="7">
        <f t="shared" ca="1" si="56"/>
        <v>0</v>
      </c>
      <c r="AF113" s="7">
        <f t="shared" ca="1" si="56"/>
        <v>0</v>
      </c>
      <c r="AG113" s="7">
        <f t="shared" ca="1" si="56"/>
        <v>0</v>
      </c>
      <c r="AH113" s="7">
        <f t="shared" ca="1" si="56"/>
        <v>0</v>
      </c>
      <c r="AI113" s="7">
        <f t="shared" ca="1" si="56"/>
        <v>0</v>
      </c>
      <c r="AJ113" s="7">
        <f t="shared" ca="1" si="56"/>
        <v>0</v>
      </c>
      <c r="AK113" s="7">
        <f t="shared" ca="1" si="56"/>
        <v>0</v>
      </c>
      <c r="AL113" s="7">
        <f t="shared" ca="1" si="56"/>
        <v>0</v>
      </c>
      <c r="AM113" s="7">
        <f t="shared" ca="1" si="56"/>
        <v>0</v>
      </c>
    </row>
    <row r="114" spans="1:39" x14ac:dyDescent="0.2">
      <c r="A114" s="3" t="s">
        <v>23</v>
      </c>
      <c r="C114" s="7">
        <f ca="1">-IF(D110&gt;0,C113,0)</f>
        <v>0</v>
      </c>
      <c r="D114" s="7">
        <f ca="1">-IF(E110&gt;0,D113,0)</f>
        <v>0</v>
      </c>
      <c r="E114" s="7">
        <f ca="1">-IF(F110&gt;0,E113,0)</f>
        <v>-21113.727281287946</v>
      </c>
      <c r="F114" s="7">
        <f ca="1">-IF(G110&gt;0,F113,0)</f>
        <v>0</v>
      </c>
      <c r="G114" s="7">
        <f t="shared" ref="G114:AM114" ca="1" si="57">-IF(H110&gt;0,G113,0)</f>
        <v>0</v>
      </c>
      <c r="H114" s="7">
        <f t="shared" ca="1" si="57"/>
        <v>0</v>
      </c>
      <c r="I114" s="7">
        <f t="shared" ca="1" si="57"/>
        <v>0</v>
      </c>
      <c r="J114" s="7">
        <f t="shared" ca="1" si="57"/>
        <v>0</v>
      </c>
      <c r="K114" s="7">
        <f t="shared" ca="1" si="57"/>
        <v>0</v>
      </c>
      <c r="L114" s="7">
        <f t="shared" ca="1" si="57"/>
        <v>0</v>
      </c>
      <c r="M114" s="7">
        <f t="shared" ca="1" si="57"/>
        <v>0</v>
      </c>
      <c r="N114" s="7">
        <f t="shared" ca="1" si="57"/>
        <v>0</v>
      </c>
      <c r="O114" s="7">
        <f t="shared" ca="1" si="57"/>
        <v>0</v>
      </c>
      <c r="P114" s="7">
        <f t="shared" ca="1" si="57"/>
        <v>0</v>
      </c>
      <c r="Q114" s="7">
        <f t="shared" ca="1" si="57"/>
        <v>0</v>
      </c>
      <c r="R114" s="7">
        <f t="shared" ca="1" si="57"/>
        <v>0</v>
      </c>
      <c r="S114" s="7">
        <f t="shared" ca="1" si="57"/>
        <v>0</v>
      </c>
      <c r="T114" s="7">
        <f t="shared" ca="1" si="57"/>
        <v>0</v>
      </c>
      <c r="U114" s="7">
        <f t="shared" ca="1" si="57"/>
        <v>0</v>
      </c>
      <c r="V114" s="7">
        <f t="shared" ca="1" si="57"/>
        <v>0</v>
      </c>
      <c r="W114" s="7">
        <f t="shared" ca="1" si="57"/>
        <v>0</v>
      </c>
      <c r="X114" s="7">
        <f t="shared" ca="1" si="57"/>
        <v>0</v>
      </c>
      <c r="Y114" s="7">
        <f t="shared" ca="1" si="57"/>
        <v>0</v>
      </c>
      <c r="Z114" s="7">
        <f t="shared" ca="1" si="57"/>
        <v>0</v>
      </c>
      <c r="AA114" s="7">
        <f t="shared" ca="1" si="57"/>
        <v>0</v>
      </c>
      <c r="AB114" s="7">
        <f t="shared" ca="1" si="57"/>
        <v>0</v>
      </c>
      <c r="AC114" s="7">
        <f t="shared" ca="1" si="57"/>
        <v>0</v>
      </c>
      <c r="AD114" s="7">
        <f t="shared" ca="1" si="57"/>
        <v>0</v>
      </c>
      <c r="AE114" s="7">
        <f t="shared" ca="1" si="57"/>
        <v>0</v>
      </c>
      <c r="AF114" s="7">
        <f t="shared" ca="1" si="57"/>
        <v>0</v>
      </c>
      <c r="AG114" s="7">
        <f t="shared" ca="1" si="57"/>
        <v>0</v>
      </c>
      <c r="AH114" s="7">
        <f t="shared" ca="1" si="57"/>
        <v>0</v>
      </c>
      <c r="AI114" s="7">
        <f t="shared" ca="1" si="57"/>
        <v>0</v>
      </c>
      <c r="AJ114" s="7">
        <f t="shared" ca="1" si="57"/>
        <v>0</v>
      </c>
      <c r="AK114" s="7">
        <f t="shared" ca="1" si="57"/>
        <v>0</v>
      </c>
      <c r="AL114" s="7">
        <f t="shared" ca="1" si="57"/>
        <v>0</v>
      </c>
      <c r="AM114" s="7">
        <f t="shared" si="57"/>
        <v>0</v>
      </c>
    </row>
    <row r="115" spans="1:39" x14ac:dyDescent="0.2">
      <c r="A115" s="3" t="s">
        <v>24</v>
      </c>
      <c r="C115" s="7">
        <v>0</v>
      </c>
      <c r="D115" s="7">
        <f t="shared" ref="D115:AM115" ca="1" si="58">SUM(D113:D114)*VLOOKUP($A112,AssVar,2,FALSE)</f>
        <v>614.96293052294982</v>
      </c>
      <c r="E115" s="7">
        <f t="shared" ca="1" si="58"/>
        <v>0</v>
      </c>
      <c r="F115" s="7">
        <f t="shared" ca="1" si="58"/>
        <v>0</v>
      </c>
      <c r="G115" s="7">
        <f t="shared" ca="1" si="58"/>
        <v>0</v>
      </c>
      <c r="H115" s="7">
        <f t="shared" ca="1" si="58"/>
        <v>0</v>
      </c>
      <c r="I115" s="7">
        <f t="shared" ca="1" si="58"/>
        <v>0</v>
      </c>
      <c r="J115" s="7">
        <f t="shared" ca="1" si="58"/>
        <v>0</v>
      </c>
      <c r="K115" s="7">
        <f t="shared" ca="1" si="58"/>
        <v>0</v>
      </c>
      <c r="L115" s="7">
        <f t="shared" ca="1" si="58"/>
        <v>0</v>
      </c>
      <c r="M115" s="7">
        <f t="shared" ca="1" si="58"/>
        <v>0</v>
      </c>
      <c r="N115" s="7">
        <f t="shared" ca="1" si="58"/>
        <v>0</v>
      </c>
      <c r="O115" s="7">
        <f t="shared" ca="1" si="58"/>
        <v>0</v>
      </c>
      <c r="P115" s="7">
        <f t="shared" ca="1" si="58"/>
        <v>0</v>
      </c>
      <c r="Q115" s="7">
        <f t="shared" ca="1" si="58"/>
        <v>0</v>
      </c>
      <c r="R115" s="7">
        <f t="shared" ca="1" si="58"/>
        <v>0</v>
      </c>
      <c r="S115" s="7">
        <f t="shared" ca="1" si="58"/>
        <v>0</v>
      </c>
      <c r="T115" s="7">
        <f t="shared" ca="1" si="58"/>
        <v>0</v>
      </c>
      <c r="U115" s="7">
        <f t="shared" ca="1" si="58"/>
        <v>0</v>
      </c>
      <c r="V115" s="7">
        <f t="shared" ca="1" si="58"/>
        <v>0</v>
      </c>
      <c r="W115" s="7">
        <f t="shared" ca="1" si="58"/>
        <v>0</v>
      </c>
      <c r="X115" s="7">
        <f t="shared" ca="1" si="58"/>
        <v>0</v>
      </c>
      <c r="Y115" s="7">
        <f t="shared" ca="1" si="58"/>
        <v>0</v>
      </c>
      <c r="Z115" s="7">
        <f t="shared" ca="1" si="58"/>
        <v>0</v>
      </c>
      <c r="AA115" s="7">
        <f t="shared" ca="1" si="58"/>
        <v>0</v>
      </c>
      <c r="AB115" s="7">
        <f t="shared" ca="1" si="58"/>
        <v>0</v>
      </c>
      <c r="AC115" s="7">
        <f t="shared" ca="1" si="58"/>
        <v>0</v>
      </c>
      <c r="AD115" s="7">
        <f t="shared" ca="1" si="58"/>
        <v>0</v>
      </c>
      <c r="AE115" s="7">
        <f t="shared" ca="1" si="58"/>
        <v>0</v>
      </c>
      <c r="AF115" s="7">
        <f t="shared" ca="1" si="58"/>
        <v>0</v>
      </c>
      <c r="AG115" s="7">
        <f t="shared" ca="1" si="58"/>
        <v>0</v>
      </c>
      <c r="AH115" s="7">
        <f t="shared" ca="1" si="58"/>
        <v>0</v>
      </c>
      <c r="AI115" s="7">
        <f t="shared" ca="1" si="58"/>
        <v>0</v>
      </c>
      <c r="AJ115" s="7">
        <f t="shared" ca="1" si="58"/>
        <v>0</v>
      </c>
      <c r="AK115" s="7">
        <f t="shared" ca="1" si="58"/>
        <v>0</v>
      </c>
      <c r="AL115" s="7">
        <f t="shared" ca="1" si="58"/>
        <v>0</v>
      </c>
      <c r="AM115" s="7">
        <f t="shared" ca="1" si="58"/>
        <v>0</v>
      </c>
    </row>
    <row r="116" spans="1:39" x14ac:dyDescent="0.2">
      <c r="A116" s="3" t="s">
        <v>25</v>
      </c>
      <c r="C116" s="7">
        <f ca="1">SUM(C113:C115)</f>
        <v>20498.764350764995</v>
      </c>
      <c r="D116" s="7">
        <f t="shared" ref="D116:AM116" ca="1" si="59">SUM(D113:D115)</f>
        <v>21113.727281287946</v>
      </c>
      <c r="E116" s="7">
        <f t="shared" ca="1" si="59"/>
        <v>0</v>
      </c>
      <c r="F116" s="7">
        <f t="shared" ca="1" si="59"/>
        <v>0</v>
      </c>
      <c r="G116" s="7">
        <f t="shared" ca="1" si="59"/>
        <v>0</v>
      </c>
      <c r="H116" s="7">
        <f t="shared" ca="1" si="59"/>
        <v>0</v>
      </c>
      <c r="I116" s="7">
        <f t="shared" ca="1" si="59"/>
        <v>0</v>
      </c>
      <c r="J116" s="7">
        <f t="shared" ca="1" si="59"/>
        <v>0</v>
      </c>
      <c r="K116" s="7">
        <f t="shared" ca="1" si="59"/>
        <v>0</v>
      </c>
      <c r="L116" s="7">
        <f t="shared" ca="1" si="59"/>
        <v>0</v>
      </c>
      <c r="M116" s="7">
        <f t="shared" ca="1" si="59"/>
        <v>0</v>
      </c>
      <c r="N116" s="7">
        <f t="shared" ca="1" si="59"/>
        <v>0</v>
      </c>
      <c r="O116" s="7">
        <f t="shared" ca="1" si="59"/>
        <v>0</v>
      </c>
      <c r="P116" s="7">
        <f t="shared" ca="1" si="59"/>
        <v>0</v>
      </c>
      <c r="Q116" s="7">
        <f t="shared" ca="1" si="59"/>
        <v>0</v>
      </c>
      <c r="R116" s="7">
        <f t="shared" ca="1" si="59"/>
        <v>0</v>
      </c>
      <c r="S116" s="7">
        <f t="shared" ca="1" si="59"/>
        <v>0</v>
      </c>
      <c r="T116" s="7">
        <f t="shared" ca="1" si="59"/>
        <v>0</v>
      </c>
      <c r="U116" s="7">
        <f t="shared" ca="1" si="59"/>
        <v>0</v>
      </c>
      <c r="V116" s="7">
        <f t="shared" ca="1" si="59"/>
        <v>0</v>
      </c>
      <c r="W116" s="7">
        <f t="shared" ca="1" si="59"/>
        <v>0</v>
      </c>
      <c r="X116" s="7">
        <f t="shared" ca="1" si="59"/>
        <v>0</v>
      </c>
      <c r="Y116" s="7">
        <f t="shared" ca="1" si="59"/>
        <v>0</v>
      </c>
      <c r="Z116" s="7">
        <f t="shared" ca="1" si="59"/>
        <v>0</v>
      </c>
      <c r="AA116" s="7">
        <f t="shared" ca="1" si="59"/>
        <v>0</v>
      </c>
      <c r="AB116" s="7">
        <f t="shared" ca="1" si="59"/>
        <v>0</v>
      </c>
      <c r="AC116" s="7">
        <f t="shared" ca="1" si="59"/>
        <v>0</v>
      </c>
      <c r="AD116" s="7">
        <f t="shared" ca="1" si="59"/>
        <v>0</v>
      </c>
      <c r="AE116" s="7">
        <f t="shared" ca="1" si="59"/>
        <v>0</v>
      </c>
      <c r="AF116" s="7">
        <f t="shared" ca="1" si="59"/>
        <v>0</v>
      </c>
      <c r="AG116" s="7">
        <f t="shared" ca="1" si="59"/>
        <v>0</v>
      </c>
      <c r="AH116" s="7">
        <f t="shared" ca="1" si="59"/>
        <v>0</v>
      </c>
      <c r="AI116" s="7">
        <f t="shared" ca="1" si="59"/>
        <v>0</v>
      </c>
      <c r="AJ116" s="7">
        <f t="shared" ca="1" si="59"/>
        <v>0</v>
      </c>
      <c r="AK116" s="7">
        <f t="shared" ca="1" si="59"/>
        <v>0</v>
      </c>
      <c r="AL116" s="7">
        <f t="shared" ca="1" si="59"/>
        <v>0</v>
      </c>
      <c r="AM116" s="7">
        <f t="shared" ca="1" si="59"/>
        <v>0</v>
      </c>
    </row>
    <row r="117" spans="1:39" x14ac:dyDescent="0.2">
      <c r="A117" s="3" t="s">
        <v>26</v>
      </c>
      <c r="C117" s="7">
        <f t="shared" ref="C117:AM117" ca="1" si="60">C114*VLOOKUP($A112,AssVar,3,FALSE)</f>
        <v>0</v>
      </c>
      <c r="D117" s="7">
        <f t="shared" ca="1" si="60"/>
        <v>0</v>
      </c>
      <c r="E117" s="7">
        <f t="shared" ca="1" si="60"/>
        <v>-422.27454562575895</v>
      </c>
      <c r="F117" s="7">
        <f t="shared" ca="1" si="60"/>
        <v>0</v>
      </c>
      <c r="G117" s="7">
        <f t="shared" ca="1" si="60"/>
        <v>0</v>
      </c>
      <c r="H117" s="7">
        <f t="shared" ca="1" si="60"/>
        <v>0</v>
      </c>
      <c r="I117" s="7">
        <f t="shared" ca="1" si="60"/>
        <v>0</v>
      </c>
      <c r="J117" s="7">
        <f t="shared" ca="1" si="60"/>
        <v>0</v>
      </c>
      <c r="K117" s="7">
        <f t="shared" ca="1" si="60"/>
        <v>0</v>
      </c>
      <c r="L117" s="7">
        <f t="shared" ca="1" si="60"/>
        <v>0</v>
      </c>
      <c r="M117" s="7">
        <f t="shared" ca="1" si="60"/>
        <v>0</v>
      </c>
      <c r="N117" s="7">
        <f t="shared" ca="1" si="60"/>
        <v>0</v>
      </c>
      <c r="O117" s="7">
        <f t="shared" ca="1" si="60"/>
        <v>0</v>
      </c>
      <c r="P117" s="7">
        <f t="shared" ca="1" si="60"/>
        <v>0</v>
      </c>
      <c r="Q117" s="7">
        <f t="shared" ca="1" si="60"/>
        <v>0</v>
      </c>
      <c r="R117" s="7">
        <f t="shared" ca="1" si="60"/>
        <v>0</v>
      </c>
      <c r="S117" s="7">
        <f t="shared" ca="1" si="60"/>
        <v>0</v>
      </c>
      <c r="T117" s="7">
        <f t="shared" ca="1" si="60"/>
        <v>0</v>
      </c>
      <c r="U117" s="7">
        <f t="shared" ca="1" si="60"/>
        <v>0</v>
      </c>
      <c r="V117" s="7">
        <f t="shared" ca="1" si="60"/>
        <v>0</v>
      </c>
      <c r="W117" s="7">
        <f t="shared" ca="1" si="60"/>
        <v>0</v>
      </c>
      <c r="X117" s="7">
        <f t="shared" ca="1" si="60"/>
        <v>0</v>
      </c>
      <c r="Y117" s="7">
        <f t="shared" ca="1" si="60"/>
        <v>0</v>
      </c>
      <c r="Z117" s="7">
        <f t="shared" ca="1" si="60"/>
        <v>0</v>
      </c>
      <c r="AA117" s="7">
        <f t="shared" ca="1" si="60"/>
        <v>0</v>
      </c>
      <c r="AB117" s="7">
        <f t="shared" ca="1" si="60"/>
        <v>0</v>
      </c>
      <c r="AC117" s="7">
        <f t="shared" ca="1" si="60"/>
        <v>0</v>
      </c>
      <c r="AD117" s="7">
        <f t="shared" ca="1" si="60"/>
        <v>0</v>
      </c>
      <c r="AE117" s="7">
        <f t="shared" ca="1" si="60"/>
        <v>0</v>
      </c>
      <c r="AF117" s="7">
        <f t="shared" ca="1" si="60"/>
        <v>0</v>
      </c>
      <c r="AG117" s="7">
        <f t="shared" ca="1" si="60"/>
        <v>0</v>
      </c>
      <c r="AH117" s="7">
        <f t="shared" ca="1" si="60"/>
        <v>0</v>
      </c>
      <c r="AI117" s="7">
        <f t="shared" ca="1" si="60"/>
        <v>0</v>
      </c>
      <c r="AJ117" s="7">
        <f t="shared" ca="1" si="60"/>
        <v>0</v>
      </c>
      <c r="AK117" s="7">
        <f t="shared" ca="1" si="60"/>
        <v>0</v>
      </c>
      <c r="AL117" s="7">
        <f t="shared" ca="1" si="60"/>
        <v>0</v>
      </c>
      <c r="AM117" s="7">
        <f t="shared" si="60"/>
        <v>0</v>
      </c>
    </row>
    <row r="118" spans="1:39" x14ac:dyDescent="0.2">
      <c r="A118" s="3" t="s">
        <v>31</v>
      </c>
      <c r="C118" s="7">
        <f t="shared" ref="C118:AM118" ca="1" si="61">IFERROR(-IF(C113=0,VLOOKUP($A112,$8:$12,C$1+2,FALSE),0),0)</f>
        <v>0</v>
      </c>
      <c r="D118" s="7">
        <f t="shared" ca="1" si="61"/>
        <v>0</v>
      </c>
      <c r="E118" s="7">
        <f t="shared" ca="1" si="61"/>
        <v>0</v>
      </c>
      <c r="F118" s="7">
        <f t="shared" ca="1" si="61"/>
        <v>0</v>
      </c>
      <c r="G118" s="7">
        <f t="shared" ca="1" si="61"/>
        <v>0</v>
      </c>
      <c r="H118" s="7">
        <f t="shared" ca="1" si="61"/>
        <v>0</v>
      </c>
      <c r="I118" s="7">
        <f t="shared" ca="1" si="61"/>
        <v>0</v>
      </c>
      <c r="J118" s="7">
        <f t="shared" ca="1" si="61"/>
        <v>0</v>
      </c>
      <c r="K118" s="7">
        <f t="shared" ca="1" si="61"/>
        <v>0</v>
      </c>
      <c r="L118" s="7">
        <f t="shared" ca="1" si="61"/>
        <v>0</v>
      </c>
      <c r="M118" s="7">
        <f t="shared" ca="1" si="61"/>
        <v>0</v>
      </c>
      <c r="N118" s="7">
        <f t="shared" ca="1" si="61"/>
        <v>0</v>
      </c>
      <c r="O118" s="7">
        <f t="shared" ca="1" si="61"/>
        <v>0</v>
      </c>
      <c r="P118" s="7">
        <f t="shared" ca="1" si="61"/>
        <v>0</v>
      </c>
      <c r="Q118" s="7">
        <f t="shared" ca="1" si="61"/>
        <v>0</v>
      </c>
      <c r="R118" s="7">
        <f t="shared" ca="1" si="61"/>
        <v>0</v>
      </c>
      <c r="S118" s="7">
        <f t="shared" ca="1" si="61"/>
        <v>0</v>
      </c>
      <c r="T118" s="7">
        <f t="shared" ca="1" si="61"/>
        <v>0</v>
      </c>
      <c r="U118" s="7">
        <f t="shared" ca="1" si="61"/>
        <v>0</v>
      </c>
      <c r="V118" s="7">
        <f t="shared" ca="1" si="61"/>
        <v>0</v>
      </c>
      <c r="W118" s="7">
        <f t="shared" ca="1" si="61"/>
        <v>0</v>
      </c>
      <c r="X118" s="7">
        <f t="shared" ca="1" si="61"/>
        <v>0</v>
      </c>
      <c r="Y118" s="7">
        <f t="shared" ca="1" si="61"/>
        <v>0</v>
      </c>
      <c r="Z118" s="7">
        <f t="shared" ca="1" si="61"/>
        <v>0</v>
      </c>
      <c r="AA118" s="7">
        <f t="shared" ca="1" si="61"/>
        <v>0</v>
      </c>
      <c r="AB118" s="7">
        <f t="shared" ca="1" si="61"/>
        <v>0</v>
      </c>
      <c r="AC118" s="7">
        <f t="shared" ca="1" si="61"/>
        <v>0</v>
      </c>
      <c r="AD118" s="7">
        <f t="shared" ca="1" si="61"/>
        <v>0</v>
      </c>
      <c r="AE118" s="7">
        <f t="shared" ca="1" si="61"/>
        <v>0</v>
      </c>
      <c r="AF118" s="7">
        <f t="shared" ca="1" si="61"/>
        <v>0</v>
      </c>
      <c r="AG118" s="7">
        <f t="shared" ca="1" si="61"/>
        <v>0</v>
      </c>
      <c r="AH118" s="7">
        <f t="shared" ca="1" si="61"/>
        <v>0</v>
      </c>
      <c r="AI118" s="7">
        <f t="shared" ca="1" si="61"/>
        <v>0</v>
      </c>
      <c r="AJ118" s="7">
        <f t="shared" ca="1" si="61"/>
        <v>0</v>
      </c>
      <c r="AK118" s="7">
        <f t="shared" ca="1" si="61"/>
        <v>0</v>
      </c>
      <c r="AL118" s="7">
        <f t="shared" ca="1" si="61"/>
        <v>0</v>
      </c>
      <c r="AM118" s="7">
        <f t="shared" ca="1" si="61"/>
        <v>0</v>
      </c>
    </row>
    <row r="119" spans="1:39" x14ac:dyDescent="0.2">
      <c r="A119" s="3" t="s">
        <v>50</v>
      </c>
      <c r="C119" s="7">
        <f t="shared" ref="C119:AM119" ca="1" si="62">IFERROR(IF(C113=0,VLOOKUP($A112,$45:$49,C$1+2,FALSE),0),0)</f>
        <v>0</v>
      </c>
      <c r="D119" s="7">
        <f t="shared" ca="1" si="62"/>
        <v>0</v>
      </c>
      <c r="E119" s="7">
        <f t="shared" ca="1" si="62"/>
        <v>0</v>
      </c>
      <c r="F119" s="7">
        <f t="shared" ca="1" si="62"/>
        <v>0</v>
      </c>
      <c r="G119" s="7">
        <f t="shared" ca="1" si="62"/>
        <v>0</v>
      </c>
      <c r="H119" s="7">
        <f t="shared" ca="1" si="62"/>
        <v>0</v>
      </c>
      <c r="I119" s="7">
        <f t="shared" ca="1" si="62"/>
        <v>0</v>
      </c>
      <c r="J119" s="7">
        <f t="shared" ca="1" si="62"/>
        <v>0</v>
      </c>
      <c r="K119" s="7">
        <f t="shared" ca="1" si="62"/>
        <v>0</v>
      </c>
      <c r="L119" s="7">
        <f t="shared" ca="1" si="62"/>
        <v>0</v>
      </c>
      <c r="M119" s="7">
        <f t="shared" ca="1" si="62"/>
        <v>0</v>
      </c>
      <c r="N119" s="7">
        <f t="shared" ca="1" si="62"/>
        <v>0</v>
      </c>
      <c r="O119" s="7">
        <f t="shared" ca="1" si="62"/>
        <v>0</v>
      </c>
      <c r="P119" s="7">
        <f t="shared" ca="1" si="62"/>
        <v>0</v>
      </c>
      <c r="Q119" s="7">
        <f t="shared" ca="1" si="62"/>
        <v>0</v>
      </c>
      <c r="R119" s="7">
        <f t="shared" ca="1" si="62"/>
        <v>0</v>
      </c>
      <c r="S119" s="7">
        <f t="shared" ca="1" si="62"/>
        <v>0</v>
      </c>
      <c r="T119" s="7">
        <f t="shared" ca="1" si="62"/>
        <v>0</v>
      </c>
      <c r="U119" s="7">
        <f t="shared" ca="1" si="62"/>
        <v>0</v>
      </c>
      <c r="V119" s="7">
        <f t="shared" ca="1" si="62"/>
        <v>0</v>
      </c>
      <c r="W119" s="7">
        <f t="shared" ca="1" si="62"/>
        <v>0</v>
      </c>
      <c r="X119" s="7">
        <f t="shared" ca="1" si="62"/>
        <v>0</v>
      </c>
      <c r="Y119" s="7">
        <f t="shared" ca="1" si="62"/>
        <v>0</v>
      </c>
      <c r="Z119" s="7">
        <f t="shared" ca="1" si="62"/>
        <v>0</v>
      </c>
      <c r="AA119" s="7">
        <f t="shared" ca="1" si="62"/>
        <v>0</v>
      </c>
      <c r="AB119" s="7">
        <f t="shared" ca="1" si="62"/>
        <v>0</v>
      </c>
      <c r="AC119" s="7">
        <f t="shared" ca="1" si="62"/>
        <v>0</v>
      </c>
      <c r="AD119" s="7">
        <f t="shared" ca="1" si="62"/>
        <v>0</v>
      </c>
      <c r="AE119" s="7">
        <f t="shared" ca="1" si="62"/>
        <v>0</v>
      </c>
      <c r="AF119" s="7">
        <f t="shared" ca="1" si="62"/>
        <v>0</v>
      </c>
      <c r="AG119" s="7">
        <f t="shared" ca="1" si="62"/>
        <v>0</v>
      </c>
      <c r="AH119" s="7">
        <f t="shared" ca="1" si="62"/>
        <v>0</v>
      </c>
      <c r="AI119" s="7">
        <f t="shared" ca="1" si="62"/>
        <v>0</v>
      </c>
      <c r="AJ119" s="7">
        <f t="shared" ca="1" si="62"/>
        <v>0</v>
      </c>
      <c r="AK119" s="7">
        <f t="shared" ca="1" si="62"/>
        <v>0</v>
      </c>
      <c r="AL119" s="7">
        <f t="shared" ca="1" si="62"/>
        <v>0</v>
      </c>
      <c r="AM119" s="7">
        <f t="shared" ca="1" si="62"/>
        <v>0</v>
      </c>
    </row>
    <row r="120" spans="1:39" x14ac:dyDescent="0.2">
      <c r="A120" s="3" t="s">
        <v>36</v>
      </c>
      <c r="B120" s="14" t="str">
        <f>A112</f>
        <v>Painting</v>
      </c>
      <c r="C120" s="7">
        <f t="shared" ref="C120:AM120" ca="1" si="63">IF(AND(C113&gt;0,C116=0),VLOOKUP($A112,$83:$92,C$1+2,FALSE),0)</f>
        <v>0</v>
      </c>
      <c r="D120" s="7">
        <f t="shared" ca="1" si="63"/>
        <v>0</v>
      </c>
      <c r="E120" s="7">
        <f t="shared" ca="1" si="63"/>
        <v>-4083.2972605813311</v>
      </c>
      <c r="F120" s="7">
        <f t="shared" ca="1" si="63"/>
        <v>0</v>
      </c>
      <c r="G120" s="7">
        <f t="shared" ca="1" si="63"/>
        <v>0</v>
      </c>
      <c r="H120" s="7">
        <f t="shared" ca="1" si="63"/>
        <v>0</v>
      </c>
      <c r="I120" s="7">
        <f t="shared" ca="1" si="63"/>
        <v>0</v>
      </c>
      <c r="J120" s="7">
        <f t="shared" ca="1" si="63"/>
        <v>0</v>
      </c>
      <c r="K120" s="7">
        <f t="shared" ca="1" si="63"/>
        <v>0</v>
      </c>
      <c r="L120" s="7">
        <f t="shared" ca="1" si="63"/>
        <v>0</v>
      </c>
      <c r="M120" s="7">
        <f t="shared" ca="1" si="63"/>
        <v>0</v>
      </c>
      <c r="N120" s="7">
        <f t="shared" ca="1" si="63"/>
        <v>0</v>
      </c>
      <c r="O120" s="7">
        <f t="shared" ca="1" si="63"/>
        <v>0</v>
      </c>
      <c r="P120" s="7">
        <f t="shared" ca="1" si="63"/>
        <v>0</v>
      </c>
      <c r="Q120" s="7">
        <f t="shared" ca="1" si="63"/>
        <v>0</v>
      </c>
      <c r="R120" s="7">
        <f t="shared" ca="1" si="63"/>
        <v>0</v>
      </c>
      <c r="S120" s="7">
        <f t="shared" ca="1" si="63"/>
        <v>0</v>
      </c>
      <c r="T120" s="7">
        <f t="shared" ca="1" si="63"/>
        <v>0</v>
      </c>
      <c r="U120" s="7">
        <f t="shared" ca="1" si="63"/>
        <v>0</v>
      </c>
      <c r="V120" s="7">
        <f t="shared" ca="1" si="63"/>
        <v>0</v>
      </c>
      <c r="W120" s="7">
        <f t="shared" ca="1" si="63"/>
        <v>0</v>
      </c>
      <c r="X120" s="7">
        <f t="shared" ca="1" si="63"/>
        <v>0</v>
      </c>
      <c r="Y120" s="7">
        <f t="shared" ca="1" si="63"/>
        <v>0</v>
      </c>
      <c r="Z120" s="7">
        <f t="shared" ca="1" si="63"/>
        <v>0</v>
      </c>
      <c r="AA120" s="7">
        <f t="shared" ca="1" si="63"/>
        <v>0</v>
      </c>
      <c r="AB120" s="7">
        <f t="shared" ca="1" si="63"/>
        <v>0</v>
      </c>
      <c r="AC120" s="7">
        <f t="shared" ca="1" si="63"/>
        <v>0</v>
      </c>
      <c r="AD120" s="7">
        <f t="shared" ca="1" si="63"/>
        <v>0</v>
      </c>
      <c r="AE120" s="7">
        <f t="shared" ca="1" si="63"/>
        <v>0</v>
      </c>
      <c r="AF120" s="7">
        <f t="shared" ca="1" si="63"/>
        <v>0</v>
      </c>
      <c r="AG120" s="7">
        <f t="shared" ca="1" si="63"/>
        <v>0</v>
      </c>
      <c r="AH120" s="7">
        <f t="shared" ca="1" si="63"/>
        <v>0</v>
      </c>
      <c r="AI120" s="7">
        <f t="shared" ca="1" si="63"/>
        <v>0</v>
      </c>
      <c r="AJ120" s="7">
        <f t="shared" ca="1" si="63"/>
        <v>0</v>
      </c>
      <c r="AK120" s="7">
        <f t="shared" ca="1" si="63"/>
        <v>0</v>
      </c>
      <c r="AL120" s="7">
        <f t="shared" ca="1" si="63"/>
        <v>0</v>
      </c>
      <c r="AM120" s="7">
        <f t="shared" ca="1" si="63"/>
        <v>0</v>
      </c>
    </row>
    <row r="121" spans="1:39" x14ac:dyDescent="0.2">
      <c r="A121" s="3" t="s">
        <v>37</v>
      </c>
      <c r="C121" s="7">
        <f ca="1">-C114+SUM(C117:C120)</f>
        <v>0</v>
      </c>
      <c r="D121" s="7">
        <f t="shared" ref="D121" ca="1" si="64">-D114+SUM(D117:D120)</f>
        <v>0</v>
      </c>
      <c r="E121" s="7">
        <f t="shared" ref="E121:AM121" ca="1" si="65">-E114+SUM(E117:E120)</f>
        <v>16608.155475080857</v>
      </c>
      <c r="F121" s="7">
        <f t="shared" ca="1" si="65"/>
        <v>0</v>
      </c>
      <c r="G121" s="7">
        <f t="shared" ca="1" si="65"/>
        <v>0</v>
      </c>
      <c r="H121" s="7">
        <f t="shared" ca="1" si="65"/>
        <v>0</v>
      </c>
      <c r="I121" s="7">
        <f t="shared" ca="1" si="65"/>
        <v>0</v>
      </c>
      <c r="J121" s="7">
        <f t="shared" ca="1" si="65"/>
        <v>0</v>
      </c>
      <c r="K121" s="7">
        <f t="shared" ca="1" si="65"/>
        <v>0</v>
      </c>
      <c r="L121" s="7">
        <f t="shared" ca="1" si="65"/>
        <v>0</v>
      </c>
      <c r="M121" s="7">
        <f t="shared" ca="1" si="65"/>
        <v>0</v>
      </c>
      <c r="N121" s="7">
        <f t="shared" ca="1" si="65"/>
        <v>0</v>
      </c>
      <c r="O121" s="7">
        <f t="shared" ca="1" si="65"/>
        <v>0</v>
      </c>
      <c r="P121" s="7">
        <f t="shared" ca="1" si="65"/>
        <v>0</v>
      </c>
      <c r="Q121" s="7">
        <f t="shared" ca="1" si="65"/>
        <v>0</v>
      </c>
      <c r="R121" s="7">
        <f t="shared" ca="1" si="65"/>
        <v>0</v>
      </c>
      <c r="S121" s="7">
        <f t="shared" ca="1" si="65"/>
        <v>0</v>
      </c>
      <c r="T121" s="7">
        <f t="shared" ca="1" si="65"/>
        <v>0</v>
      </c>
      <c r="U121" s="7">
        <f t="shared" ca="1" si="65"/>
        <v>0</v>
      </c>
      <c r="V121" s="7">
        <f t="shared" ca="1" si="65"/>
        <v>0</v>
      </c>
      <c r="W121" s="7">
        <f t="shared" ca="1" si="65"/>
        <v>0</v>
      </c>
      <c r="X121" s="7">
        <f t="shared" ca="1" si="65"/>
        <v>0</v>
      </c>
      <c r="Y121" s="7">
        <f t="shared" ca="1" si="65"/>
        <v>0</v>
      </c>
      <c r="Z121" s="7">
        <f t="shared" ca="1" si="65"/>
        <v>0</v>
      </c>
      <c r="AA121" s="7">
        <f t="shared" ca="1" si="65"/>
        <v>0</v>
      </c>
      <c r="AB121" s="7">
        <f t="shared" ca="1" si="65"/>
        <v>0</v>
      </c>
      <c r="AC121" s="7">
        <f t="shared" ca="1" si="65"/>
        <v>0</v>
      </c>
      <c r="AD121" s="7">
        <f t="shared" ca="1" si="65"/>
        <v>0</v>
      </c>
      <c r="AE121" s="7">
        <f t="shared" ca="1" si="65"/>
        <v>0</v>
      </c>
      <c r="AF121" s="7">
        <f t="shared" ca="1" si="65"/>
        <v>0</v>
      </c>
      <c r="AG121" s="7">
        <f t="shared" ca="1" si="65"/>
        <v>0</v>
      </c>
      <c r="AH121" s="7">
        <f t="shared" ca="1" si="65"/>
        <v>0</v>
      </c>
      <c r="AI121" s="7">
        <f t="shared" ca="1" si="65"/>
        <v>0</v>
      </c>
      <c r="AJ121" s="7">
        <f t="shared" ca="1" si="65"/>
        <v>0</v>
      </c>
      <c r="AK121" s="7">
        <f t="shared" ca="1" si="65"/>
        <v>0</v>
      </c>
      <c r="AL121" s="7">
        <f t="shared" ca="1" si="65"/>
        <v>0</v>
      </c>
      <c r="AM121" s="7">
        <f t="shared" ca="1" si="65"/>
        <v>0</v>
      </c>
    </row>
    <row r="122" spans="1:39" x14ac:dyDescent="0.2">
      <c r="A122" s="3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x14ac:dyDescent="0.2">
      <c r="A123" s="3" t="s">
        <v>71</v>
      </c>
      <c r="C123" s="7">
        <f ca="1">C109+SUM($C121:C121)</f>
        <v>12809.375000000015</v>
      </c>
      <c r="D123" s="7">
        <f ca="1">D109+SUM($C121:D121)</f>
        <v>24162.215625000026</v>
      </c>
      <c r="E123" s="7">
        <f ca="1">E109+SUM($C121:E121)</f>
        <v>58421.434615705904</v>
      </c>
      <c r="F123" s="7">
        <f ca="1">F109+SUM($C121:F121)</f>
        <v>288.54828326817733</v>
      </c>
      <c r="G123" s="7">
        <f ca="1">G109+SUM($C121:G121)</f>
        <v>-60689.470784960969</v>
      </c>
      <c r="H123" s="7">
        <f ca="1">H109+SUM($C121:H121)</f>
        <v>-118534.58410768505</v>
      </c>
      <c r="I123" s="7">
        <f ca="1">I109+SUM($C121:I121)</f>
        <v>-151773.11335585266</v>
      </c>
      <c r="J123" s="7">
        <f ca="1">J109+SUM($C121:J121)</f>
        <v>-185572.99803048591</v>
      </c>
      <c r="K123" s="7">
        <f ca="1">K109+SUM($C121:K121)</f>
        <v>-237128.2938299634</v>
      </c>
      <c r="L123" s="7">
        <f ca="1">L109+SUM($C121:L121)</f>
        <v>-206604.09672777052</v>
      </c>
      <c r="M123" s="7">
        <f ca="1">M109+SUM($C121:M121)</f>
        <v>-270214.25940967305</v>
      </c>
      <c r="N123" s="7">
        <f ca="1">N109+SUM($C121:N121)</f>
        <v>-285322.99762158003</v>
      </c>
      <c r="O123" s="7">
        <f ca="1">O109+SUM($C121:O121)</f>
        <v>-300570.097181972</v>
      </c>
      <c r="P123" s="7">
        <f ca="1">P109+SUM($C121:P121)</f>
        <v>-315951.83641135646</v>
      </c>
      <c r="Q123" s="7">
        <f ca="1">Q109+SUM($C121:Q121)</f>
        <v>-331464.1851668579</v>
      </c>
      <c r="R123" s="7">
        <f ca="1">R109+SUM($C121:R121)</f>
        <v>-347102.7906679908</v>
      </c>
      <c r="S123" s="7">
        <f ca="1">S109+SUM($C121:S121)</f>
        <v>-362862.96277419804</v>
      </c>
      <c r="T123" s="7">
        <f ca="1">T109+SUM($C121:T121)</f>
        <v>-360784.56321274349</v>
      </c>
      <c r="U123" s="7">
        <f ca="1">U109+SUM($C121:U121)</f>
        <v>-350570.10517063981</v>
      </c>
      <c r="V123" s="7">
        <f ca="1">V109+SUM($C121:V121)</f>
        <v>-339805.90662731067</v>
      </c>
      <c r="W123" s="7">
        <f ca="1">W109+SUM($C121:W121)</f>
        <v>-328469.39269872045</v>
      </c>
      <c r="X123" s="7">
        <f ca="1">X109+SUM($C121:X121)</f>
        <v>-316537.15918758721</v>
      </c>
      <c r="Y123" s="7">
        <f ca="1">Y109+SUM($C121:Y121)</f>
        <v>-324643.80067327863</v>
      </c>
      <c r="Z123" s="7">
        <f ca="1">Z109+SUM($C121:Z121)</f>
        <v>-332621.78198166355</v>
      </c>
      <c r="AA123" s="7">
        <f ca="1">AA109+SUM($C121:AA121)</f>
        <v>-340457.94682187575</v>
      </c>
      <c r="AB123" s="7">
        <f ca="1">AB109+SUM($C121:AB121)</f>
        <v>-348138.51180218451</v>
      </c>
      <c r="AC123" s="7">
        <f ca="1">AC109+SUM($C121:AC121)</f>
        <v>-355649.04180666478</v>
      </c>
      <c r="AD123" s="7">
        <f ca="1">AD109+SUM($C121:AD121)</f>
        <v>-362974.42448791105</v>
      </c>
      <c r="AE123" s="7">
        <f ca="1">AE109+SUM($C121:AE121)</f>
        <v>-360116.36875185592</v>
      </c>
      <c r="AF123" s="7">
        <f ca="1">AF109+SUM($C121:AF121)</f>
        <v>-356791.24079513655</v>
      </c>
      <c r="AG123" s="7">
        <f ca="1">AG109+SUM($C121:AG121)</f>
        <v>-352975.49518741842</v>
      </c>
      <c r="AH123" s="7">
        <f ca="1">AH109+SUM($C121:AH121)</f>
        <v>-348644.64180386404</v>
      </c>
      <c r="AI123" s="7">
        <f ca="1">AI109+SUM($C121:AI121)</f>
        <v>-343773.21152600832</v>
      </c>
      <c r="AJ123" s="7">
        <f ca="1">AJ109+SUM($C121:AJ121)</f>
        <v>-338334.7207647023</v>
      </c>
      <c r="AK123" s="7">
        <f ca="1">AK109+SUM($C121:AK121)</f>
        <v>-332301.6347660647</v>
      </c>
      <c r="AL123" s="7">
        <f ca="1">AL109+SUM($C121:AL121)</f>
        <v>-325645.32966011309</v>
      </c>
      <c r="AM123" s="7">
        <f ca="1">AM109+SUM($C121:AM121)</f>
        <v>-318336.05321044428</v>
      </c>
    </row>
    <row r="124" spans="1:39" x14ac:dyDescent="0.2">
      <c r="A124" s="3" t="s">
        <v>68</v>
      </c>
      <c r="C124" s="7">
        <f t="shared" ref="C124:AM124" ca="1" si="66">MAX(C123+buffer,0)-MAX(C$109+buffer,0)</f>
        <v>0</v>
      </c>
      <c r="D124" s="7">
        <f t="shared" ca="1" si="66"/>
        <v>0</v>
      </c>
      <c r="E124" s="7">
        <f t="shared" ca="1" si="66"/>
        <v>16608.155475080857</v>
      </c>
      <c r="F124" s="7">
        <f t="shared" ca="1" si="66"/>
        <v>16608.155475080857</v>
      </c>
      <c r="G124" s="7">
        <f t="shared" ca="1" si="66"/>
        <v>0</v>
      </c>
      <c r="H124" s="7">
        <f t="shared" ca="1" si="66"/>
        <v>0</v>
      </c>
      <c r="I124" s="7">
        <f t="shared" ca="1" si="66"/>
        <v>0</v>
      </c>
      <c r="J124" s="7">
        <f t="shared" ca="1" si="66"/>
        <v>0</v>
      </c>
      <c r="K124" s="7">
        <f t="shared" ca="1" si="66"/>
        <v>0</v>
      </c>
      <c r="L124" s="7">
        <f t="shared" ca="1" si="66"/>
        <v>0</v>
      </c>
      <c r="M124" s="7">
        <f t="shared" ca="1" si="66"/>
        <v>0</v>
      </c>
      <c r="N124" s="7">
        <f t="shared" ca="1" si="66"/>
        <v>0</v>
      </c>
      <c r="O124" s="7">
        <f t="shared" ca="1" si="66"/>
        <v>0</v>
      </c>
      <c r="P124" s="7">
        <f t="shared" ca="1" si="66"/>
        <v>0</v>
      </c>
      <c r="Q124" s="7">
        <f t="shared" ca="1" si="66"/>
        <v>0</v>
      </c>
      <c r="R124" s="7">
        <f t="shared" ca="1" si="66"/>
        <v>0</v>
      </c>
      <c r="S124" s="7">
        <f t="shared" ca="1" si="66"/>
        <v>0</v>
      </c>
      <c r="T124" s="7">
        <f t="shared" ca="1" si="66"/>
        <v>0</v>
      </c>
      <c r="U124" s="7">
        <f t="shared" ca="1" si="66"/>
        <v>0</v>
      </c>
      <c r="V124" s="7">
        <f t="shared" ca="1" si="66"/>
        <v>0</v>
      </c>
      <c r="W124" s="7">
        <f t="shared" ca="1" si="66"/>
        <v>0</v>
      </c>
      <c r="X124" s="7">
        <f t="shared" ca="1" si="66"/>
        <v>0</v>
      </c>
      <c r="Y124" s="7">
        <f t="shared" ca="1" si="66"/>
        <v>0</v>
      </c>
      <c r="Z124" s="7">
        <f t="shared" ca="1" si="66"/>
        <v>0</v>
      </c>
      <c r="AA124" s="7">
        <f t="shared" ca="1" si="66"/>
        <v>0</v>
      </c>
      <c r="AB124" s="7">
        <f t="shared" ca="1" si="66"/>
        <v>0</v>
      </c>
      <c r="AC124" s="7">
        <f t="shared" ca="1" si="66"/>
        <v>0</v>
      </c>
      <c r="AD124" s="7">
        <f t="shared" ca="1" si="66"/>
        <v>0</v>
      </c>
      <c r="AE124" s="7">
        <f t="shared" ca="1" si="66"/>
        <v>0</v>
      </c>
      <c r="AF124" s="7">
        <f t="shared" ca="1" si="66"/>
        <v>0</v>
      </c>
      <c r="AG124" s="7">
        <f t="shared" ca="1" si="66"/>
        <v>0</v>
      </c>
      <c r="AH124" s="7">
        <f t="shared" ca="1" si="66"/>
        <v>0</v>
      </c>
      <c r="AI124" s="7">
        <f t="shared" ca="1" si="66"/>
        <v>0</v>
      </c>
      <c r="AJ124" s="7">
        <f t="shared" ca="1" si="66"/>
        <v>0</v>
      </c>
      <c r="AK124" s="7">
        <f t="shared" ca="1" si="66"/>
        <v>0</v>
      </c>
      <c r="AL124" s="7">
        <f t="shared" ca="1" si="66"/>
        <v>0</v>
      </c>
      <c r="AM124" s="7">
        <f t="shared" ca="1" si="66"/>
        <v>0</v>
      </c>
    </row>
    <row r="125" spans="1:39" x14ac:dyDescent="0.2">
      <c r="A125" s="3" t="s">
        <v>69</v>
      </c>
      <c r="C125" s="7">
        <f ca="1">C124*Inputs!$B$259</f>
        <v>0</v>
      </c>
      <c r="D125" s="7">
        <f ca="1">D124*Inputs!$B$259</f>
        <v>0</v>
      </c>
      <c r="E125" s="7">
        <f ca="1">E124*Inputs!$B$259</f>
        <v>415.20388687702143</v>
      </c>
      <c r="F125" s="7">
        <f ca="1">F124*Inputs!$B$259</f>
        <v>415.20388687702143</v>
      </c>
      <c r="G125" s="7">
        <f ca="1">G124*Inputs!$B$259</f>
        <v>0</v>
      </c>
      <c r="H125" s="7">
        <f ca="1">H124*Inputs!$B$259</f>
        <v>0</v>
      </c>
      <c r="I125" s="7">
        <f ca="1">I124*Inputs!$B$259</f>
        <v>0</v>
      </c>
      <c r="J125" s="7">
        <f ca="1">J124*Inputs!$B$259</f>
        <v>0</v>
      </c>
      <c r="K125" s="7">
        <f ca="1">K124*Inputs!$B$259</f>
        <v>0</v>
      </c>
      <c r="L125" s="7">
        <f ca="1">L124*Inputs!$B$259</f>
        <v>0</v>
      </c>
      <c r="M125" s="7">
        <f ca="1">M124*Inputs!$B$259</f>
        <v>0</v>
      </c>
      <c r="N125" s="7">
        <f ca="1">N124*Inputs!$B$259</f>
        <v>0</v>
      </c>
      <c r="O125" s="7">
        <f ca="1">O124*Inputs!$B$259</f>
        <v>0</v>
      </c>
      <c r="P125" s="7">
        <f ca="1">P124*Inputs!$B$259</f>
        <v>0</v>
      </c>
      <c r="Q125" s="7">
        <f ca="1">Q124*Inputs!$B$259</f>
        <v>0</v>
      </c>
      <c r="R125" s="7">
        <f ca="1">R124*Inputs!$B$259</f>
        <v>0</v>
      </c>
      <c r="S125" s="7">
        <f ca="1">S124*Inputs!$B$259</f>
        <v>0</v>
      </c>
      <c r="T125" s="7">
        <f ca="1">T124*Inputs!$B$259</f>
        <v>0</v>
      </c>
      <c r="U125" s="7">
        <f ca="1">U124*Inputs!$B$259</f>
        <v>0</v>
      </c>
      <c r="V125" s="7">
        <f ca="1">V124*Inputs!$B$259</f>
        <v>0</v>
      </c>
      <c r="W125" s="7">
        <f ca="1">W124*Inputs!$B$259</f>
        <v>0</v>
      </c>
      <c r="X125" s="7">
        <f ca="1">X124*Inputs!$B$259</f>
        <v>0</v>
      </c>
      <c r="Y125" s="7">
        <f ca="1">Y124*Inputs!$B$259</f>
        <v>0</v>
      </c>
      <c r="Z125" s="7">
        <f ca="1">Z124*Inputs!$B$259</f>
        <v>0</v>
      </c>
      <c r="AA125" s="7">
        <f ca="1">AA124*Inputs!$B$259</f>
        <v>0</v>
      </c>
      <c r="AB125" s="7">
        <f ca="1">AB124*Inputs!$B$259</f>
        <v>0</v>
      </c>
      <c r="AC125" s="7">
        <f ca="1">AC124*Inputs!$B$259</f>
        <v>0</v>
      </c>
      <c r="AD125" s="7">
        <f ca="1">AD124*Inputs!$B$259</f>
        <v>0</v>
      </c>
      <c r="AE125" s="7">
        <f ca="1">AE124*Inputs!$B$259</f>
        <v>0</v>
      </c>
      <c r="AF125" s="7">
        <f ca="1">AF124*Inputs!$B$259</f>
        <v>0</v>
      </c>
      <c r="AG125" s="7">
        <f ca="1">AG124*Inputs!$B$259</f>
        <v>0</v>
      </c>
      <c r="AH125" s="7">
        <f ca="1">AH124*Inputs!$B$259</f>
        <v>0</v>
      </c>
      <c r="AI125" s="7">
        <f ca="1">AI124*Inputs!$B$259</f>
        <v>0</v>
      </c>
      <c r="AJ125" s="7">
        <f ca="1">AJ124*Inputs!$B$259</f>
        <v>0</v>
      </c>
      <c r="AK125" s="7">
        <f ca="1">AK124*Inputs!$B$259</f>
        <v>0</v>
      </c>
      <c r="AL125" s="7">
        <f ca="1">AL124*Inputs!$B$259</f>
        <v>0</v>
      </c>
      <c r="AM125" s="7">
        <f ca="1">AM124*Inputs!$B$259</f>
        <v>0</v>
      </c>
    </row>
    <row r="126" spans="1:39" x14ac:dyDescent="0.2">
      <c r="A126" s="3" t="s">
        <v>150</v>
      </c>
      <c r="C126" s="7">
        <f ca="1">C123+SUM($C125:C125)</f>
        <v>12809.375000000015</v>
      </c>
      <c r="D126" s="7">
        <f ca="1">D123+SUM($C125:D125)</f>
        <v>24162.215625000026</v>
      </c>
      <c r="E126" s="7">
        <f ca="1">E123+SUM($C125:E125)</f>
        <v>58836.638502582922</v>
      </c>
      <c r="F126" s="7">
        <f ca="1">F123+SUM($C125:F125)</f>
        <v>1118.9560570222202</v>
      </c>
      <c r="G126" s="7">
        <f ca="1">G123+SUM($C125:G125)</f>
        <v>-59859.063011206927</v>
      </c>
      <c r="H126" s="7">
        <f ca="1">H123+SUM($C125:H125)</f>
        <v>-117704.17633393101</v>
      </c>
      <c r="I126" s="7">
        <f ca="1">I123+SUM($C125:I125)</f>
        <v>-150942.70558209863</v>
      </c>
      <c r="J126" s="7">
        <f ca="1">J123+SUM($C125:J125)</f>
        <v>-184742.59025673187</v>
      </c>
      <c r="K126" s="7">
        <f ca="1">K123+SUM($C125:K125)</f>
        <v>-236297.88605620936</v>
      </c>
      <c r="L126" s="7">
        <f ca="1">L123+SUM($C125:L125)</f>
        <v>-205773.68895401648</v>
      </c>
      <c r="M126" s="7">
        <f ca="1">M123+SUM($C125:M125)</f>
        <v>-269383.85163591901</v>
      </c>
      <c r="N126" s="7">
        <f ca="1">N123+SUM($C125:N125)</f>
        <v>-284492.58984782599</v>
      </c>
      <c r="O126" s="7">
        <f ca="1">O123+SUM($C125:O125)</f>
        <v>-299739.68940821796</v>
      </c>
      <c r="P126" s="7">
        <f ca="1">P123+SUM($C125:P125)</f>
        <v>-315121.42863760242</v>
      </c>
      <c r="Q126" s="7">
        <f ca="1">Q123+SUM($C125:Q125)</f>
        <v>-330633.77739310387</v>
      </c>
      <c r="R126" s="7">
        <f ca="1">R123+SUM($C125:R125)</f>
        <v>-346272.38289423677</v>
      </c>
      <c r="S126" s="7">
        <f ca="1">S123+SUM($C125:S125)</f>
        <v>-362032.555000444</v>
      </c>
      <c r="T126" s="7">
        <f ca="1">T123+SUM($C125:T125)</f>
        <v>-359954.15543898946</v>
      </c>
      <c r="U126" s="7">
        <f ca="1">U123+SUM($C125:U125)</f>
        <v>-349739.69739688578</v>
      </c>
      <c r="V126" s="7">
        <f ca="1">V123+SUM($C125:V125)</f>
        <v>-338975.49885355664</v>
      </c>
      <c r="W126" s="7">
        <f ca="1">W123+SUM($C125:W125)</f>
        <v>-327638.98492496641</v>
      </c>
      <c r="X126" s="7">
        <f ca="1">X123+SUM($C125:X125)</f>
        <v>-315706.75141383318</v>
      </c>
      <c r="Y126" s="7">
        <f ca="1">Y123+SUM($C125:Y125)</f>
        <v>-323813.3928995246</v>
      </c>
      <c r="Z126" s="7">
        <f ca="1">Z123+SUM($C125:Z125)</f>
        <v>-331791.37420790951</v>
      </c>
      <c r="AA126" s="7">
        <f ca="1">AA123+SUM($C125:AA125)</f>
        <v>-339627.53904812172</v>
      </c>
      <c r="AB126" s="7">
        <f ca="1">AB123+SUM($C125:AB125)</f>
        <v>-347308.10402843048</v>
      </c>
      <c r="AC126" s="7">
        <f ca="1">AC123+SUM($C125:AC125)</f>
        <v>-354818.63403291075</v>
      </c>
      <c r="AD126" s="7">
        <f ca="1">AD123+SUM($C125:AD125)</f>
        <v>-362144.01671415701</v>
      </c>
      <c r="AE126" s="7">
        <f ca="1">AE123+SUM($C125:AE125)</f>
        <v>-359285.96097810188</v>
      </c>
      <c r="AF126" s="7">
        <f ca="1">AF123+SUM($C125:AF125)</f>
        <v>-355960.83302138251</v>
      </c>
      <c r="AG126" s="7">
        <f ca="1">AG123+SUM($C125:AG125)</f>
        <v>-352145.08741366438</v>
      </c>
      <c r="AH126" s="7">
        <f ca="1">AH123+SUM($C125:AH125)</f>
        <v>-347814.23403011</v>
      </c>
      <c r="AI126" s="7">
        <f ca="1">AI123+SUM($C125:AI125)</f>
        <v>-342942.80375225429</v>
      </c>
      <c r="AJ126" s="7">
        <f ca="1">AJ123+SUM($C125:AJ125)</f>
        <v>-337504.31299094827</v>
      </c>
      <c r="AK126" s="7">
        <f ca="1">AK123+SUM($C125:AK125)</f>
        <v>-331471.22699231067</v>
      </c>
      <c r="AL126" s="7">
        <f ca="1">AL123+SUM($C125:AL125)</f>
        <v>-324814.92188635905</v>
      </c>
      <c r="AM126" s="7">
        <f ca="1">AM123+SUM($C125:AM125)</f>
        <v>-317505.64543669025</v>
      </c>
    </row>
    <row r="127" spans="1:39" x14ac:dyDescent="0.2">
      <c r="A127" s="3" t="s">
        <v>20</v>
      </c>
      <c r="C127" s="7">
        <f ca="1">IF(C126&lt;0,-C126,0)</f>
        <v>0</v>
      </c>
      <c r="D127" s="7">
        <f ca="1">IF(D126+SUM($C127:C127)&lt;0,-(D126+SUM($C127:C127)),0)</f>
        <v>0</v>
      </c>
      <c r="E127" s="7">
        <f ca="1">IF(E126+SUM($C127:D127)&lt;0,-(E126+SUM($C127:D127)),0)</f>
        <v>0</v>
      </c>
      <c r="F127" s="7">
        <f ca="1">IF(F126+SUM($C127:E127)&lt;0,-(F126+SUM($C127:E127)),0)</f>
        <v>0</v>
      </c>
      <c r="G127" s="7">
        <f ca="1">IF(G126+SUM($C127:F127)&lt;0,-(G126+SUM($C127:F127)),0)</f>
        <v>59859.063011206927</v>
      </c>
      <c r="H127" s="7">
        <f ca="1">IF(H126+SUM($C127:G127)&lt;0,-(H126+SUM($C127:G127)),0)</f>
        <v>57845.113322724086</v>
      </c>
      <c r="I127" s="7">
        <f ca="1">IF(I126+SUM($C127:H127)&lt;0,-(I126+SUM($C127:H127)),0)</f>
        <v>33238.529248167615</v>
      </c>
      <c r="J127" s="7">
        <f ca="1">IF(J126+SUM($C127:I127)&lt;0,-(J126+SUM($C127:I127)),0)</f>
        <v>33799.884674633242</v>
      </c>
      <c r="K127" s="7">
        <f ca="1">IF(K126+SUM($C127:J127)&lt;0,-(K126+SUM($C127:J127)),0)</f>
        <v>51555.295799477492</v>
      </c>
      <c r="L127" s="7">
        <f ca="1">IF(L126+SUM($C127:K127)&lt;0,-(L126+SUM($C127:K127)),0)</f>
        <v>0</v>
      </c>
      <c r="M127" s="7">
        <f ca="1">IF(M126+SUM($C127:L127)&lt;0,-(M126+SUM($C127:L127)),0)</f>
        <v>33085.965579709649</v>
      </c>
      <c r="N127" s="7">
        <f ca="1">IF(N126+SUM($C127:M127)&lt;0,-(N126+SUM($C127:M127)),0)</f>
        <v>15108.738211906981</v>
      </c>
      <c r="O127" s="7">
        <f ca="1">IF(O126+SUM($C127:N127)&lt;0,-(O126+SUM($C127:N127)),0)</f>
        <v>15247.099560391973</v>
      </c>
      <c r="P127" s="7">
        <f ca="1">IF(P126+SUM($C127:O127)&lt;0,-(P126+SUM($C127:O127)),0)</f>
        <v>15381.73922938446</v>
      </c>
      <c r="Q127" s="7">
        <f ca="1">IF(Q126+SUM($C127:P127)&lt;0,-(Q126+SUM($C127:P127)),0)</f>
        <v>15512.348755501444</v>
      </c>
      <c r="R127" s="7">
        <f ca="1">IF(R126+SUM($C127:Q127)&lt;0,-(R126+SUM($C127:Q127)),0)</f>
        <v>15638.605501132901</v>
      </c>
      <c r="S127" s="7">
        <f ca="1">IF(S126+SUM($C127:R127)&lt;0,-(S126+SUM($C127:R127)),0)</f>
        <v>15760.172106207232</v>
      </c>
      <c r="T127" s="7">
        <f ca="1">IF(T126+SUM($C127:S127)&lt;0,-(T126+SUM($C127:S127)),0)</f>
        <v>0</v>
      </c>
      <c r="U127" s="7">
        <f ca="1">IF(U126+SUM($C127:T127)&lt;0,-(U126+SUM($C127:T127)),0)</f>
        <v>0</v>
      </c>
      <c r="V127" s="7">
        <f ca="1">IF(V126+SUM($C127:U127)&lt;0,-(V126+SUM($C127:U127)),0)</f>
        <v>0</v>
      </c>
      <c r="W127" s="7">
        <f ca="1">IF(W126+SUM($C127:V127)&lt;0,-(W126+SUM($C127:V127)),0)</f>
        <v>0</v>
      </c>
      <c r="X127" s="7">
        <f ca="1">IF(X126+SUM($C127:W127)&lt;0,-(X126+SUM($C127:W127)),0)</f>
        <v>0</v>
      </c>
      <c r="Y127" s="7">
        <f ca="1">IF(Y126+SUM($C127:X127)&lt;0,-(Y126+SUM($C127:X127)),0)</f>
        <v>0</v>
      </c>
      <c r="Z127" s="7">
        <f ca="1">IF(Z126+SUM($C127:Y127)&lt;0,-(Z126+SUM($C127:Y127)),0)</f>
        <v>0</v>
      </c>
      <c r="AA127" s="7">
        <f ca="1">IF(AA126+SUM($C127:Z127)&lt;0,-(AA126+SUM($C127:Z127)),0)</f>
        <v>0</v>
      </c>
      <c r="AB127" s="7">
        <f ca="1">IF(AB126+SUM($C127:AA127)&lt;0,-(AB126+SUM($C127:AA127)),0)</f>
        <v>0</v>
      </c>
      <c r="AC127" s="7">
        <f ca="1">IF(AC126+SUM($C127:AB127)&lt;0,-(AC126+SUM($C127:AB127)),0)</f>
        <v>0</v>
      </c>
      <c r="AD127" s="7">
        <f ca="1">IF(AD126+SUM($C127:AC127)&lt;0,-(AD126+SUM($C127:AC127)),0)</f>
        <v>111.4617137130117</v>
      </c>
      <c r="AE127" s="7">
        <f ca="1">IF(AE126+SUM($C127:AD127)&lt;0,-(AE126+SUM($C127:AD127)),0)</f>
        <v>0</v>
      </c>
      <c r="AF127" s="7">
        <f ca="1">IF(AF126+SUM($C127:AE127)&lt;0,-(AF126+SUM($C127:AE127)),0)</f>
        <v>0</v>
      </c>
      <c r="AG127" s="7">
        <f ca="1">IF(AG126+SUM($C127:AF127)&lt;0,-(AG126+SUM($C127:AF127)),0)</f>
        <v>0</v>
      </c>
      <c r="AH127" s="7">
        <f ca="1">IF(AH126+SUM($C127:AG127)&lt;0,-(AH126+SUM($C127:AG127)),0)</f>
        <v>0</v>
      </c>
      <c r="AI127" s="7">
        <f ca="1">IF(AI126+SUM($C127:AH127)&lt;0,-(AI126+SUM($C127:AH127)),0)</f>
        <v>0</v>
      </c>
      <c r="AJ127" s="7">
        <f ca="1">IF(AJ126+SUM($C127:AI127)&lt;0,-(AJ126+SUM($C127:AI127)),0)</f>
        <v>0</v>
      </c>
      <c r="AK127" s="7">
        <f ca="1">IF(AK126+SUM($C127:AJ127)&lt;0,-(AK126+SUM($C127:AJ127)),0)</f>
        <v>0</v>
      </c>
      <c r="AL127" s="7">
        <f ca="1">IF(AL126+SUM($C127:AK127)&lt;0,-(AL126+SUM($C127:AK127)),0)</f>
        <v>0</v>
      </c>
      <c r="AM127" s="7">
        <f ca="1">IF(AM126+SUM($C127:AL127)&lt;0,-(AM126+SUM($C127:AL127)),0)</f>
        <v>0</v>
      </c>
    </row>
    <row r="128" spans="1:39" x14ac:dyDescent="0.2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x14ac:dyDescent="0.2">
      <c r="A129" s="24" t="str">
        <f>IF(Inputs!$B$279=6,IFERROR(_xlfn.XLOOKUP($B129,Inputs!$B$280:$B$289,Inputs!$A$280:$A$289,,0,1),""),IFERROR(_xlfn.XLOOKUP($B129,Inputs!$C$280:$C$289,Inputs!$A$280:$A$289,,0,1),""))</f>
        <v>Car</v>
      </c>
      <c r="B129" s="26">
        <v>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">
      <c r="A130" s="3" t="s">
        <v>22</v>
      </c>
      <c r="C130" s="7">
        <f ca="1">IFERROR(VLOOKUP($A129,$A$65:$H$94,C$1+2,FALSE),0)</f>
        <v>38326.250080955608</v>
      </c>
      <c r="D130" s="7">
        <f ca="1">C133</f>
        <v>38326.250080955608</v>
      </c>
      <c r="E130" s="7">
        <f t="shared" ref="E130:AM130" ca="1" si="67">D133</f>
        <v>36409.937576907825</v>
      </c>
      <c r="F130" s="7">
        <f t="shared" ca="1" si="67"/>
        <v>34589.440698062434</v>
      </c>
      <c r="G130" s="7">
        <f t="shared" ca="1" si="67"/>
        <v>0</v>
      </c>
      <c r="H130" s="7">
        <f t="shared" ca="1" si="67"/>
        <v>0</v>
      </c>
      <c r="I130" s="7">
        <f t="shared" ca="1" si="67"/>
        <v>0</v>
      </c>
      <c r="J130" s="7">
        <f t="shared" ca="1" si="67"/>
        <v>0</v>
      </c>
      <c r="K130" s="7">
        <f t="shared" ca="1" si="67"/>
        <v>0</v>
      </c>
      <c r="L130" s="7">
        <f t="shared" ca="1" si="67"/>
        <v>0</v>
      </c>
      <c r="M130" s="7">
        <f t="shared" ca="1" si="67"/>
        <v>0</v>
      </c>
      <c r="N130" s="7">
        <f t="shared" ca="1" si="67"/>
        <v>0</v>
      </c>
      <c r="O130" s="7">
        <f t="shared" ca="1" si="67"/>
        <v>0</v>
      </c>
      <c r="P130" s="7">
        <f t="shared" ca="1" si="67"/>
        <v>0</v>
      </c>
      <c r="Q130" s="7">
        <f t="shared" ca="1" si="67"/>
        <v>0</v>
      </c>
      <c r="R130" s="7">
        <f t="shared" ca="1" si="67"/>
        <v>0</v>
      </c>
      <c r="S130" s="7">
        <f t="shared" ca="1" si="67"/>
        <v>0</v>
      </c>
      <c r="T130" s="7">
        <f t="shared" ca="1" si="67"/>
        <v>0</v>
      </c>
      <c r="U130" s="7">
        <f t="shared" ca="1" si="67"/>
        <v>0</v>
      </c>
      <c r="V130" s="7">
        <f t="shared" ca="1" si="67"/>
        <v>0</v>
      </c>
      <c r="W130" s="7">
        <f t="shared" ca="1" si="67"/>
        <v>0</v>
      </c>
      <c r="X130" s="7">
        <f t="shared" ca="1" si="67"/>
        <v>0</v>
      </c>
      <c r="Y130" s="7">
        <f t="shared" ca="1" si="67"/>
        <v>0</v>
      </c>
      <c r="Z130" s="7">
        <f t="shared" ca="1" si="67"/>
        <v>0</v>
      </c>
      <c r="AA130" s="7">
        <f t="shared" ca="1" si="67"/>
        <v>0</v>
      </c>
      <c r="AB130" s="7">
        <f t="shared" ca="1" si="67"/>
        <v>0</v>
      </c>
      <c r="AC130" s="7">
        <f t="shared" ca="1" si="67"/>
        <v>0</v>
      </c>
      <c r="AD130" s="7">
        <f t="shared" ca="1" si="67"/>
        <v>0</v>
      </c>
      <c r="AE130" s="7">
        <f t="shared" ca="1" si="67"/>
        <v>0</v>
      </c>
      <c r="AF130" s="7">
        <f t="shared" ca="1" si="67"/>
        <v>0</v>
      </c>
      <c r="AG130" s="7">
        <f t="shared" ca="1" si="67"/>
        <v>0</v>
      </c>
      <c r="AH130" s="7">
        <f t="shared" ca="1" si="67"/>
        <v>0</v>
      </c>
      <c r="AI130" s="7">
        <f t="shared" ca="1" si="67"/>
        <v>0</v>
      </c>
      <c r="AJ130" s="7">
        <f t="shared" ca="1" si="67"/>
        <v>0</v>
      </c>
      <c r="AK130" s="7">
        <f t="shared" ca="1" si="67"/>
        <v>0</v>
      </c>
      <c r="AL130" s="7">
        <f t="shared" ca="1" si="67"/>
        <v>0</v>
      </c>
      <c r="AM130" s="7">
        <f t="shared" ca="1" si="67"/>
        <v>0</v>
      </c>
    </row>
    <row r="131" spans="1:39" x14ac:dyDescent="0.2">
      <c r="A131" s="3" t="s">
        <v>23</v>
      </c>
      <c r="C131" s="7">
        <f ca="1">-IF(D127&gt;0,C130,0)</f>
        <v>0</v>
      </c>
      <c r="D131" s="7">
        <f ca="1">-IF(E127&gt;0,D130,0)</f>
        <v>0</v>
      </c>
      <c r="E131" s="7">
        <f ca="1">-IF(F127&gt;0,E130,0)</f>
        <v>0</v>
      </c>
      <c r="F131" s="7">
        <f ca="1">-IF(G127&gt;0,F130,0)</f>
        <v>-34589.440698062434</v>
      </c>
      <c r="G131" s="7">
        <f t="shared" ref="G131:AM131" ca="1" si="68">-IF(H127&gt;0,G130,0)</f>
        <v>0</v>
      </c>
      <c r="H131" s="7">
        <f t="shared" ca="1" si="68"/>
        <v>0</v>
      </c>
      <c r="I131" s="7">
        <f t="shared" ca="1" si="68"/>
        <v>0</v>
      </c>
      <c r="J131" s="7">
        <f t="shared" ca="1" si="68"/>
        <v>0</v>
      </c>
      <c r="K131" s="7">
        <f t="shared" ca="1" si="68"/>
        <v>0</v>
      </c>
      <c r="L131" s="7">
        <f t="shared" ca="1" si="68"/>
        <v>0</v>
      </c>
      <c r="M131" s="7">
        <f t="shared" ca="1" si="68"/>
        <v>0</v>
      </c>
      <c r="N131" s="7">
        <f t="shared" ca="1" si="68"/>
        <v>0</v>
      </c>
      <c r="O131" s="7">
        <f t="shared" ca="1" si="68"/>
        <v>0</v>
      </c>
      <c r="P131" s="7">
        <f t="shared" ca="1" si="68"/>
        <v>0</v>
      </c>
      <c r="Q131" s="7">
        <f t="shared" ca="1" si="68"/>
        <v>0</v>
      </c>
      <c r="R131" s="7">
        <f t="shared" ca="1" si="68"/>
        <v>0</v>
      </c>
      <c r="S131" s="7">
        <f t="shared" ca="1" si="68"/>
        <v>0</v>
      </c>
      <c r="T131" s="7">
        <f t="shared" ca="1" si="68"/>
        <v>0</v>
      </c>
      <c r="U131" s="7">
        <f t="shared" ca="1" si="68"/>
        <v>0</v>
      </c>
      <c r="V131" s="7">
        <f t="shared" ca="1" si="68"/>
        <v>0</v>
      </c>
      <c r="W131" s="7">
        <f t="shared" ca="1" si="68"/>
        <v>0</v>
      </c>
      <c r="X131" s="7">
        <f t="shared" ca="1" si="68"/>
        <v>0</v>
      </c>
      <c r="Y131" s="7">
        <f t="shared" ca="1" si="68"/>
        <v>0</v>
      </c>
      <c r="Z131" s="7">
        <f t="shared" ca="1" si="68"/>
        <v>0</v>
      </c>
      <c r="AA131" s="7">
        <f t="shared" ca="1" si="68"/>
        <v>0</v>
      </c>
      <c r="AB131" s="7">
        <f t="shared" ca="1" si="68"/>
        <v>0</v>
      </c>
      <c r="AC131" s="7">
        <f t="shared" ca="1" si="68"/>
        <v>0</v>
      </c>
      <c r="AD131" s="7">
        <f t="shared" ca="1" si="68"/>
        <v>0</v>
      </c>
      <c r="AE131" s="7">
        <f t="shared" ca="1" si="68"/>
        <v>0</v>
      </c>
      <c r="AF131" s="7">
        <f t="shared" ca="1" si="68"/>
        <v>0</v>
      </c>
      <c r="AG131" s="7">
        <f t="shared" ca="1" si="68"/>
        <v>0</v>
      </c>
      <c r="AH131" s="7">
        <f t="shared" ca="1" si="68"/>
        <v>0</v>
      </c>
      <c r="AI131" s="7">
        <f t="shared" ca="1" si="68"/>
        <v>0</v>
      </c>
      <c r="AJ131" s="7">
        <f t="shared" ca="1" si="68"/>
        <v>0</v>
      </c>
      <c r="AK131" s="7">
        <f t="shared" ca="1" si="68"/>
        <v>0</v>
      </c>
      <c r="AL131" s="7">
        <f t="shared" ca="1" si="68"/>
        <v>0</v>
      </c>
      <c r="AM131" s="7">
        <f t="shared" si="68"/>
        <v>0</v>
      </c>
    </row>
    <row r="132" spans="1:39" x14ac:dyDescent="0.2">
      <c r="A132" s="3" t="s">
        <v>24</v>
      </c>
      <c r="C132" s="7">
        <v>0</v>
      </c>
      <c r="D132" s="7">
        <f t="shared" ref="D132:AM132" ca="1" si="69">SUM(D130:D131)*VLOOKUP($A129,AssVar,2,FALSE)</f>
        <v>-1916.3125040477805</v>
      </c>
      <c r="E132" s="7">
        <f t="shared" ca="1" si="69"/>
        <v>-1820.4968788453914</v>
      </c>
      <c r="F132" s="7">
        <f t="shared" ca="1" si="69"/>
        <v>0</v>
      </c>
      <c r="G132" s="7">
        <f t="shared" ca="1" si="69"/>
        <v>0</v>
      </c>
      <c r="H132" s="7">
        <f t="shared" ca="1" si="69"/>
        <v>0</v>
      </c>
      <c r="I132" s="7">
        <f t="shared" ca="1" si="69"/>
        <v>0</v>
      </c>
      <c r="J132" s="7">
        <f t="shared" ca="1" si="69"/>
        <v>0</v>
      </c>
      <c r="K132" s="7">
        <f t="shared" ca="1" si="69"/>
        <v>0</v>
      </c>
      <c r="L132" s="7">
        <f t="shared" ca="1" si="69"/>
        <v>0</v>
      </c>
      <c r="M132" s="7">
        <f t="shared" ca="1" si="69"/>
        <v>0</v>
      </c>
      <c r="N132" s="7">
        <f t="shared" ca="1" si="69"/>
        <v>0</v>
      </c>
      <c r="O132" s="7">
        <f t="shared" ca="1" si="69"/>
        <v>0</v>
      </c>
      <c r="P132" s="7">
        <f t="shared" ca="1" si="69"/>
        <v>0</v>
      </c>
      <c r="Q132" s="7">
        <f t="shared" ca="1" si="69"/>
        <v>0</v>
      </c>
      <c r="R132" s="7">
        <f t="shared" ca="1" si="69"/>
        <v>0</v>
      </c>
      <c r="S132" s="7">
        <f t="shared" ca="1" si="69"/>
        <v>0</v>
      </c>
      <c r="T132" s="7">
        <f t="shared" ca="1" si="69"/>
        <v>0</v>
      </c>
      <c r="U132" s="7">
        <f t="shared" ca="1" si="69"/>
        <v>0</v>
      </c>
      <c r="V132" s="7">
        <f t="shared" ca="1" si="69"/>
        <v>0</v>
      </c>
      <c r="W132" s="7">
        <f t="shared" ca="1" si="69"/>
        <v>0</v>
      </c>
      <c r="X132" s="7">
        <f t="shared" ca="1" si="69"/>
        <v>0</v>
      </c>
      <c r="Y132" s="7">
        <f t="shared" ca="1" si="69"/>
        <v>0</v>
      </c>
      <c r="Z132" s="7">
        <f t="shared" ca="1" si="69"/>
        <v>0</v>
      </c>
      <c r="AA132" s="7">
        <f t="shared" ca="1" si="69"/>
        <v>0</v>
      </c>
      <c r="AB132" s="7">
        <f t="shared" ca="1" si="69"/>
        <v>0</v>
      </c>
      <c r="AC132" s="7">
        <f t="shared" ca="1" si="69"/>
        <v>0</v>
      </c>
      <c r="AD132" s="7">
        <f t="shared" ca="1" si="69"/>
        <v>0</v>
      </c>
      <c r="AE132" s="7">
        <f t="shared" ca="1" si="69"/>
        <v>0</v>
      </c>
      <c r="AF132" s="7">
        <f t="shared" ca="1" si="69"/>
        <v>0</v>
      </c>
      <c r="AG132" s="7">
        <f t="shared" ca="1" si="69"/>
        <v>0</v>
      </c>
      <c r="AH132" s="7">
        <f t="shared" ca="1" si="69"/>
        <v>0</v>
      </c>
      <c r="AI132" s="7">
        <f t="shared" ca="1" si="69"/>
        <v>0</v>
      </c>
      <c r="AJ132" s="7">
        <f t="shared" ca="1" si="69"/>
        <v>0</v>
      </c>
      <c r="AK132" s="7">
        <f t="shared" ca="1" si="69"/>
        <v>0</v>
      </c>
      <c r="AL132" s="7">
        <f t="shared" ca="1" si="69"/>
        <v>0</v>
      </c>
      <c r="AM132" s="7">
        <f t="shared" ca="1" si="69"/>
        <v>0</v>
      </c>
    </row>
    <row r="133" spans="1:39" x14ac:dyDescent="0.2">
      <c r="A133" s="3" t="s">
        <v>25</v>
      </c>
      <c r="C133" s="7">
        <f ca="1">SUM(C130:C132)</f>
        <v>38326.250080955608</v>
      </c>
      <c r="D133" s="7">
        <f t="shared" ref="D133:AM133" ca="1" si="70">SUM(D130:D132)</f>
        <v>36409.937576907825</v>
      </c>
      <c r="E133" s="7">
        <f t="shared" ca="1" si="70"/>
        <v>34589.440698062434</v>
      </c>
      <c r="F133" s="7">
        <f t="shared" ca="1" si="70"/>
        <v>0</v>
      </c>
      <c r="G133" s="7">
        <f t="shared" ca="1" si="70"/>
        <v>0</v>
      </c>
      <c r="H133" s="7">
        <f t="shared" ca="1" si="70"/>
        <v>0</v>
      </c>
      <c r="I133" s="7">
        <f t="shared" ca="1" si="70"/>
        <v>0</v>
      </c>
      <c r="J133" s="7">
        <f t="shared" ca="1" si="70"/>
        <v>0</v>
      </c>
      <c r="K133" s="7">
        <f t="shared" ca="1" si="70"/>
        <v>0</v>
      </c>
      <c r="L133" s="7">
        <f t="shared" ca="1" si="70"/>
        <v>0</v>
      </c>
      <c r="M133" s="7">
        <f t="shared" ca="1" si="70"/>
        <v>0</v>
      </c>
      <c r="N133" s="7">
        <f t="shared" ca="1" si="70"/>
        <v>0</v>
      </c>
      <c r="O133" s="7">
        <f t="shared" ca="1" si="70"/>
        <v>0</v>
      </c>
      <c r="P133" s="7">
        <f t="shared" ca="1" si="70"/>
        <v>0</v>
      </c>
      <c r="Q133" s="7">
        <f t="shared" ca="1" si="70"/>
        <v>0</v>
      </c>
      <c r="R133" s="7">
        <f t="shared" ca="1" si="70"/>
        <v>0</v>
      </c>
      <c r="S133" s="7">
        <f t="shared" ca="1" si="70"/>
        <v>0</v>
      </c>
      <c r="T133" s="7">
        <f t="shared" ca="1" si="70"/>
        <v>0</v>
      </c>
      <c r="U133" s="7">
        <f t="shared" ca="1" si="70"/>
        <v>0</v>
      </c>
      <c r="V133" s="7">
        <f t="shared" ca="1" si="70"/>
        <v>0</v>
      </c>
      <c r="W133" s="7">
        <f t="shared" ca="1" si="70"/>
        <v>0</v>
      </c>
      <c r="X133" s="7">
        <f t="shared" ca="1" si="70"/>
        <v>0</v>
      </c>
      <c r="Y133" s="7">
        <f t="shared" ca="1" si="70"/>
        <v>0</v>
      </c>
      <c r="Z133" s="7">
        <f t="shared" ca="1" si="70"/>
        <v>0</v>
      </c>
      <c r="AA133" s="7">
        <f t="shared" ca="1" si="70"/>
        <v>0</v>
      </c>
      <c r="AB133" s="7">
        <f t="shared" ca="1" si="70"/>
        <v>0</v>
      </c>
      <c r="AC133" s="7">
        <f t="shared" ca="1" si="70"/>
        <v>0</v>
      </c>
      <c r="AD133" s="7">
        <f t="shared" ca="1" si="70"/>
        <v>0</v>
      </c>
      <c r="AE133" s="7">
        <f t="shared" ca="1" si="70"/>
        <v>0</v>
      </c>
      <c r="AF133" s="7">
        <f t="shared" ca="1" si="70"/>
        <v>0</v>
      </c>
      <c r="AG133" s="7">
        <f t="shared" ca="1" si="70"/>
        <v>0</v>
      </c>
      <c r="AH133" s="7">
        <f t="shared" ca="1" si="70"/>
        <v>0</v>
      </c>
      <c r="AI133" s="7">
        <f t="shared" ca="1" si="70"/>
        <v>0</v>
      </c>
      <c r="AJ133" s="7">
        <f t="shared" ca="1" si="70"/>
        <v>0</v>
      </c>
      <c r="AK133" s="7">
        <f t="shared" ca="1" si="70"/>
        <v>0</v>
      </c>
      <c r="AL133" s="7">
        <f t="shared" ca="1" si="70"/>
        <v>0</v>
      </c>
      <c r="AM133" s="7">
        <f t="shared" ca="1" si="70"/>
        <v>0</v>
      </c>
    </row>
    <row r="134" spans="1:39" x14ac:dyDescent="0.2">
      <c r="A134" s="3" t="s">
        <v>26</v>
      </c>
      <c r="C134" s="7">
        <f t="shared" ref="C134:AM134" ca="1" si="71">C131*VLOOKUP($A129,AssVar,3,FALSE)</f>
        <v>0</v>
      </c>
      <c r="D134" s="7">
        <f t="shared" ca="1" si="71"/>
        <v>0</v>
      </c>
      <c r="E134" s="7">
        <f t="shared" ca="1" si="71"/>
        <v>0</v>
      </c>
      <c r="F134" s="7">
        <f t="shared" ca="1" si="71"/>
        <v>-691.78881396124871</v>
      </c>
      <c r="G134" s="7">
        <f t="shared" ca="1" si="71"/>
        <v>0</v>
      </c>
      <c r="H134" s="7">
        <f t="shared" ca="1" si="71"/>
        <v>0</v>
      </c>
      <c r="I134" s="7">
        <f t="shared" ca="1" si="71"/>
        <v>0</v>
      </c>
      <c r="J134" s="7">
        <f t="shared" ca="1" si="71"/>
        <v>0</v>
      </c>
      <c r="K134" s="7">
        <f t="shared" ca="1" si="71"/>
        <v>0</v>
      </c>
      <c r="L134" s="7">
        <f t="shared" ca="1" si="71"/>
        <v>0</v>
      </c>
      <c r="M134" s="7">
        <f t="shared" ca="1" si="71"/>
        <v>0</v>
      </c>
      <c r="N134" s="7">
        <f t="shared" ca="1" si="71"/>
        <v>0</v>
      </c>
      <c r="O134" s="7">
        <f t="shared" ca="1" si="71"/>
        <v>0</v>
      </c>
      <c r="P134" s="7">
        <f t="shared" ca="1" si="71"/>
        <v>0</v>
      </c>
      <c r="Q134" s="7">
        <f t="shared" ca="1" si="71"/>
        <v>0</v>
      </c>
      <c r="R134" s="7">
        <f t="shared" ca="1" si="71"/>
        <v>0</v>
      </c>
      <c r="S134" s="7">
        <f t="shared" ca="1" si="71"/>
        <v>0</v>
      </c>
      <c r="T134" s="7">
        <f t="shared" ca="1" si="71"/>
        <v>0</v>
      </c>
      <c r="U134" s="7">
        <f t="shared" ca="1" si="71"/>
        <v>0</v>
      </c>
      <c r="V134" s="7">
        <f t="shared" ca="1" si="71"/>
        <v>0</v>
      </c>
      <c r="W134" s="7">
        <f t="shared" ca="1" si="71"/>
        <v>0</v>
      </c>
      <c r="X134" s="7">
        <f t="shared" ca="1" si="71"/>
        <v>0</v>
      </c>
      <c r="Y134" s="7">
        <f t="shared" ca="1" si="71"/>
        <v>0</v>
      </c>
      <c r="Z134" s="7">
        <f t="shared" ca="1" si="71"/>
        <v>0</v>
      </c>
      <c r="AA134" s="7">
        <f t="shared" ca="1" si="71"/>
        <v>0</v>
      </c>
      <c r="AB134" s="7">
        <f t="shared" ca="1" si="71"/>
        <v>0</v>
      </c>
      <c r="AC134" s="7">
        <f t="shared" ca="1" si="71"/>
        <v>0</v>
      </c>
      <c r="AD134" s="7">
        <f t="shared" ca="1" si="71"/>
        <v>0</v>
      </c>
      <c r="AE134" s="7">
        <f t="shared" ca="1" si="71"/>
        <v>0</v>
      </c>
      <c r="AF134" s="7">
        <f t="shared" ca="1" si="71"/>
        <v>0</v>
      </c>
      <c r="AG134" s="7">
        <f t="shared" ca="1" si="71"/>
        <v>0</v>
      </c>
      <c r="AH134" s="7">
        <f t="shared" ca="1" si="71"/>
        <v>0</v>
      </c>
      <c r="AI134" s="7">
        <f t="shared" ca="1" si="71"/>
        <v>0</v>
      </c>
      <c r="AJ134" s="7">
        <f t="shared" ca="1" si="71"/>
        <v>0</v>
      </c>
      <c r="AK134" s="7">
        <f t="shared" ca="1" si="71"/>
        <v>0</v>
      </c>
      <c r="AL134" s="7">
        <f t="shared" ca="1" si="71"/>
        <v>0</v>
      </c>
      <c r="AM134" s="7">
        <f t="shared" si="71"/>
        <v>0</v>
      </c>
    </row>
    <row r="135" spans="1:39" x14ac:dyDescent="0.2">
      <c r="A135" s="3" t="s">
        <v>31</v>
      </c>
      <c r="C135" s="7">
        <f t="shared" ref="C135:AM135" ca="1" si="72">IFERROR(-IF(C130=0,VLOOKUP($A129,$8:$12,C$1+2,FALSE),0),0)</f>
        <v>0</v>
      </c>
      <c r="D135" s="7">
        <f t="shared" ca="1" si="72"/>
        <v>0</v>
      </c>
      <c r="E135" s="7">
        <f t="shared" ca="1" si="72"/>
        <v>0</v>
      </c>
      <c r="F135" s="7">
        <f t="shared" ca="1" si="72"/>
        <v>0</v>
      </c>
      <c r="G135" s="7">
        <f t="shared" ca="1" si="72"/>
        <v>0</v>
      </c>
      <c r="H135" s="7">
        <f t="shared" ca="1" si="72"/>
        <v>0</v>
      </c>
      <c r="I135" s="7">
        <f t="shared" ca="1" si="72"/>
        <v>0</v>
      </c>
      <c r="J135" s="7">
        <f t="shared" ca="1" si="72"/>
        <v>0</v>
      </c>
      <c r="K135" s="7">
        <f t="shared" ca="1" si="72"/>
        <v>0</v>
      </c>
      <c r="L135" s="7">
        <f t="shared" ca="1" si="72"/>
        <v>0</v>
      </c>
      <c r="M135" s="7">
        <f t="shared" ca="1" si="72"/>
        <v>0</v>
      </c>
      <c r="N135" s="7">
        <f t="shared" ca="1" si="72"/>
        <v>0</v>
      </c>
      <c r="O135" s="7">
        <f t="shared" ca="1" si="72"/>
        <v>0</v>
      </c>
      <c r="P135" s="7">
        <f t="shared" ca="1" si="72"/>
        <v>0</v>
      </c>
      <c r="Q135" s="7">
        <f t="shared" ca="1" si="72"/>
        <v>0</v>
      </c>
      <c r="R135" s="7">
        <f t="shared" ca="1" si="72"/>
        <v>0</v>
      </c>
      <c r="S135" s="7">
        <f t="shared" ca="1" si="72"/>
        <v>0</v>
      </c>
      <c r="T135" s="7">
        <f t="shared" ca="1" si="72"/>
        <v>0</v>
      </c>
      <c r="U135" s="7">
        <f t="shared" ca="1" si="72"/>
        <v>0</v>
      </c>
      <c r="V135" s="7">
        <f t="shared" ca="1" si="72"/>
        <v>0</v>
      </c>
      <c r="W135" s="7">
        <f t="shared" ca="1" si="72"/>
        <v>0</v>
      </c>
      <c r="X135" s="7">
        <f t="shared" ca="1" si="72"/>
        <v>0</v>
      </c>
      <c r="Y135" s="7">
        <f t="shared" ca="1" si="72"/>
        <v>0</v>
      </c>
      <c r="Z135" s="7">
        <f t="shared" ca="1" si="72"/>
        <v>0</v>
      </c>
      <c r="AA135" s="7">
        <f t="shared" ca="1" si="72"/>
        <v>0</v>
      </c>
      <c r="AB135" s="7">
        <f t="shared" ca="1" si="72"/>
        <v>0</v>
      </c>
      <c r="AC135" s="7">
        <f t="shared" ca="1" si="72"/>
        <v>0</v>
      </c>
      <c r="AD135" s="7">
        <f t="shared" ca="1" si="72"/>
        <v>0</v>
      </c>
      <c r="AE135" s="7">
        <f t="shared" ca="1" si="72"/>
        <v>0</v>
      </c>
      <c r="AF135" s="7">
        <f t="shared" ca="1" si="72"/>
        <v>0</v>
      </c>
      <c r="AG135" s="7">
        <f t="shared" ca="1" si="72"/>
        <v>0</v>
      </c>
      <c r="AH135" s="7">
        <f t="shared" ca="1" si="72"/>
        <v>0</v>
      </c>
      <c r="AI135" s="7">
        <f t="shared" ca="1" si="72"/>
        <v>0</v>
      </c>
      <c r="AJ135" s="7">
        <f t="shared" ca="1" si="72"/>
        <v>0</v>
      </c>
      <c r="AK135" s="7">
        <f t="shared" ca="1" si="72"/>
        <v>0</v>
      </c>
      <c r="AL135" s="7">
        <f t="shared" ca="1" si="72"/>
        <v>0</v>
      </c>
      <c r="AM135" s="7">
        <f t="shared" ca="1" si="72"/>
        <v>0</v>
      </c>
    </row>
    <row r="136" spans="1:39" x14ac:dyDescent="0.2">
      <c r="A136" s="3" t="s">
        <v>50</v>
      </c>
      <c r="C136" s="7">
        <f t="shared" ref="C136:AM136" ca="1" si="73">IFERROR(IF(C130=0,VLOOKUP($A129,$45:$49,C$1+2,FALSE),0),0)</f>
        <v>0</v>
      </c>
      <c r="D136" s="7">
        <f t="shared" ca="1" si="73"/>
        <v>0</v>
      </c>
      <c r="E136" s="7">
        <f t="shared" ca="1" si="73"/>
        <v>0</v>
      </c>
      <c r="F136" s="7">
        <f t="shared" ca="1" si="73"/>
        <v>0</v>
      </c>
      <c r="G136" s="7">
        <f t="shared" ca="1" si="73"/>
        <v>0</v>
      </c>
      <c r="H136" s="7">
        <f t="shared" ca="1" si="73"/>
        <v>0</v>
      </c>
      <c r="I136" s="7">
        <f t="shared" ca="1" si="73"/>
        <v>0</v>
      </c>
      <c r="J136" s="7">
        <f t="shared" ca="1" si="73"/>
        <v>0</v>
      </c>
      <c r="K136" s="7">
        <f t="shared" ca="1" si="73"/>
        <v>0</v>
      </c>
      <c r="L136" s="7">
        <f t="shared" ca="1" si="73"/>
        <v>0</v>
      </c>
      <c r="M136" s="7">
        <f t="shared" ca="1" si="73"/>
        <v>0</v>
      </c>
      <c r="N136" s="7">
        <f t="shared" ca="1" si="73"/>
        <v>0</v>
      </c>
      <c r="O136" s="7">
        <f t="shared" ca="1" si="73"/>
        <v>0</v>
      </c>
      <c r="P136" s="7">
        <f t="shared" ca="1" si="73"/>
        <v>0</v>
      </c>
      <c r="Q136" s="7">
        <f t="shared" ca="1" si="73"/>
        <v>0</v>
      </c>
      <c r="R136" s="7">
        <f t="shared" ca="1" si="73"/>
        <v>0</v>
      </c>
      <c r="S136" s="7">
        <f t="shared" ca="1" si="73"/>
        <v>0</v>
      </c>
      <c r="T136" s="7">
        <f t="shared" ca="1" si="73"/>
        <v>0</v>
      </c>
      <c r="U136" s="7">
        <f t="shared" ca="1" si="73"/>
        <v>0</v>
      </c>
      <c r="V136" s="7">
        <f t="shared" ca="1" si="73"/>
        <v>0</v>
      </c>
      <c r="W136" s="7">
        <f t="shared" ca="1" si="73"/>
        <v>0</v>
      </c>
      <c r="X136" s="7">
        <f t="shared" ca="1" si="73"/>
        <v>0</v>
      </c>
      <c r="Y136" s="7">
        <f t="shared" ca="1" si="73"/>
        <v>0</v>
      </c>
      <c r="Z136" s="7">
        <f t="shared" ca="1" si="73"/>
        <v>0</v>
      </c>
      <c r="AA136" s="7">
        <f t="shared" ca="1" si="73"/>
        <v>0</v>
      </c>
      <c r="AB136" s="7">
        <f t="shared" ca="1" si="73"/>
        <v>0</v>
      </c>
      <c r="AC136" s="7">
        <f t="shared" ca="1" si="73"/>
        <v>0</v>
      </c>
      <c r="AD136" s="7">
        <f t="shared" ca="1" si="73"/>
        <v>0</v>
      </c>
      <c r="AE136" s="7">
        <f t="shared" ca="1" si="73"/>
        <v>0</v>
      </c>
      <c r="AF136" s="7">
        <f t="shared" ca="1" si="73"/>
        <v>0</v>
      </c>
      <c r="AG136" s="7">
        <f t="shared" ca="1" si="73"/>
        <v>0</v>
      </c>
      <c r="AH136" s="7">
        <f t="shared" ca="1" si="73"/>
        <v>0</v>
      </c>
      <c r="AI136" s="7">
        <f t="shared" ca="1" si="73"/>
        <v>0</v>
      </c>
      <c r="AJ136" s="7">
        <f t="shared" ca="1" si="73"/>
        <v>0</v>
      </c>
      <c r="AK136" s="7">
        <f t="shared" ca="1" si="73"/>
        <v>0</v>
      </c>
      <c r="AL136" s="7">
        <f t="shared" ca="1" si="73"/>
        <v>0</v>
      </c>
      <c r="AM136" s="7">
        <f t="shared" ca="1" si="73"/>
        <v>0</v>
      </c>
    </row>
    <row r="137" spans="1:39" x14ac:dyDescent="0.2">
      <c r="A137" s="3" t="s">
        <v>36</v>
      </c>
      <c r="B137" s="14" t="str">
        <f>A129</f>
        <v>Car</v>
      </c>
      <c r="C137" s="7">
        <f t="shared" ref="C137:AM137" ca="1" si="74">IF(AND(C130&gt;0,C133=0),VLOOKUP($A129,$83:$92,C$1+2,FALSE),0)</f>
        <v>0</v>
      </c>
      <c r="D137" s="7">
        <f t="shared" ca="1" si="74"/>
        <v>0</v>
      </c>
      <c r="E137" s="7">
        <f t="shared" ca="1" si="74"/>
        <v>0</v>
      </c>
      <c r="F137" s="7">
        <f t="shared" ca="1" si="74"/>
        <v>-2369.6371033087999</v>
      </c>
      <c r="G137" s="7">
        <f t="shared" ca="1" si="74"/>
        <v>0</v>
      </c>
      <c r="H137" s="7">
        <f t="shared" ca="1" si="74"/>
        <v>0</v>
      </c>
      <c r="I137" s="7">
        <f t="shared" ca="1" si="74"/>
        <v>0</v>
      </c>
      <c r="J137" s="7">
        <f t="shared" ca="1" si="74"/>
        <v>0</v>
      </c>
      <c r="K137" s="7">
        <f t="shared" ca="1" si="74"/>
        <v>0</v>
      </c>
      <c r="L137" s="7">
        <f t="shared" ca="1" si="74"/>
        <v>0</v>
      </c>
      <c r="M137" s="7">
        <f t="shared" ca="1" si="74"/>
        <v>0</v>
      </c>
      <c r="N137" s="7">
        <f t="shared" ca="1" si="74"/>
        <v>0</v>
      </c>
      <c r="O137" s="7">
        <f t="shared" ca="1" si="74"/>
        <v>0</v>
      </c>
      <c r="P137" s="7">
        <f t="shared" ca="1" si="74"/>
        <v>0</v>
      </c>
      <c r="Q137" s="7">
        <f t="shared" ca="1" si="74"/>
        <v>0</v>
      </c>
      <c r="R137" s="7">
        <f t="shared" ca="1" si="74"/>
        <v>0</v>
      </c>
      <c r="S137" s="7">
        <f t="shared" ca="1" si="74"/>
        <v>0</v>
      </c>
      <c r="T137" s="7">
        <f t="shared" ca="1" si="74"/>
        <v>0</v>
      </c>
      <c r="U137" s="7">
        <f t="shared" ca="1" si="74"/>
        <v>0</v>
      </c>
      <c r="V137" s="7">
        <f t="shared" ca="1" si="74"/>
        <v>0</v>
      </c>
      <c r="W137" s="7">
        <f t="shared" ca="1" si="74"/>
        <v>0</v>
      </c>
      <c r="X137" s="7">
        <f t="shared" ca="1" si="74"/>
        <v>0</v>
      </c>
      <c r="Y137" s="7">
        <f t="shared" ca="1" si="74"/>
        <v>0</v>
      </c>
      <c r="Z137" s="7">
        <f t="shared" ca="1" si="74"/>
        <v>0</v>
      </c>
      <c r="AA137" s="7">
        <f t="shared" ca="1" si="74"/>
        <v>0</v>
      </c>
      <c r="AB137" s="7">
        <f t="shared" ca="1" si="74"/>
        <v>0</v>
      </c>
      <c r="AC137" s="7">
        <f t="shared" ca="1" si="74"/>
        <v>0</v>
      </c>
      <c r="AD137" s="7">
        <f t="shared" ca="1" si="74"/>
        <v>0</v>
      </c>
      <c r="AE137" s="7">
        <f t="shared" ca="1" si="74"/>
        <v>0</v>
      </c>
      <c r="AF137" s="7">
        <f t="shared" ca="1" si="74"/>
        <v>0</v>
      </c>
      <c r="AG137" s="7">
        <f t="shared" ca="1" si="74"/>
        <v>0</v>
      </c>
      <c r="AH137" s="7">
        <f t="shared" ca="1" si="74"/>
        <v>0</v>
      </c>
      <c r="AI137" s="7">
        <f t="shared" ca="1" si="74"/>
        <v>0</v>
      </c>
      <c r="AJ137" s="7">
        <f t="shared" ca="1" si="74"/>
        <v>0</v>
      </c>
      <c r="AK137" s="7">
        <f t="shared" ca="1" si="74"/>
        <v>0</v>
      </c>
      <c r="AL137" s="7">
        <f t="shared" ca="1" si="74"/>
        <v>0</v>
      </c>
      <c r="AM137" s="7">
        <f t="shared" ca="1" si="74"/>
        <v>0</v>
      </c>
    </row>
    <row r="138" spans="1:39" x14ac:dyDescent="0.2">
      <c r="A138" s="3" t="s">
        <v>37</v>
      </c>
      <c r="C138" s="7">
        <f ca="1">-C131+SUM(C134:C137)</f>
        <v>0</v>
      </c>
      <c r="D138" s="7">
        <f t="shared" ref="D138" ca="1" si="75">-D131+SUM(D134:D137)</f>
        <v>0</v>
      </c>
      <c r="E138" s="7">
        <f t="shared" ref="E138:AM138" ca="1" si="76">-E131+SUM(E134:E137)</f>
        <v>0</v>
      </c>
      <c r="F138" s="7">
        <f t="shared" ca="1" si="76"/>
        <v>31528.014780792386</v>
      </c>
      <c r="G138" s="7">
        <f t="shared" ca="1" si="76"/>
        <v>0</v>
      </c>
      <c r="H138" s="7">
        <f t="shared" ca="1" si="76"/>
        <v>0</v>
      </c>
      <c r="I138" s="7">
        <f t="shared" ca="1" si="76"/>
        <v>0</v>
      </c>
      <c r="J138" s="7">
        <f t="shared" ca="1" si="76"/>
        <v>0</v>
      </c>
      <c r="K138" s="7">
        <f t="shared" ca="1" si="76"/>
        <v>0</v>
      </c>
      <c r="L138" s="7">
        <f t="shared" ca="1" si="76"/>
        <v>0</v>
      </c>
      <c r="M138" s="7">
        <f t="shared" ca="1" si="76"/>
        <v>0</v>
      </c>
      <c r="N138" s="7">
        <f t="shared" ca="1" si="76"/>
        <v>0</v>
      </c>
      <c r="O138" s="7">
        <f t="shared" ca="1" si="76"/>
        <v>0</v>
      </c>
      <c r="P138" s="7">
        <f t="shared" ca="1" si="76"/>
        <v>0</v>
      </c>
      <c r="Q138" s="7">
        <f t="shared" ca="1" si="76"/>
        <v>0</v>
      </c>
      <c r="R138" s="7">
        <f t="shared" ca="1" si="76"/>
        <v>0</v>
      </c>
      <c r="S138" s="7">
        <f t="shared" ca="1" si="76"/>
        <v>0</v>
      </c>
      <c r="T138" s="7">
        <f t="shared" ca="1" si="76"/>
        <v>0</v>
      </c>
      <c r="U138" s="7">
        <f t="shared" ca="1" si="76"/>
        <v>0</v>
      </c>
      <c r="V138" s="7">
        <f t="shared" ca="1" si="76"/>
        <v>0</v>
      </c>
      <c r="W138" s="7">
        <f t="shared" ca="1" si="76"/>
        <v>0</v>
      </c>
      <c r="X138" s="7">
        <f t="shared" ca="1" si="76"/>
        <v>0</v>
      </c>
      <c r="Y138" s="7">
        <f t="shared" ca="1" si="76"/>
        <v>0</v>
      </c>
      <c r="Z138" s="7">
        <f t="shared" ca="1" si="76"/>
        <v>0</v>
      </c>
      <c r="AA138" s="7">
        <f t="shared" ca="1" si="76"/>
        <v>0</v>
      </c>
      <c r="AB138" s="7">
        <f t="shared" ca="1" si="76"/>
        <v>0</v>
      </c>
      <c r="AC138" s="7">
        <f t="shared" ca="1" si="76"/>
        <v>0</v>
      </c>
      <c r="AD138" s="7">
        <f t="shared" ca="1" si="76"/>
        <v>0</v>
      </c>
      <c r="AE138" s="7">
        <f t="shared" ca="1" si="76"/>
        <v>0</v>
      </c>
      <c r="AF138" s="7">
        <f t="shared" ca="1" si="76"/>
        <v>0</v>
      </c>
      <c r="AG138" s="7">
        <f t="shared" ca="1" si="76"/>
        <v>0</v>
      </c>
      <c r="AH138" s="7">
        <f t="shared" ca="1" si="76"/>
        <v>0</v>
      </c>
      <c r="AI138" s="7">
        <f t="shared" ca="1" si="76"/>
        <v>0</v>
      </c>
      <c r="AJ138" s="7">
        <f t="shared" ca="1" si="76"/>
        <v>0</v>
      </c>
      <c r="AK138" s="7">
        <f t="shared" ca="1" si="76"/>
        <v>0</v>
      </c>
      <c r="AL138" s="7">
        <f t="shared" ca="1" si="76"/>
        <v>0</v>
      </c>
      <c r="AM138" s="7">
        <f t="shared" ca="1" si="76"/>
        <v>0</v>
      </c>
    </row>
    <row r="139" spans="1:39" x14ac:dyDescent="0.2">
      <c r="A139" s="3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x14ac:dyDescent="0.2">
      <c r="A140" s="3" t="s">
        <v>71</v>
      </c>
      <c r="C140" s="7">
        <f ca="1">C126+SUM($C138:C138)</f>
        <v>12809.375000000015</v>
      </c>
      <c r="D140" s="7">
        <f ca="1">D126+SUM($C138:D138)</f>
        <v>24162.215625000026</v>
      </c>
      <c r="E140" s="7">
        <f ca="1">E126+SUM($C138:E138)</f>
        <v>58836.638502582922</v>
      </c>
      <c r="F140" s="7">
        <f ca="1">F126+SUM($C138:F138)</f>
        <v>32646.970837814606</v>
      </c>
      <c r="G140" s="7">
        <f ca="1">G126+SUM($C138:G138)</f>
        <v>-28331.048230414541</v>
      </c>
      <c r="H140" s="7">
        <f ca="1">H126+SUM($C138:H138)</f>
        <v>-86176.161553138634</v>
      </c>
      <c r="I140" s="7">
        <f ca="1">I126+SUM($C138:I138)</f>
        <v>-119414.69080130625</v>
      </c>
      <c r="J140" s="7">
        <f ca="1">J126+SUM($C138:J138)</f>
        <v>-153214.57547593949</v>
      </c>
      <c r="K140" s="7">
        <f ca="1">K126+SUM($C138:K138)</f>
        <v>-204769.87127541698</v>
      </c>
      <c r="L140" s="7">
        <f ca="1">L126+SUM($C138:L138)</f>
        <v>-174245.67417322411</v>
      </c>
      <c r="M140" s="7">
        <f ca="1">M126+SUM($C138:M138)</f>
        <v>-237855.83685512663</v>
      </c>
      <c r="N140" s="7">
        <f ca="1">N126+SUM($C138:N138)</f>
        <v>-252964.57506703361</v>
      </c>
      <c r="O140" s="7">
        <f ca="1">O126+SUM($C138:O138)</f>
        <v>-268211.67462742556</v>
      </c>
      <c r="P140" s="7">
        <f ca="1">P126+SUM($C138:P138)</f>
        <v>-283593.41385681002</v>
      </c>
      <c r="Q140" s="7">
        <f ca="1">Q126+SUM($C138:Q138)</f>
        <v>-299105.76261231146</v>
      </c>
      <c r="R140" s="7">
        <f ca="1">R126+SUM($C138:R138)</f>
        <v>-314744.36811344436</v>
      </c>
      <c r="S140" s="7">
        <f ca="1">S126+SUM($C138:S138)</f>
        <v>-330504.54021965159</v>
      </c>
      <c r="T140" s="7">
        <f ca="1">T126+SUM($C138:T138)</f>
        <v>-328426.14065819705</v>
      </c>
      <c r="U140" s="7">
        <f ca="1">U126+SUM($C138:U138)</f>
        <v>-318211.68261609337</v>
      </c>
      <c r="V140" s="7">
        <f ca="1">V126+SUM($C138:V138)</f>
        <v>-307447.48407276423</v>
      </c>
      <c r="W140" s="7">
        <f ca="1">W126+SUM($C138:W138)</f>
        <v>-296110.970144174</v>
      </c>
      <c r="X140" s="7">
        <f ca="1">X126+SUM($C138:X138)</f>
        <v>-284178.73663304077</v>
      </c>
      <c r="Y140" s="7">
        <f ca="1">Y126+SUM($C138:Y138)</f>
        <v>-292285.37811873219</v>
      </c>
      <c r="Z140" s="7">
        <f ca="1">Z126+SUM($C138:Z138)</f>
        <v>-300263.3594271171</v>
      </c>
      <c r="AA140" s="7">
        <f ca="1">AA126+SUM($C138:AA138)</f>
        <v>-308099.52426732931</v>
      </c>
      <c r="AB140" s="7">
        <f ca="1">AB126+SUM($C138:AB138)</f>
        <v>-315780.08924763807</v>
      </c>
      <c r="AC140" s="7">
        <f ca="1">AC126+SUM($C138:AC138)</f>
        <v>-323290.61925211834</v>
      </c>
      <c r="AD140" s="7">
        <f ca="1">AD126+SUM($C138:AD138)</f>
        <v>-330616.00193336461</v>
      </c>
      <c r="AE140" s="7">
        <f ca="1">AE126+SUM($C138:AE138)</f>
        <v>-327757.94619730947</v>
      </c>
      <c r="AF140" s="7">
        <f ca="1">AF126+SUM($C138:AF138)</f>
        <v>-324432.8182405901</v>
      </c>
      <c r="AG140" s="7">
        <f ca="1">AG126+SUM($C138:AG138)</f>
        <v>-320617.07263287198</v>
      </c>
      <c r="AH140" s="7">
        <f ca="1">AH126+SUM($C138:AH138)</f>
        <v>-316286.2192493176</v>
      </c>
      <c r="AI140" s="7">
        <f ca="1">AI126+SUM($C138:AI138)</f>
        <v>-311414.78897146188</v>
      </c>
      <c r="AJ140" s="7">
        <f ca="1">AJ126+SUM($C138:AJ138)</f>
        <v>-305976.29821015586</v>
      </c>
      <c r="AK140" s="7">
        <f ca="1">AK126+SUM($C138:AK138)</f>
        <v>-299943.21221151826</v>
      </c>
      <c r="AL140" s="7">
        <f ca="1">AL126+SUM($C138:AL138)</f>
        <v>-293286.90710556664</v>
      </c>
      <c r="AM140" s="7">
        <f ca="1">AM126+SUM($C138:AM138)</f>
        <v>-285977.63065589784</v>
      </c>
    </row>
    <row r="141" spans="1:39" x14ac:dyDescent="0.2">
      <c r="A141" s="3" t="s">
        <v>68</v>
      </c>
      <c r="C141" s="7">
        <f t="shared" ref="C141:AM141" ca="1" si="77">MAX(C140+buffer,0)-MAX(C126+buffer,0)</f>
        <v>0</v>
      </c>
      <c r="D141" s="7">
        <f t="shared" ca="1" si="77"/>
        <v>0</v>
      </c>
      <c r="E141" s="7">
        <f t="shared" ca="1" si="77"/>
        <v>0</v>
      </c>
      <c r="F141" s="7">
        <f t="shared" ca="1" si="77"/>
        <v>31528.014780792379</v>
      </c>
      <c r="G141" s="7">
        <f t="shared" ca="1" si="77"/>
        <v>21668.951769585459</v>
      </c>
      <c r="H141" s="7">
        <f t="shared" ca="1" si="77"/>
        <v>0</v>
      </c>
      <c r="I141" s="7">
        <f t="shared" ca="1" si="77"/>
        <v>0</v>
      </c>
      <c r="J141" s="7">
        <f t="shared" ca="1" si="77"/>
        <v>0</v>
      </c>
      <c r="K141" s="7">
        <f t="shared" ca="1" si="77"/>
        <v>0</v>
      </c>
      <c r="L141" s="7">
        <f t="shared" ca="1" si="77"/>
        <v>0</v>
      </c>
      <c r="M141" s="7">
        <f t="shared" ca="1" si="77"/>
        <v>0</v>
      </c>
      <c r="N141" s="7">
        <f t="shared" ca="1" si="77"/>
        <v>0</v>
      </c>
      <c r="O141" s="7">
        <f t="shared" ca="1" si="77"/>
        <v>0</v>
      </c>
      <c r="P141" s="7">
        <f t="shared" ca="1" si="77"/>
        <v>0</v>
      </c>
      <c r="Q141" s="7">
        <f t="shared" ca="1" si="77"/>
        <v>0</v>
      </c>
      <c r="R141" s="7">
        <f t="shared" ca="1" si="77"/>
        <v>0</v>
      </c>
      <c r="S141" s="7">
        <f t="shared" ca="1" si="77"/>
        <v>0</v>
      </c>
      <c r="T141" s="7">
        <f t="shared" ca="1" si="77"/>
        <v>0</v>
      </c>
      <c r="U141" s="7">
        <f t="shared" ca="1" si="77"/>
        <v>0</v>
      </c>
      <c r="V141" s="7">
        <f t="shared" ca="1" si="77"/>
        <v>0</v>
      </c>
      <c r="W141" s="7">
        <f t="shared" ca="1" si="77"/>
        <v>0</v>
      </c>
      <c r="X141" s="7">
        <f t="shared" ca="1" si="77"/>
        <v>0</v>
      </c>
      <c r="Y141" s="7">
        <f t="shared" ca="1" si="77"/>
        <v>0</v>
      </c>
      <c r="Z141" s="7">
        <f t="shared" ca="1" si="77"/>
        <v>0</v>
      </c>
      <c r="AA141" s="7">
        <f t="shared" ca="1" si="77"/>
        <v>0</v>
      </c>
      <c r="AB141" s="7">
        <f t="shared" ca="1" si="77"/>
        <v>0</v>
      </c>
      <c r="AC141" s="7">
        <f t="shared" ca="1" si="77"/>
        <v>0</v>
      </c>
      <c r="AD141" s="7">
        <f t="shared" ca="1" si="77"/>
        <v>0</v>
      </c>
      <c r="AE141" s="7">
        <f t="shared" ca="1" si="77"/>
        <v>0</v>
      </c>
      <c r="AF141" s="7">
        <f t="shared" ca="1" si="77"/>
        <v>0</v>
      </c>
      <c r="AG141" s="7">
        <f t="shared" ca="1" si="77"/>
        <v>0</v>
      </c>
      <c r="AH141" s="7">
        <f t="shared" ca="1" si="77"/>
        <v>0</v>
      </c>
      <c r="AI141" s="7">
        <f t="shared" ca="1" si="77"/>
        <v>0</v>
      </c>
      <c r="AJ141" s="7">
        <f t="shared" ca="1" si="77"/>
        <v>0</v>
      </c>
      <c r="AK141" s="7">
        <f t="shared" ca="1" si="77"/>
        <v>0</v>
      </c>
      <c r="AL141" s="7">
        <f t="shared" ca="1" si="77"/>
        <v>0</v>
      </c>
      <c r="AM141" s="7">
        <f t="shared" ca="1" si="77"/>
        <v>0</v>
      </c>
    </row>
    <row r="142" spans="1:39" x14ac:dyDescent="0.2">
      <c r="A142" s="3" t="s">
        <v>69</v>
      </c>
      <c r="C142" s="7">
        <f ca="1">C141*Inputs!$B$259</f>
        <v>0</v>
      </c>
      <c r="D142" s="7">
        <f ca="1">D141*Inputs!$B$259</f>
        <v>0</v>
      </c>
      <c r="E142" s="7">
        <f ca="1">E141*Inputs!$B$259</f>
        <v>0</v>
      </c>
      <c r="F142" s="7">
        <f ca="1">F141*Inputs!$B$259</f>
        <v>788.20036951980956</v>
      </c>
      <c r="G142" s="7">
        <f ca="1">G141*Inputs!$B$259</f>
        <v>541.7237942396365</v>
      </c>
      <c r="H142" s="7">
        <f ca="1">H141*Inputs!$B$259</f>
        <v>0</v>
      </c>
      <c r="I142" s="7">
        <f ca="1">I141*Inputs!$B$259</f>
        <v>0</v>
      </c>
      <c r="J142" s="7">
        <f ca="1">J141*Inputs!$B$259</f>
        <v>0</v>
      </c>
      <c r="K142" s="7">
        <f ca="1">K141*Inputs!$B$259</f>
        <v>0</v>
      </c>
      <c r="L142" s="7">
        <f ca="1">L141*Inputs!$B$259</f>
        <v>0</v>
      </c>
      <c r="M142" s="7">
        <f ca="1">M141*Inputs!$B$259</f>
        <v>0</v>
      </c>
      <c r="N142" s="7">
        <f ca="1">N141*Inputs!$B$259</f>
        <v>0</v>
      </c>
      <c r="O142" s="7">
        <f ca="1">O141*Inputs!$B$259</f>
        <v>0</v>
      </c>
      <c r="P142" s="7">
        <f ca="1">P141*Inputs!$B$259</f>
        <v>0</v>
      </c>
      <c r="Q142" s="7">
        <f ca="1">Q141*Inputs!$B$259</f>
        <v>0</v>
      </c>
      <c r="R142" s="7">
        <f ca="1">R141*Inputs!$B$259</f>
        <v>0</v>
      </c>
      <c r="S142" s="7">
        <f ca="1">S141*Inputs!$B$259</f>
        <v>0</v>
      </c>
      <c r="T142" s="7">
        <f ca="1">T141*Inputs!$B$259</f>
        <v>0</v>
      </c>
      <c r="U142" s="7">
        <f ca="1">U141*Inputs!$B$259</f>
        <v>0</v>
      </c>
      <c r="V142" s="7">
        <f ca="1">V141*Inputs!$B$259</f>
        <v>0</v>
      </c>
      <c r="W142" s="7">
        <f ca="1">W141*Inputs!$B$259</f>
        <v>0</v>
      </c>
      <c r="X142" s="7">
        <f ca="1">X141*Inputs!$B$259</f>
        <v>0</v>
      </c>
      <c r="Y142" s="7">
        <f ca="1">Y141*Inputs!$B$259</f>
        <v>0</v>
      </c>
      <c r="Z142" s="7">
        <f ca="1">Z141*Inputs!$B$259</f>
        <v>0</v>
      </c>
      <c r="AA142" s="7">
        <f ca="1">AA141*Inputs!$B$259</f>
        <v>0</v>
      </c>
      <c r="AB142" s="7">
        <f ca="1">AB141*Inputs!$B$259</f>
        <v>0</v>
      </c>
      <c r="AC142" s="7">
        <f ca="1">AC141*Inputs!$B$259</f>
        <v>0</v>
      </c>
      <c r="AD142" s="7">
        <f ca="1">AD141*Inputs!$B$259</f>
        <v>0</v>
      </c>
      <c r="AE142" s="7">
        <f ca="1">AE141*Inputs!$B$259</f>
        <v>0</v>
      </c>
      <c r="AF142" s="7">
        <f ca="1">AF141*Inputs!$B$259</f>
        <v>0</v>
      </c>
      <c r="AG142" s="7">
        <f ca="1">AG141*Inputs!$B$259</f>
        <v>0</v>
      </c>
      <c r="AH142" s="7">
        <f ca="1">AH141*Inputs!$B$259</f>
        <v>0</v>
      </c>
      <c r="AI142" s="7">
        <f ca="1">AI141*Inputs!$B$259</f>
        <v>0</v>
      </c>
      <c r="AJ142" s="7">
        <f ca="1">AJ141*Inputs!$B$259</f>
        <v>0</v>
      </c>
      <c r="AK142" s="7">
        <f ca="1">AK141*Inputs!$B$259</f>
        <v>0</v>
      </c>
      <c r="AL142" s="7">
        <f ca="1">AL141*Inputs!$B$259</f>
        <v>0</v>
      </c>
      <c r="AM142" s="7">
        <f ca="1">AM141*Inputs!$B$259</f>
        <v>0</v>
      </c>
    </row>
    <row r="143" spans="1:39" x14ac:dyDescent="0.2">
      <c r="A143" s="3" t="s">
        <v>150</v>
      </c>
      <c r="C143" s="7">
        <f ca="1">C140+SUM($C142:C142)</f>
        <v>12809.375000000015</v>
      </c>
      <c r="D143" s="7">
        <f ca="1">D140+SUM($C142:D142)</f>
        <v>24162.215625000026</v>
      </c>
      <c r="E143" s="7">
        <f ca="1">E140+SUM($C142:E142)</f>
        <v>58836.638502582922</v>
      </c>
      <c r="F143" s="7">
        <f ca="1">F140+SUM($C142:F142)</f>
        <v>33435.171207334417</v>
      </c>
      <c r="G143" s="7">
        <f ca="1">G140+SUM($C142:G142)</f>
        <v>-27001.124066655095</v>
      </c>
      <c r="H143" s="7">
        <f ca="1">H140+SUM($C142:H142)</f>
        <v>-84846.237389379181</v>
      </c>
      <c r="I143" s="7">
        <f ca="1">I140+SUM($C142:I142)</f>
        <v>-118084.7666375468</v>
      </c>
      <c r="J143" s="7">
        <f ca="1">J140+SUM($C142:J142)</f>
        <v>-151884.65131218004</v>
      </c>
      <c r="K143" s="7">
        <f ca="1">K140+SUM($C142:K142)</f>
        <v>-203439.94711165753</v>
      </c>
      <c r="L143" s="7">
        <f ca="1">L140+SUM($C142:L142)</f>
        <v>-172915.75000946465</v>
      </c>
      <c r="M143" s="7">
        <f ca="1">M140+SUM($C142:M142)</f>
        <v>-236525.91269136718</v>
      </c>
      <c r="N143" s="7">
        <f ca="1">N140+SUM($C142:N142)</f>
        <v>-251634.65090327416</v>
      </c>
      <c r="O143" s="7">
        <f ca="1">O140+SUM($C142:O142)</f>
        <v>-266881.7504636661</v>
      </c>
      <c r="P143" s="7">
        <f ca="1">P140+SUM($C142:P142)</f>
        <v>-282263.48969305056</v>
      </c>
      <c r="Q143" s="7">
        <f ca="1">Q140+SUM($C142:Q142)</f>
        <v>-297775.83844855201</v>
      </c>
      <c r="R143" s="7">
        <f ca="1">R140+SUM($C142:R142)</f>
        <v>-313414.44394968491</v>
      </c>
      <c r="S143" s="7">
        <f ca="1">S140+SUM($C142:S142)</f>
        <v>-329174.61605589214</v>
      </c>
      <c r="T143" s="7">
        <f ca="1">T140+SUM($C142:T142)</f>
        <v>-327096.2164944376</v>
      </c>
      <c r="U143" s="7">
        <f ca="1">U140+SUM($C142:U142)</f>
        <v>-316881.75845233392</v>
      </c>
      <c r="V143" s="7">
        <f ca="1">V140+SUM($C142:V142)</f>
        <v>-306117.55990900478</v>
      </c>
      <c r="W143" s="7">
        <f ca="1">W140+SUM($C142:W142)</f>
        <v>-294781.04598041455</v>
      </c>
      <c r="X143" s="7">
        <f ca="1">X140+SUM($C142:X142)</f>
        <v>-282848.81246928131</v>
      </c>
      <c r="Y143" s="7">
        <f ca="1">Y140+SUM($C142:Y142)</f>
        <v>-290955.45395497273</v>
      </c>
      <c r="Z143" s="7">
        <f ca="1">Z140+SUM($C142:Z142)</f>
        <v>-298933.43526335765</v>
      </c>
      <c r="AA143" s="7">
        <f ca="1">AA140+SUM($C142:AA142)</f>
        <v>-306769.60010356986</v>
      </c>
      <c r="AB143" s="7">
        <f ca="1">AB140+SUM($C142:AB142)</f>
        <v>-314450.16508387862</v>
      </c>
      <c r="AC143" s="7">
        <f ca="1">AC140+SUM($C142:AC142)</f>
        <v>-321960.69508835889</v>
      </c>
      <c r="AD143" s="7">
        <f ca="1">AD140+SUM($C142:AD142)</f>
        <v>-329286.07776960515</v>
      </c>
      <c r="AE143" s="7">
        <f ca="1">AE140+SUM($C142:AE142)</f>
        <v>-326428.02203355002</v>
      </c>
      <c r="AF143" s="7">
        <f ca="1">AF140+SUM($C142:AF142)</f>
        <v>-323102.89407683065</v>
      </c>
      <c r="AG143" s="7">
        <f ca="1">AG140+SUM($C142:AG142)</f>
        <v>-319287.14846911252</v>
      </c>
      <c r="AH143" s="7">
        <f ca="1">AH140+SUM($C142:AH142)</f>
        <v>-314956.29508555814</v>
      </c>
      <c r="AI143" s="7">
        <f ca="1">AI140+SUM($C142:AI142)</f>
        <v>-310084.86480770243</v>
      </c>
      <c r="AJ143" s="7">
        <f ca="1">AJ140+SUM($C142:AJ142)</f>
        <v>-304646.37404639641</v>
      </c>
      <c r="AK143" s="7">
        <f ca="1">AK140+SUM($C142:AK142)</f>
        <v>-298613.2880477588</v>
      </c>
      <c r="AL143" s="7">
        <f ca="1">AL140+SUM($C142:AL142)</f>
        <v>-291956.98294180719</v>
      </c>
      <c r="AM143" s="7">
        <f ca="1">AM140+SUM($C142:AM142)</f>
        <v>-284647.70649213839</v>
      </c>
    </row>
    <row r="144" spans="1:39" x14ac:dyDescent="0.2">
      <c r="A144" s="3" t="s">
        <v>20</v>
      </c>
      <c r="C144" s="7">
        <f ca="1">IF(C143&lt;0,-C143,0)</f>
        <v>0</v>
      </c>
      <c r="D144" s="7">
        <f ca="1">IF(D143+SUM($C144:C144)&lt;0,-(D143+SUM($C144:C144)),0)</f>
        <v>0</v>
      </c>
      <c r="E144" s="7">
        <f ca="1">IF(E143+SUM($C144:D144)&lt;0,-(E143+SUM($C144:D144)),0)</f>
        <v>0</v>
      </c>
      <c r="F144" s="7">
        <f ca="1">IF(F143+SUM($C144:E144)&lt;0,-(F143+SUM($C144:E144)),0)</f>
        <v>0</v>
      </c>
      <c r="G144" s="7">
        <f ca="1">IF(G143+SUM($C144:F144)&lt;0,-(G143+SUM($C144:F144)),0)</f>
        <v>27001.124066655095</v>
      </c>
      <c r="H144" s="7">
        <f ca="1">IF(H143+SUM($C144:G144)&lt;0,-(H143+SUM($C144:G144)),0)</f>
        <v>57845.113322724086</v>
      </c>
      <c r="I144" s="7">
        <f ca="1">IF(I143+SUM($C144:H144)&lt;0,-(I143+SUM($C144:H144)),0)</f>
        <v>33238.529248167615</v>
      </c>
      <c r="J144" s="7">
        <f ca="1">IF(J143+SUM($C144:I144)&lt;0,-(J143+SUM($C144:I144)),0)</f>
        <v>33799.884674633242</v>
      </c>
      <c r="K144" s="7">
        <f ca="1">IF(K143+SUM($C144:J144)&lt;0,-(K143+SUM($C144:J144)),0)</f>
        <v>51555.295799477492</v>
      </c>
      <c r="L144" s="7">
        <f ca="1">IF(L143+SUM($C144:K144)&lt;0,-(L143+SUM($C144:K144)),0)</f>
        <v>0</v>
      </c>
      <c r="M144" s="7">
        <f ca="1">IF(M143+SUM($C144:L144)&lt;0,-(M143+SUM($C144:L144)),0)</f>
        <v>33085.965579709649</v>
      </c>
      <c r="N144" s="7">
        <f ca="1">IF(N143+SUM($C144:M144)&lt;0,-(N143+SUM($C144:M144)),0)</f>
        <v>15108.738211906981</v>
      </c>
      <c r="O144" s="7">
        <f ca="1">IF(O143+SUM($C144:N144)&lt;0,-(O143+SUM($C144:N144)),0)</f>
        <v>15247.099560391944</v>
      </c>
      <c r="P144" s="7">
        <f ca="1">IF(P143+SUM($C144:O144)&lt;0,-(P143+SUM($C144:O144)),0)</f>
        <v>15381.73922938446</v>
      </c>
      <c r="Q144" s="7">
        <f ca="1">IF(Q143+SUM($C144:P144)&lt;0,-(Q143+SUM($C144:P144)),0)</f>
        <v>15512.348755501444</v>
      </c>
      <c r="R144" s="7">
        <f ca="1">IF(R143+SUM($C144:Q144)&lt;0,-(R143+SUM($C144:Q144)),0)</f>
        <v>15638.605501132901</v>
      </c>
      <c r="S144" s="7">
        <f ca="1">IF(S143+SUM($C144:R144)&lt;0,-(S143+SUM($C144:R144)),0)</f>
        <v>15760.172106207232</v>
      </c>
      <c r="T144" s="7">
        <f ca="1">IF(T143+SUM($C144:S144)&lt;0,-(T143+SUM($C144:S144)),0)</f>
        <v>0</v>
      </c>
      <c r="U144" s="7">
        <f ca="1">IF(U143+SUM($C144:T144)&lt;0,-(U143+SUM($C144:T144)),0)</f>
        <v>0</v>
      </c>
      <c r="V144" s="7">
        <f ca="1">IF(V143+SUM($C144:U144)&lt;0,-(V143+SUM($C144:U144)),0)</f>
        <v>0</v>
      </c>
      <c r="W144" s="7">
        <f ca="1">IF(W143+SUM($C144:V144)&lt;0,-(W143+SUM($C144:V144)),0)</f>
        <v>0</v>
      </c>
      <c r="X144" s="7">
        <f ca="1">IF(X143+SUM($C144:W144)&lt;0,-(X143+SUM($C144:W144)),0)</f>
        <v>0</v>
      </c>
      <c r="Y144" s="7">
        <f ca="1">IF(Y143+SUM($C144:X144)&lt;0,-(Y143+SUM($C144:X144)),0)</f>
        <v>0</v>
      </c>
      <c r="Z144" s="7">
        <f ca="1">IF(Z143+SUM($C144:Y144)&lt;0,-(Z143+SUM($C144:Y144)),0)</f>
        <v>0</v>
      </c>
      <c r="AA144" s="7">
        <f ca="1">IF(AA143+SUM($C144:Z144)&lt;0,-(AA143+SUM($C144:Z144)),0)</f>
        <v>0</v>
      </c>
      <c r="AB144" s="7">
        <f ca="1">IF(AB143+SUM($C144:AA144)&lt;0,-(AB143+SUM($C144:AA144)),0)</f>
        <v>0</v>
      </c>
      <c r="AC144" s="7">
        <f ca="1">IF(AC143+SUM($C144:AB144)&lt;0,-(AC143+SUM($C144:AB144)),0)</f>
        <v>0</v>
      </c>
      <c r="AD144" s="7">
        <f ca="1">IF(AD143+SUM($C144:AC144)&lt;0,-(AD143+SUM($C144:AC144)),0)</f>
        <v>111.4617137130117</v>
      </c>
      <c r="AE144" s="7">
        <f ca="1">IF(AE143+SUM($C144:AD144)&lt;0,-(AE143+SUM($C144:AD144)),0)</f>
        <v>0</v>
      </c>
      <c r="AF144" s="7">
        <f ca="1">IF(AF143+SUM($C144:AE144)&lt;0,-(AF143+SUM($C144:AE144)),0)</f>
        <v>0</v>
      </c>
      <c r="AG144" s="7">
        <f ca="1">IF(AG143+SUM($C144:AF144)&lt;0,-(AG143+SUM($C144:AF144)),0)</f>
        <v>0</v>
      </c>
      <c r="AH144" s="7">
        <f ca="1">IF(AH143+SUM($C144:AG144)&lt;0,-(AH143+SUM($C144:AG144)),0)</f>
        <v>0</v>
      </c>
      <c r="AI144" s="7">
        <f ca="1">IF(AI143+SUM($C144:AH144)&lt;0,-(AI143+SUM($C144:AH144)),0)</f>
        <v>0</v>
      </c>
      <c r="AJ144" s="7">
        <f ca="1">IF(AJ143+SUM($C144:AI144)&lt;0,-(AJ143+SUM($C144:AI144)),0)</f>
        <v>0</v>
      </c>
      <c r="AK144" s="7">
        <f ca="1">IF(AK143+SUM($C144:AJ144)&lt;0,-(AK143+SUM($C144:AJ144)),0)</f>
        <v>0</v>
      </c>
      <c r="AL144" s="7">
        <f ca="1">IF(AL143+SUM($C144:AK144)&lt;0,-(AL143+SUM($C144:AK144)),0)</f>
        <v>0</v>
      </c>
      <c r="AM144" s="7">
        <f ca="1">IF(AM143+SUM($C144:AL144)&lt;0,-(AM143+SUM($C144:AL144)),0)</f>
        <v>0</v>
      </c>
    </row>
    <row r="145" spans="1:39" x14ac:dyDescent="0.2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">
      <c r="A146" s="24" t="str">
        <f>IF(Inputs!$B$279=6,IFERROR(_xlfn.XLOOKUP($B146,Inputs!$B$280:$B$289,Inputs!$A$280:$A$289,,0,1),""),IFERROR(_xlfn.XLOOKUP($B146,Inputs!$C$280:$C$289,Inputs!$A$280:$A$289,,0,1),""))</f>
        <v>Jewelry</v>
      </c>
      <c r="B146" s="26">
        <v>3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">
      <c r="A147" s="3" t="s">
        <v>22</v>
      </c>
      <c r="C147" s="7">
        <f ca="1">IFERROR(VLOOKUP($A146,$A$65:$H$94,C$1+2,FALSE),0)</f>
        <v>50831.955131348885</v>
      </c>
      <c r="D147" s="7">
        <f ca="1">C150</f>
        <v>50831.955131348885</v>
      </c>
      <c r="E147" s="7">
        <f t="shared" ref="E147:AM147" ca="1" si="78">D150</f>
        <v>51848.594233975862</v>
      </c>
      <c r="F147" s="7">
        <f t="shared" ca="1" si="78"/>
        <v>52885.566118655377</v>
      </c>
      <c r="G147" s="7">
        <f t="shared" ca="1" si="78"/>
        <v>0</v>
      </c>
      <c r="H147" s="7">
        <f t="shared" ca="1" si="78"/>
        <v>0</v>
      </c>
      <c r="I147" s="7">
        <f t="shared" ca="1" si="78"/>
        <v>0</v>
      </c>
      <c r="J147" s="7">
        <f t="shared" ca="1" si="78"/>
        <v>0</v>
      </c>
      <c r="K147" s="7">
        <f t="shared" ca="1" si="78"/>
        <v>0</v>
      </c>
      <c r="L147" s="7">
        <f t="shared" ca="1" si="78"/>
        <v>0</v>
      </c>
      <c r="M147" s="7">
        <f t="shared" ca="1" si="78"/>
        <v>0</v>
      </c>
      <c r="N147" s="7">
        <f t="shared" ca="1" si="78"/>
        <v>0</v>
      </c>
      <c r="O147" s="7">
        <f t="shared" ca="1" si="78"/>
        <v>0</v>
      </c>
      <c r="P147" s="7">
        <f t="shared" ca="1" si="78"/>
        <v>0</v>
      </c>
      <c r="Q147" s="7">
        <f t="shared" ca="1" si="78"/>
        <v>0</v>
      </c>
      <c r="R147" s="7">
        <f t="shared" ca="1" si="78"/>
        <v>0</v>
      </c>
      <c r="S147" s="7">
        <f t="shared" ca="1" si="78"/>
        <v>0</v>
      </c>
      <c r="T147" s="7">
        <f t="shared" ca="1" si="78"/>
        <v>0</v>
      </c>
      <c r="U147" s="7">
        <f t="shared" ca="1" si="78"/>
        <v>0</v>
      </c>
      <c r="V147" s="7">
        <f t="shared" ca="1" si="78"/>
        <v>0</v>
      </c>
      <c r="W147" s="7">
        <f t="shared" ca="1" si="78"/>
        <v>0</v>
      </c>
      <c r="X147" s="7">
        <f t="shared" ca="1" si="78"/>
        <v>0</v>
      </c>
      <c r="Y147" s="7">
        <f t="shared" ca="1" si="78"/>
        <v>0</v>
      </c>
      <c r="Z147" s="7">
        <f t="shared" ca="1" si="78"/>
        <v>0</v>
      </c>
      <c r="AA147" s="7">
        <f t="shared" ca="1" si="78"/>
        <v>0</v>
      </c>
      <c r="AB147" s="7">
        <f t="shared" ca="1" si="78"/>
        <v>0</v>
      </c>
      <c r="AC147" s="7">
        <f t="shared" ca="1" si="78"/>
        <v>0</v>
      </c>
      <c r="AD147" s="7">
        <f t="shared" ca="1" si="78"/>
        <v>0</v>
      </c>
      <c r="AE147" s="7">
        <f t="shared" ca="1" si="78"/>
        <v>0</v>
      </c>
      <c r="AF147" s="7">
        <f t="shared" ca="1" si="78"/>
        <v>0</v>
      </c>
      <c r="AG147" s="7">
        <f t="shared" ca="1" si="78"/>
        <v>0</v>
      </c>
      <c r="AH147" s="7">
        <f t="shared" ca="1" si="78"/>
        <v>0</v>
      </c>
      <c r="AI147" s="7">
        <f t="shared" ca="1" si="78"/>
        <v>0</v>
      </c>
      <c r="AJ147" s="7">
        <f t="shared" ca="1" si="78"/>
        <v>0</v>
      </c>
      <c r="AK147" s="7">
        <f t="shared" ca="1" si="78"/>
        <v>0</v>
      </c>
      <c r="AL147" s="7">
        <f t="shared" ca="1" si="78"/>
        <v>0</v>
      </c>
      <c r="AM147" s="7">
        <f t="shared" ca="1" si="78"/>
        <v>0</v>
      </c>
    </row>
    <row r="148" spans="1:39" x14ac:dyDescent="0.2">
      <c r="A148" s="3" t="s">
        <v>23</v>
      </c>
      <c r="C148" s="7">
        <f ca="1">-IF(D144&gt;0,C147,0)</f>
        <v>0</v>
      </c>
      <c r="D148" s="7">
        <f ca="1">-IF(E144&gt;0,D147,0)</f>
        <v>0</v>
      </c>
      <c r="E148" s="7">
        <f ca="1">-IF(F144&gt;0,E147,0)</f>
        <v>0</v>
      </c>
      <c r="F148" s="7">
        <f ca="1">-IF(G144&gt;0,F147,0)</f>
        <v>-52885.566118655377</v>
      </c>
      <c r="G148" s="7">
        <f t="shared" ref="G148:AM148" ca="1" si="79">-IF(H144&gt;0,G147,0)</f>
        <v>0</v>
      </c>
      <c r="H148" s="7">
        <f t="shared" ca="1" si="79"/>
        <v>0</v>
      </c>
      <c r="I148" s="7">
        <f t="shared" ca="1" si="79"/>
        <v>0</v>
      </c>
      <c r="J148" s="7">
        <f t="shared" ca="1" si="79"/>
        <v>0</v>
      </c>
      <c r="K148" s="7">
        <f t="shared" ca="1" si="79"/>
        <v>0</v>
      </c>
      <c r="L148" s="7">
        <f t="shared" ca="1" si="79"/>
        <v>0</v>
      </c>
      <c r="M148" s="7">
        <f t="shared" ca="1" si="79"/>
        <v>0</v>
      </c>
      <c r="N148" s="7">
        <f t="shared" ca="1" si="79"/>
        <v>0</v>
      </c>
      <c r="O148" s="7">
        <f t="shared" ca="1" si="79"/>
        <v>0</v>
      </c>
      <c r="P148" s="7">
        <f t="shared" ca="1" si="79"/>
        <v>0</v>
      </c>
      <c r="Q148" s="7">
        <f t="shared" ca="1" si="79"/>
        <v>0</v>
      </c>
      <c r="R148" s="7">
        <f t="shared" ca="1" si="79"/>
        <v>0</v>
      </c>
      <c r="S148" s="7">
        <f t="shared" ca="1" si="79"/>
        <v>0</v>
      </c>
      <c r="T148" s="7">
        <f t="shared" ca="1" si="79"/>
        <v>0</v>
      </c>
      <c r="U148" s="7">
        <f t="shared" ca="1" si="79"/>
        <v>0</v>
      </c>
      <c r="V148" s="7">
        <f t="shared" ca="1" si="79"/>
        <v>0</v>
      </c>
      <c r="W148" s="7">
        <f t="shared" ca="1" si="79"/>
        <v>0</v>
      </c>
      <c r="X148" s="7">
        <f t="shared" ca="1" si="79"/>
        <v>0</v>
      </c>
      <c r="Y148" s="7">
        <f t="shared" ca="1" si="79"/>
        <v>0</v>
      </c>
      <c r="Z148" s="7">
        <f t="shared" ca="1" si="79"/>
        <v>0</v>
      </c>
      <c r="AA148" s="7">
        <f t="shared" ca="1" si="79"/>
        <v>0</v>
      </c>
      <c r="AB148" s="7">
        <f t="shared" ca="1" si="79"/>
        <v>0</v>
      </c>
      <c r="AC148" s="7">
        <f t="shared" ca="1" si="79"/>
        <v>0</v>
      </c>
      <c r="AD148" s="7">
        <f t="shared" ca="1" si="79"/>
        <v>0</v>
      </c>
      <c r="AE148" s="7">
        <f t="shared" ca="1" si="79"/>
        <v>0</v>
      </c>
      <c r="AF148" s="7">
        <f t="shared" ca="1" si="79"/>
        <v>0</v>
      </c>
      <c r="AG148" s="7">
        <f t="shared" ca="1" si="79"/>
        <v>0</v>
      </c>
      <c r="AH148" s="7">
        <f t="shared" ca="1" si="79"/>
        <v>0</v>
      </c>
      <c r="AI148" s="7">
        <f t="shared" ca="1" si="79"/>
        <v>0</v>
      </c>
      <c r="AJ148" s="7">
        <f t="shared" ca="1" si="79"/>
        <v>0</v>
      </c>
      <c r="AK148" s="7">
        <f t="shared" ca="1" si="79"/>
        <v>0</v>
      </c>
      <c r="AL148" s="7">
        <f t="shared" ca="1" si="79"/>
        <v>0</v>
      </c>
      <c r="AM148" s="7">
        <f t="shared" si="79"/>
        <v>0</v>
      </c>
    </row>
    <row r="149" spans="1:39" x14ac:dyDescent="0.2">
      <c r="A149" s="3" t="s">
        <v>24</v>
      </c>
      <c r="C149" s="7">
        <v>0</v>
      </c>
      <c r="D149" s="7">
        <f t="shared" ref="D149:AM149" ca="1" si="80">SUM(D147:D148)*VLOOKUP($A146,AssVar,2,FALSE)</f>
        <v>1016.6391026269777</v>
      </c>
      <c r="E149" s="7">
        <f t="shared" ca="1" si="80"/>
        <v>1036.9718846795172</v>
      </c>
      <c r="F149" s="7">
        <f t="shared" ca="1" si="80"/>
        <v>0</v>
      </c>
      <c r="G149" s="7">
        <f t="shared" ca="1" si="80"/>
        <v>0</v>
      </c>
      <c r="H149" s="7">
        <f t="shared" ca="1" si="80"/>
        <v>0</v>
      </c>
      <c r="I149" s="7">
        <f t="shared" ca="1" si="80"/>
        <v>0</v>
      </c>
      <c r="J149" s="7">
        <f t="shared" ca="1" si="80"/>
        <v>0</v>
      </c>
      <c r="K149" s="7">
        <f t="shared" ca="1" si="80"/>
        <v>0</v>
      </c>
      <c r="L149" s="7">
        <f t="shared" ca="1" si="80"/>
        <v>0</v>
      </c>
      <c r="M149" s="7">
        <f t="shared" ca="1" si="80"/>
        <v>0</v>
      </c>
      <c r="N149" s="7">
        <f t="shared" ca="1" si="80"/>
        <v>0</v>
      </c>
      <c r="O149" s="7">
        <f t="shared" ca="1" si="80"/>
        <v>0</v>
      </c>
      <c r="P149" s="7">
        <f t="shared" ca="1" si="80"/>
        <v>0</v>
      </c>
      <c r="Q149" s="7">
        <f t="shared" ca="1" si="80"/>
        <v>0</v>
      </c>
      <c r="R149" s="7">
        <f t="shared" ca="1" si="80"/>
        <v>0</v>
      </c>
      <c r="S149" s="7">
        <f t="shared" ca="1" si="80"/>
        <v>0</v>
      </c>
      <c r="T149" s="7">
        <f t="shared" ca="1" si="80"/>
        <v>0</v>
      </c>
      <c r="U149" s="7">
        <f t="shared" ca="1" si="80"/>
        <v>0</v>
      </c>
      <c r="V149" s="7">
        <f t="shared" ca="1" si="80"/>
        <v>0</v>
      </c>
      <c r="W149" s="7">
        <f t="shared" ca="1" si="80"/>
        <v>0</v>
      </c>
      <c r="X149" s="7">
        <f t="shared" ca="1" si="80"/>
        <v>0</v>
      </c>
      <c r="Y149" s="7">
        <f t="shared" ca="1" si="80"/>
        <v>0</v>
      </c>
      <c r="Z149" s="7">
        <f t="shared" ca="1" si="80"/>
        <v>0</v>
      </c>
      <c r="AA149" s="7">
        <f t="shared" ca="1" si="80"/>
        <v>0</v>
      </c>
      <c r="AB149" s="7">
        <f t="shared" ca="1" si="80"/>
        <v>0</v>
      </c>
      <c r="AC149" s="7">
        <f t="shared" ca="1" si="80"/>
        <v>0</v>
      </c>
      <c r="AD149" s="7">
        <f t="shared" ca="1" si="80"/>
        <v>0</v>
      </c>
      <c r="AE149" s="7">
        <f t="shared" ca="1" si="80"/>
        <v>0</v>
      </c>
      <c r="AF149" s="7">
        <f t="shared" ca="1" si="80"/>
        <v>0</v>
      </c>
      <c r="AG149" s="7">
        <f t="shared" ca="1" si="80"/>
        <v>0</v>
      </c>
      <c r="AH149" s="7">
        <f t="shared" ca="1" si="80"/>
        <v>0</v>
      </c>
      <c r="AI149" s="7">
        <f t="shared" ca="1" si="80"/>
        <v>0</v>
      </c>
      <c r="AJ149" s="7">
        <f t="shared" ca="1" si="80"/>
        <v>0</v>
      </c>
      <c r="AK149" s="7">
        <f t="shared" ca="1" si="80"/>
        <v>0</v>
      </c>
      <c r="AL149" s="7">
        <f t="shared" ca="1" si="80"/>
        <v>0</v>
      </c>
      <c r="AM149" s="7">
        <f t="shared" ca="1" si="80"/>
        <v>0</v>
      </c>
    </row>
    <row r="150" spans="1:39" x14ac:dyDescent="0.2">
      <c r="A150" s="3" t="s">
        <v>25</v>
      </c>
      <c r="C150" s="7">
        <f ca="1">SUM(C147:C149)</f>
        <v>50831.955131348885</v>
      </c>
      <c r="D150" s="7">
        <f t="shared" ref="D150:AM150" ca="1" si="81">SUM(D147:D149)</f>
        <v>51848.594233975862</v>
      </c>
      <c r="E150" s="7">
        <f t="shared" ca="1" si="81"/>
        <v>52885.566118655377</v>
      </c>
      <c r="F150" s="7">
        <f t="shared" ca="1" si="81"/>
        <v>0</v>
      </c>
      <c r="G150" s="7">
        <f t="shared" ca="1" si="81"/>
        <v>0</v>
      </c>
      <c r="H150" s="7">
        <f t="shared" ca="1" si="81"/>
        <v>0</v>
      </c>
      <c r="I150" s="7">
        <f t="shared" ca="1" si="81"/>
        <v>0</v>
      </c>
      <c r="J150" s="7">
        <f t="shared" ca="1" si="81"/>
        <v>0</v>
      </c>
      <c r="K150" s="7">
        <f t="shared" ca="1" si="81"/>
        <v>0</v>
      </c>
      <c r="L150" s="7">
        <f t="shared" ca="1" si="81"/>
        <v>0</v>
      </c>
      <c r="M150" s="7">
        <f t="shared" ca="1" si="81"/>
        <v>0</v>
      </c>
      <c r="N150" s="7">
        <f t="shared" ca="1" si="81"/>
        <v>0</v>
      </c>
      <c r="O150" s="7">
        <f t="shared" ca="1" si="81"/>
        <v>0</v>
      </c>
      <c r="P150" s="7">
        <f t="shared" ca="1" si="81"/>
        <v>0</v>
      </c>
      <c r="Q150" s="7">
        <f t="shared" ca="1" si="81"/>
        <v>0</v>
      </c>
      <c r="R150" s="7">
        <f t="shared" ca="1" si="81"/>
        <v>0</v>
      </c>
      <c r="S150" s="7">
        <f t="shared" ca="1" si="81"/>
        <v>0</v>
      </c>
      <c r="T150" s="7">
        <f t="shared" ca="1" si="81"/>
        <v>0</v>
      </c>
      <c r="U150" s="7">
        <f t="shared" ca="1" si="81"/>
        <v>0</v>
      </c>
      <c r="V150" s="7">
        <f t="shared" ca="1" si="81"/>
        <v>0</v>
      </c>
      <c r="W150" s="7">
        <f t="shared" ca="1" si="81"/>
        <v>0</v>
      </c>
      <c r="X150" s="7">
        <f t="shared" ca="1" si="81"/>
        <v>0</v>
      </c>
      <c r="Y150" s="7">
        <f t="shared" ca="1" si="81"/>
        <v>0</v>
      </c>
      <c r="Z150" s="7">
        <f t="shared" ca="1" si="81"/>
        <v>0</v>
      </c>
      <c r="AA150" s="7">
        <f t="shared" ca="1" si="81"/>
        <v>0</v>
      </c>
      <c r="AB150" s="7">
        <f t="shared" ca="1" si="81"/>
        <v>0</v>
      </c>
      <c r="AC150" s="7">
        <f t="shared" ca="1" si="81"/>
        <v>0</v>
      </c>
      <c r="AD150" s="7">
        <f t="shared" ca="1" si="81"/>
        <v>0</v>
      </c>
      <c r="AE150" s="7">
        <f t="shared" ca="1" si="81"/>
        <v>0</v>
      </c>
      <c r="AF150" s="7">
        <f t="shared" ca="1" si="81"/>
        <v>0</v>
      </c>
      <c r="AG150" s="7">
        <f t="shared" ca="1" si="81"/>
        <v>0</v>
      </c>
      <c r="AH150" s="7">
        <f t="shared" ca="1" si="81"/>
        <v>0</v>
      </c>
      <c r="AI150" s="7">
        <f t="shared" ca="1" si="81"/>
        <v>0</v>
      </c>
      <c r="AJ150" s="7">
        <f t="shared" ca="1" si="81"/>
        <v>0</v>
      </c>
      <c r="AK150" s="7">
        <f t="shared" ca="1" si="81"/>
        <v>0</v>
      </c>
      <c r="AL150" s="7">
        <f t="shared" ca="1" si="81"/>
        <v>0</v>
      </c>
      <c r="AM150" s="7">
        <f t="shared" ca="1" si="81"/>
        <v>0</v>
      </c>
    </row>
    <row r="151" spans="1:39" x14ac:dyDescent="0.2">
      <c r="A151" s="3" t="s">
        <v>26</v>
      </c>
      <c r="C151" s="7">
        <f t="shared" ref="C151:AM151" ca="1" si="82">C148*VLOOKUP($A146,AssVar,3,FALSE)</f>
        <v>0</v>
      </c>
      <c r="D151" s="7">
        <f t="shared" ca="1" si="82"/>
        <v>0</v>
      </c>
      <c r="E151" s="7">
        <f t="shared" ca="1" si="82"/>
        <v>0</v>
      </c>
      <c r="F151" s="7">
        <f t="shared" ca="1" si="82"/>
        <v>-1057.7113223731076</v>
      </c>
      <c r="G151" s="7">
        <f t="shared" ca="1" si="82"/>
        <v>0</v>
      </c>
      <c r="H151" s="7">
        <f t="shared" ca="1" si="82"/>
        <v>0</v>
      </c>
      <c r="I151" s="7">
        <f t="shared" ca="1" si="82"/>
        <v>0</v>
      </c>
      <c r="J151" s="7">
        <f t="shared" ca="1" si="82"/>
        <v>0</v>
      </c>
      <c r="K151" s="7">
        <f t="shared" ca="1" si="82"/>
        <v>0</v>
      </c>
      <c r="L151" s="7">
        <f t="shared" ca="1" si="82"/>
        <v>0</v>
      </c>
      <c r="M151" s="7">
        <f t="shared" ca="1" si="82"/>
        <v>0</v>
      </c>
      <c r="N151" s="7">
        <f t="shared" ca="1" si="82"/>
        <v>0</v>
      </c>
      <c r="O151" s="7">
        <f t="shared" ca="1" si="82"/>
        <v>0</v>
      </c>
      <c r="P151" s="7">
        <f t="shared" ca="1" si="82"/>
        <v>0</v>
      </c>
      <c r="Q151" s="7">
        <f t="shared" ca="1" si="82"/>
        <v>0</v>
      </c>
      <c r="R151" s="7">
        <f t="shared" ca="1" si="82"/>
        <v>0</v>
      </c>
      <c r="S151" s="7">
        <f t="shared" ca="1" si="82"/>
        <v>0</v>
      </c>
      <c r="T151" s="7">
        <f t="shared" ca="1" si="82"/>
        <v>0</v>
      </c>
      <c r="U151" s="7">
        <f t="shared" ca="1" si="82"/>
        <v>0</v>
      </c>
      <c r="V151" s="7">
        <f t="shared" ca="1" si="82"/>
        <v>0</v>
      </c>
      <c r="W151" s="7">
        <f t="shared" ca="1" si="82"/>
        <v>0</v>
      </c>
      <c r="X151" s="7">
        <f t="shared" ca="1" si="82"/>
        <v>0</v>
      </c>
      <c r="Y151" s="7">
        <f t="shared" ca="1" si="82"/>
        <v>0</v>
      </c>
      <c r="Z151" s="7">
        <f t="shared" ca="1" si="82"/>
        <v>0</v>
      </c>
      <c r="AA151" s="7">
        <f t="shared" ca="1" si="82"/>
        <v>0</v>
      </c>
      <c r="AB151" s="7">
        <f t="shared" ca="1" si="82"/>
        <v>0</v>
      </c>
      <c r="AC151" s="7">
        <f t="shared" ca="1" si="82"/>
        <v>0</v>
      </c>
      <c r="AD151" s="7">
        <f t="shared" ca="1" si="82"/>
        <v>0</v>
      </c>
      <c r="AE151" s="7">
        <f t="shared" ca="1" si="82"/>
        <v>0</v>
      </c>
      <c r="AF151" s="7">
        <f t="shared" ca="1" si="82"/>
        <v>0</v>
      </c>
      <c r="AG151" s="7">
        <f t="shared" ca="1" si="82"/>
        <v>0</v>
      </c>
      <c r="AH151" s="7">
        <f t="shared" ca="1" si="82"/>
        <v>0</v>
      </c>
      <c r="AI151" s="7">
        <f t="shared" ca="1" si="82"/>
        <v>0</v>
      </c>
      <c r="AJ151" s="7">
        <f t="shared" ca="1" si="82"/>
        <v>0</v>
      </c>
      <c r="AK151" s="7">
        <f t="shared" ca="1" si="82"/>
        <v>0</v>
      </c>
      <c r="AL151" s="7">
        <f t="shared" ca="1" si="82"/>
        <v>0</v>
      </c>
      <c r="AM151" s="7">
        <f t="shared" si="82"/>
        <v>0</v>
      </c>
    </row>
    <row r="152" spans="1:39" x14ac:dyDescent="0.2">
      <c r="A152" s="3" t="s">
        <v>31</v>
      </c>
      <c r="C152" s="7">
        <f t="shared" ref="C152:AM152" ca="1" si="83">IFERROR(-IF(C147=0,VLOOKUP($A146,$8:$12,C$1+2,FALSE),0),0)</f>
        <v>0</v>
      </c>
      <c r="D152" s="7">
        <f t="shared" ca="1" si="83"/>
        <v>0</v>
      </c>
      <c r="E152" s="7">
        <f t="shared" ca="1" si="83"/>
        <v>0</v>
      </c>
      <c r="F152" s="7">
        <f t="shared" ca="1" si="83"/>
        <v>0</v>
      </c>
      <c r="G152" s="7">
        <f t="shared" ca="1" si="83"/>
        <v>0</v>
      </c>
      <c r="H152" s="7">
        <f t="shared" ca="1" si="83"/>
        <v>0</v>
      </c>
      <c r="I152" s="7">
        <f t="shared" ca="1" si="83"/>
        <v>0</v>
      </c>
      <c r="J152" s="7">
        <f t="shared" ca="1" si="83"/>
        <v>0</v>
      </c>
      <c r="K152" s="7">
        <f t="shared" ca="1" si="83"/>
        <v>0</v>
      </c>
      <c r="L152" s="7">
        <f t="shared" ca="1" si="83"/>
        <v>0</v>
      </c>
      <c r="M152" s="7">
        <f t="shared" ca="1" si="83"/>
        <v>0</v>
      </c>
      <c r="N152" s="7">
        <f t="shared" ca="1" si="83"/>
        <v>0</v>
      </c>
      <c r="O152" s="7">
        <f t="shared" ca="1" si="83"/>
        <v>0</v>
      </c>
      <c r="P152" s="7">
        <f t="shared" ca="1" si="83"/>
        <v>0</v>
      </c>
      <c r="Q152" s="7">
        <f t="shared" ca="1" si="83"/>
        <v>0</v>
      </c>
      <c r="R152" s="7">
        <f t="shared" ca="1" si="83"/>
        <v>0</v>
      </c>
      <c r="S152" s="7">
        <f t="shared" ca="1" si="83"/>
        <v>0</v>
      </c>
      <c r="T152" s="7">
        <f t="shared" ca="1" si="83"/>
        <v>0</v>
      </c>
      <c r="U152" s="7">
        <f t="shared" ca="1" si="83"/>
        <v>0</v>
      </c>
      <c r="V152" s="7">
        <f t="shared" ca="1" si="83"/>
        <v>0</v>
      </c>
      <c r="W152" s="7">
        <f t="shared" ca="1" si="83"/>
        <v>0</v>
      </c>
      <c r="X152" s="7">
        <f t="shared" ca="1" si="83"/>
        <v>0</v>
      </c>
      <c r="Y152" s="7">
        <f t="shared" ca="1" si="83"/>
        <v>0</v>
      </c>
      <c r="Z152" s="7">
        <f t="shared" ca="1" si="83"/>
        <v>0</v>
      </c>
      <c r="AA152" s="7">
        <f t="shared" ca="1" si="83"/>
        <v>0</v>
      </c>
      <c r="AB152" s="7">
        <f t="shared" ca="1" si="83"/>
        <v>0</v>
      </c>
      <c r="AC152" s="7">
        <f t="shared" ca="1" si="83"/>
        <v>0</v>
      </c>
      <c r="AD152" s="7">
        <f t="shared" ca="1" si="83"/>
        <v>0</v>
      </c>
      <c r="AE152" s="7">
        <f t="shared" ca="1" si="83"/>
        <v>0</v>
      </c>
      <c r="AF152" s="7">
        <f t="shared" ca="1" si="83"/>
        <v>0</v>
      </c>
      <c r="AG152" s="7">
        <f t="shared" ca="1" si="83"/>
        <v>0</v>
      </c>
      <c r="AH152" s="7">
        <f t="shared" ca="1" si="83"/>
        <v>0</v>
      </c>
      <c r="AI152" s="7">
        <f t="shared" ca="1" si="83"/>
        <v>0</v>
      </c>
      <c r="AJ152" s="7">
        <f t="shared" ca="1" si="83"/>
        <v>0</v>
      </c>
      <c r="AK152" s="7">
        <f t="shared" ca="1" si="83"/>
        <v>0</v>
      </c>
      <c r="AL152" s="7">
        <f t="shared" ca="1" si="83"/>
        <v>0</v>
      </c>
      <c r="AM152" s="7">
        <f t="shared" ca="1" si="83"/>
        <v>0</v>
      </c>
    </row>
    <row r="153" spans="1:39" x14ac:dyDescent="0.2">
      <c r="A153" s="3" t="s">
        <v>50</v>
      </c>
      <c r="C153" s="7">
        <f t="shared" ref="C153:AM153" ca="1" si="84">IFERROR(IF(C147=0,VLOOKUP($A146,$45:$49,C$1+2,FALSE),0),0)</f>
        <v>0</v>
      </c>
      <c r="D153" s="7">
        <f t="shared" ca="1" si="84"/>
        <v>0</v>
      </c>
      <c r="E153" s="7">
        <f t="shared" ca="1" si="84"/>
        <v>0</v>
      </c>
      <c r="F153" s="7">
        <f t="shared" ca="1" si="84"/>
        <v>0</v>
      </c>
      <c r="G153" s="7">
        <f t="shared" ca="1" si="84"/>
        <v>0</v>
      </c>
      <c r="H153" s="7">
        <f t="shared" ca="1" si="84"/>
        <v>0</v>
      </c>
      <c r="I153" s="7">
        <f t="shared" ca="1" si="84"/>
        <v>0</v>
      </c>
      <c r="J153" s="7">
        <f t="shared" ca="1" si="84"/>
        <v>0</v>
      </c>
      <c r="K153" s="7">
        <f t="shared" ca="1" si="84"/>
        <v>0</v>
      </c>
      <c r="L153" s="7">
        <f t="shared" ca="1" si="84"/>
        <v>0</v>
      </c>
      <c r="M153" s="7">
        <f t="shared" ca="1" si="84"/>
        <v>0</v>
      </c>
      <c r="N153" s="7">
        <f t="shared" ca="1" si="84"/>
        <v>0</v>
      </c>
      <c r="O153" s="7">
        <f t="shared" ca="1" si="84"/>
        <v>0</v>
      </c>
      <c r="P153" s="7">
        <f t="shared" ca="1" si="84"/>
        <v>0</v>
      </c>
      <c r="Q153" s="7">
        <f t="shared" ca="1" si="84"/>
        <v>0</v>
      </c>
      <c r="R153" s="7">
        <f t="shared" ca="1" si="84"/>
        <v>0</v>
      </c>
      <c r="S153" s="7">
        <f t="shared" ca="1" si="84"/>
        <v>0</v>
      </c>
      <c r="T153" s="7">
        <f t="shared" ca="1" si="84"/>
        <v>0</v>
      </c>
      <c r="U153" s="7">
        <f t="shared" ca="1" si="84"/>
        <v>0</v>
      </c>
      <c r="V153" s="7">
        <f t="shared" ca="1" si="84"/>
        <v>0</v>
      </c>
      <c r="W153" s="7">
        <f t="shared" ca="1" si="84"/>
        <v>0</v>
      </c>
      <c r="X153" s="7">
        <f t="shared" ca="1" si="84"/>
        <v>0</v>
      </c>
      <c r="Y153" s="7">
        <f t="shared" ca="1" si="84"/>
        <v>0</v>
      </c>
      <c r="Z153" s="7">
        <f t="shared" ca="1" si="84"/>
        <v>0</v>
      </c>
      <c r="AA153" s="7">
        <f t="shared" ca="1" si="84"/>
        <v>0</v>
      </c>
      <c r="AB153" s="7">
        <f t="shared" ca="1" si="84"/>
        <v>0</v>
      </c>
      <c r="AC153" s="7">
        <f t="shared" ca="1" si="84"/>
        <v>0</v>
      </c>
      <c r="AD153" s="7">
        <f t="shared" ca="1" si="84"/>
        <v>0</v>
      </c>
      <c r="AE153" s="7">
        <f t="shared" ca="1" si="84"/>
        <v>0</v>
      </c>
      <c r="AF153" s="7">
        <f t="shared" ca="1" si="84"/>
        <v>0</v>
      </c>
      <c r="AG153" s="7">
        <f t="shared" ca="1" si="84"/>
        <v>0</v>
      </c>
      <c r="AH153" s="7">
        <f t="shared" ca="1" si="84"/>
        <v>0</v>
      </c>
      <c r="AI153" s="7">
        <f t="shared" ca="1" si="84"/>
        <v>0</v>
      </c>
      <c r="AJ153" s="7">
        <f t="shared" ca="1" si="84"/>
        <v>0</v>
      </c>
      <c r="AK153" s="7">
        <f t="shared" ca="1" si="84"/>
        <v>0</v>
      </c>
      <c r="AL153" s="7">
        <f t="shared" ca="1" si="84"/>
        <v>0</v>
      </c>
      <c r="AM153" s="7">
        <f t="shared" ca="1" si="84"/>
        <v>0</v>
      </c>
    </row>
    <row r="154" spans="1:39" x14ac:dyDescent="0.2">
      <c r="A154" s="3" t="s">
        <v>36</v>
      </c>
      <c r="B154" s="14" t="str">
        <f>A146</f>
        <v>Jewelry</v>
      </c>
      <c r="C154" s="7">
        <f t="shared" ref="C154:AM154" ca="1" si="85">IF(AND(C147&gt;0,C150=0),VLOOKUP($A146,$83:$92,C$1+2,FALSE),0)</f>
        <v>0</v>
      </c>
      <c r="D154" s="7">
        <f t="shared" ca="1" si="85"/>
        <v>0</v>
      </c>
      <c r="E154" s="7">
        <f t="shared" ca="1" si="85"/>
        <v>0</v>
      </c>
      <c r="F154" s="7">
        <f t="shared" ca="1" si="85"/>
        <v>0</v>
      </c>
      <c r="G154" s="7">
        <f t="shared" ca="1" si="85"/>
        <v>0</v>
      </c>
      <c r="H154" s="7">
        <f t="shared" ca="1" si="85"/>
        <v>0</v>
      </c>
      <c r="I154" s="7">
        <f t="shared" ca="1" si="85"/>
        <v>0</v>
      </c>
      <c r="J154" s="7">
        <f t="shared" ca="1" si="85"/>
        <v>0</v>
      </c>
      <c r="K154" s="7">
        <f t="shared" ca="1" si="85"/>
        <v>0</v>
      </c>
      <c r="L154" s="7">
        <f t="shared" ca="1" si="85"/>
        <v>0</v>
      </c>
      <c r="M154" s="7">
        <f t="shared" ca="1" si="85"/>
        <v>0</v>
      </c>
      <c r="N154" s="7">
        <f t="shared" ca="1" si="85"/>
        <v>0</v>
      </c>
      <c r="O154" s="7">
        <f t="shared" ca="1" si="85"/>
        <v>0</v>
      </c>
      <c r="P154" s="7">
        <f t="shared" ca="1" si="85"/>
        <v>0</v>
      </c>
      <c r="Q154" s="7">
        <f t="shared" ca="1" si="85"/>
        <v>0</v>
      </c>
      <c r="R154" s="7">
        <f t="shared" ca="1" si="85"/>
        <v>0</v>
      </c>
      <c r="S154" s="7">
        <f t="shared" ca="1" si="85"/>
        <v>0</v>
      </c>
      <c r="T154" s="7">
        <f t="shared" ca="1" si="85"/>
        <v>0</v>
      </c>
      <c r="U154" s="7">
        <f t="shared" ca="1" si="85"/>
        <v>0</v>
      </c>
      <c r="V154" s="7">
        <f t="shared" ca="1" si="85"/>
        <v>0</v>
      </c>
      <c r="W154" s="7">
        <f t="shared" ca="1" si="85"/>
        <v>0</v>
      </c>
      <c r="X154" s="7">
        <f t="shared" ca="1" si="85"/>
        <v>0</v>
      </c>
      <c r="Y154" s="7">
        <f t="shared" ca="1" si="85"/>
        <v>0</v>
      </c>
      <c r="Z154" s="7">
        <f t="shared" ca="1" si="85"/>
        <v>0</v>
      </c>
      <c r="AA154" s="7">
        <f t="shared" ca="1" si="85"/>
        <v>0</v>
      </c>
      <c r="AB154" s="7">
        <f t="shared" ca="1" si="85"/>
        <v>0</v>
      </c>
      <c r="AC154" s="7">
        <f t="shared" ca="1" si="85"/>
        <v>0</v>
      </c>
      <c r="AD154" s="7">
        <f t="shared" ca="1" si="85"/>
        <v>0</v>
      </c>
      <c r="AE154" s="7">
        <f t="shared" ca="1" si="85"/>
        <v>0</v>
      </c>
      <c r="AF154" s="7">
        <f t="shared" ca="1" si="85"/>
        <v>0</v>
      </c>
      <c r="AG154" s="7">
        <f t="shared" ca="1" si="85"/>
        <v>0</v>
      </c>
      <c r="AH154" s="7">
        <f t="shared" ca="1" si="85"/>
        <v>0</v>
      </c>
      <c r="AI154" s="7">
        <f t="shared" ca="1" si="85"/>
        <v>0</v>
      </c>
      <c r="AJ154" s="7">
        <f t="shared" ca="1" si="85"/>
        <v>0</v>
      </c>
      <c r="AK154" s="7">
        <f t="shared" ca="1" si="85"/>
        <v>0</v>
      </c>
      <c r="AL154" s="7">
        <f t="shared" ca="1" si="85"/>
        <v>0</v>
      </c>
      <c r="AM154" s="7">
        <f t="shared" ca="1" si="85"/>
        <v>0</v>
      </c>
    </row>
    <row r="155" spans="1:39" x14ac:dyDescent="0.2">
      <c r="A155" s="3" t="s">
        <v>37</v>
      </c>
      <c r="C155" s="7">
        <f ca="1">-C148+SUM(C151:C154)</f>
        <v>0</v>
      </c>
      <c r="D155" s="7">
        <f t="shared" ref="D155" ca="1" si="86">-D148+SUM(D151:D154)</f>
        <v>0</v>
      </c>
      <c r="E155" s="7">
        <f t="shared" ref="E155:AM155" ca="1" si="87">-E148+SUM(E151:E154)</f>
        <v>0</v>
      </c>
      <c r="F155" s="7">
        <f t="shared" ca="1" si="87"/>
        <v>51827.85479628227</v>
      </c>
      <c r="G155" s="7">
        <f t="shared" ca="1" si="87"/>
        <v>0</v>
      </c>
      <c r="H155" s="7">
        <f t="shared" ca="1" si="87"/>
        <v>0</v>
      </c>
      <c r="I155" s="7">
        <f t="shared" ca="1" si="87"/>
        <v>0</v>
      </c>
      <c r="J155" s="7">
        <f t="shared" ca="1" si="87"/>
        <v>0</v>
      </c>
      <c r="K155" s="7">
        <f t="shared" ca="1" si="87"/>
        <v>0</v>
      </c>
      <c r="L155" s="7">
        <f t="shared" ca="1" si="87"/>
        <v>0</v>
      </c>
      <c r="M155" s="7">
        <f t="shared" ca="1" si="87"/>
        <v>0</v>
      </c>
      <c r="N155" s="7">
        <f t="shared" ca="1" si="87"/>
        <v>0</v>
      </c>
      <c r="O155" s="7">
        <f t="shared" ca="1" si="87"/>
        <v>0</v>
      </c>
      <c r="P155" s="7">
        <f t="shared" ca="1" si="87"/>
        <v>0</v>
      </c>
      <c r="Q155" s="7">
        <f t="shared" ca="1" si="87"/>
        <v>0</v>
      </c>
      <c r="R155" s="7">
        <f t="shared" ca="1" si="87"/>
        <v>0</v>
      </c>
      <c r="S155" s="7">
        <f t="shared" ca="1" si="87"/>
        <v>0</v>
      </c>
      <c r="T155" s="7">
        <f t="shared" ca="1" si="87"/>
        <v>0</v>
      </c>
      <c r="U155" s="7">
        <f t="shared" ca="1" si="87"/>
        <v>0</v>
      </c>
      <c r="V155" s="7">
        <f t="shared" ca="1" si="87"/>
        <v>0</v>
      </c>
      <c r="W155" s="7">
        <f t="shared" ca="1" si="87"/>
        <v>0</v>
      </c>
      <c r="X155" s="7">
        <f t="shared" ca="1" si="87"/>
        <v>0</v>
      </c>
      <c r="Y155" s="7">
        <f t="shared" ca="1" si="87"/>
        <v>0</v>
      </c>
      <c r="Z155" s="7">
        <f t="shared" ca="1" si="87"/>
        <v>0</v>
      </c>
      <c r="AA155" s="7">
        <f t="shared" ca="1" si="87"/>
        <v>0</v>
      </c>
      <c r="AB155" s="7">
        <f t="shared" ca="1" si="87"/>
        <v>0</v>
      </c>
      <c r="AC155" s="7">
        <f t="shared" ca="1" si="87"/>
        <v>0</v>
      </c>
      <c r="AD155" s="7">
        <f t="shared" ca="1" si="87"/>
        <v>0</v>
      </c>
      <c r="AE155" s="7">
        <f t="shared" ca="1" si="87"/>
        <v>0</v>
      </c>
      <c r="AF155" s="7">
        <f t="shared" ca="1" si="87"/>
        <v>0</v>
      </c>
      <c r="AG155" s="7">
        <f t="shared" ca="1" si="87"/>
        <v>0</v>
      </c>
      <c r="AH155" s="7">
        <f t="shared" ca="1" si="87"/>
        <v>0</v>
      </c>
      <c r="AI155" s="7">
        <f t="shared" ca="1" si="87"/>
        <v>0</v>
      </c>
      <c r="AJ155" s="7">
        <f t="shared" ca="1" si="87"/>
        <v>0</v>
      </c>
      <c r="AK155" s="7">
        <f t="shared" ca="1" si="87"/>
        <v>0</v>
      </c>
      <c r="AL155" s="7">
        <f t="shared" ca="1" si="87"/>
        <v>0</v>
      </c>
      <c r="AM155" s="7">
        <f t="shared" ca="1" si="87"/>
        <v>0</v>
      </c>
    </row>
    <row r="156" spans="1:39" x14ac:dyDescent="0.2">
      <c r="A156" s="3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">
      <c r="A157" s="3" t="s">
        <v>71</v>
      </c>
      <c r="C157" s="7">
        <f ca="1">C143+SUM($C155:C155)</f>
        <v>12809.375000000015</v>
      </c>
      <c r="D157" s="7">
        <f ca="1">D143+SUM($C155:D155)</f>
        <v>24162.215625000026</v>
      </c>
      <c r="E157" s="7">
        <f ca="1">E143+SUM($C155:E155)</f>
        <v>58836.638502582922</v>
      </c>
      <c r="F157" s="7">
        <f ca="1">F143+SUM($C155:F155)</f>
        <v>85263.026003616687</v>
      </c>
      <c r="G157" s="7">
        <f ca="1">G143+SUM($C155:G155)</f>
        <v>24826.730729627176</v>
      </c>
      <c r="H157" s="7">
        <f ca="1">H143+SUM($C155:H155)</f>
        <v>-33018.382593096911</v>
      </c>
      <c r="I157" s="7">
        <f ca="1">I143+SUM($C155:I155)</f>
        <v>-66256.911841264518</v>
      </c>
      <c r="J157" s="7">
        <f ca="1">J143+SUM($C155:J155)</f>
        <v>-100056.79651589776</v>
      </c>
      <c r="K157" s="7">
        <f ca="1">K143+SUM($C155:K155)</f>
        <v>-151612.09231537525</v>
      </c>
      <c r="L157" s="7">
        <f ca="1">L143+SUM($C155:L155)</f>
        <v>-121087.89521318238</v>
      </c>
      <c r="M157" s="7">
        <f ca="1">M143+SUM($C155:M155)</f>
        <v>-184698.0578950849</v>
      </c>
      <c r="N157" s="7">
        <f ca="1">N143+SUM($C155:N155)</f>
        <v>-199806.79610699188</v>
      </c>
      <c r="O157" s="7">
        <f ca="1">O143+SUM($C155:O155)</f>
        <v>-215053.89566738383</v>
      </c>
      <c r="P157" s="7">
        <f ca="1">P143+SUM($C155:P155)</f>
        <v>-230435.63489676829</v>
      </c>
      <c r="Q157" s="7">
        <f ca="1">Q143+SUM($C155:Q155)</f>
        <v>-245947.98365226973</v>
      </c>
      <c r="R157" s="7">
        <f ca="1">R143+SUM($C155:R155)</f>
        <v>-261586.58915340263</v>
      </c>
      <c r="S157" s="7">
        <f ca="1">S143+SUM($C155:S155)</f>
        <v>-277346.76125960989</v>
      </c>
      <c r="T157" s="7">
        <f ca="1">T143+SUM($C155:T155)</f>
        <v>-275268.36169815535</v>
      </c>
      <c r="U157" s="7">
        <f ca="1">U143+SUM($C155:U155)</f>
        <v>-265053.90365605167</v>
      </c>
      <c r="V157" s="7">
        <f ca="1">V143+SUM($C155:V155)</f>
        <v>-254289.7051127225</v>
      </c>
      <c r="W157" s="7">
        <f ca="1">W143+SUM($C155:W155)</f>
        <v>-242953.19118413227</v>
      </c>
      <c r="X157" s="7">
        <f ca="1">X143+SUM($C155:X155)</f>
        <v>-231020.95767299904</v>
      </c>
      <c r="Y157" s="7">
        <f ca="1">Y143+SUM($C155:Y155)</f>
        <v>-239127.59915869046</v>
      </c>
      <c r="Z157" s="7">
        <f ca="1">Z143+SUM($C155:Z155)</f>
        <v>-247105.58046707537</v>
      </c>
      <c r="AA157" s="7">
        <f ca="1">AA143+SUM($C155:AA155)</f>
        <v>-254941.74530728758</v>
      </c>
      <c r="AB157" s="7">
        <f ca="1">AB143+SUM($C155:AB155)</f>
        <v>-262622.31028759637</v>
      </c>
      <c r="AC157" s="7">
        <f ca="1">AC143+SUM($C155:AC155)</f>
        <v>-270132.84029207664</v>
      </c>
      <c r="AD157" s="7">
        <f ca="1">AD143+SUM($C155:AD155)</f>
        <v>-277458.2229733229</v>
      </c>
      <c r="AE157" s="7">
        <f ca="1">AE143+SUM($C155:AE155)</f>
        <v>-274600.16723726777</v>
      </c>
      <c r="AF157" s="7">
        <f ca="1">AF143+SUM($C155:AF155)</f>
        <v>-271275.0392805484</v>
      </c>
      <c r="AG157" s="7">
        <f ca="1">AG143+SUM($C155:AG155)</f>
        <v>-267459.29367283027</v>
      </c>
      <c r="AH157" s="7">
        <f ca="1">AH143+SUM($C155:AH155)</f>
        <v>-263128.4402892759</v>
      </c>
      <c r="AI157" s="7">
        <f ca="1">AI143+SUM($C155:AI155)</f>
        <v>-258257.01001142015</v>
      </c>
      <c r="AJ157" s="7">
        <f ca="1">AJ143+SUM($C155:AJ155)</f>
        <v>-252818.51925011413</v>
      </c>
      <c r="AK157" s="7">
        <f ca="1">AK143+SUM($C155:AK155)</f>
        <v>-246785.43325147653</v>
      </c>
      <c r="AL157" s="7">
        <f ca="1">AL143+SUM($C155:AL155)</f>
        <v>-240129.12814552491</v>
      </c>
      <c r="AM157" s="7">
        <f ca="1">AM143+SUM($C155:AM155)</f>
        <v>-232819.85169585611</v>
      </c>
    </row>
    <row r="158" spans="1:39" x14ac:dyDescent="0.2">
      <c r="A158" s="3" t="s">
        <v>68</v>
      </c>
      <c r="C158" s="7">
        <f t="shared" ref="C158:AM158" ca="1" si="88">MAX(C157+buffer,0)-MAX(C143+buffer,0)</f>
        <v>0</v>
      </c>
      <c r="D158" s="7">
        <f t="shared" ca="1" si="88"/>
        <v>0</v>
      </c>
      <c r="E158" s="7">
        <f t="shared" ca="1" si="88"/>
        <v>0</v>
      </c>
      <c r="F158" s="7">
        <f t="shared" ca="1" si="88"/>
        <v>51827.854796282278</v>
      </c>
      <c r="G158" s="7">
        <f t="shared" ca="1" si="88"/>
        <v>51827.85479628227</v>
      </c>
      <c r="H158" s="7">
        <f t="shared" ca="1" si="88"/>
        <v>16981.617406903089</v>
      </c>
      <c r="I158" s="7">
        <f t="shared" ca="1" si="88"/>
        <v>0</v>
      </c>
      <c r="J158" s="7">
        <f t="shared" ca="1" si="88"/>
        <v>0</v>
      </c>
      <c r="K158" s="7">
        <f t="shared" ca="1" si="88"/>
        <v>0</v>
      </c>
      <c r="L158" s="7">
        <f t="shared" ca="1" si="88"/>
        <v>0</v>
      </c>
      <c r="M158" s="7">
        <f t="shared" ca="1" si="88"/>
        <v>0</v>
      </c>
      <c r="N158" s="7">
        <f t="shared" ca="1" si="88"/>
        <v>0</v>
      </c>
      <c r="O158" s="7">
        <f t="shared" ca="1" si="88"/>
        <v>0</v>
      </c>
      <c r="P158" s="7">
        <f t="shared" ca="1" si="88"/>
        <v>0</v>
      </c>
      <c r="Q158" s="7">
        <f t="shared" ca="1" si="88"/>
        <v>0</v>
      </c>
      <c r="R158" s="7">
        <f t="shared" ca="1" si="88"/>
        <v>0</v>
      </c>
      <c r="S158" s="7">
        <f t="shared" ca="1" si="88"/>
        <v>0</v>
      </c>
      <c r="T158" s="7">
        <f t="shared" ca="1" si="88"/>
        <v>0</v>
      </c>
      <c r="U158" s="7">
        <f t="shared" ca="1" si="88"/>
        <v>0</v>
      </c>
      <c r="V158" s="7">
        <f t="shared" ca="1" si="88"/>
        <v>0</v>
      </c>
      <c r="W158" s="7">
        <f t="shared" ca="1" si="88"/>
        <v>0</v>
      </c>
      <c r="X158" s="7">
        <f t="shared" ca="1" si="88"/>
        <v>0</v>
      </c>
      <c r="Y158" s="7">
        <f t="shared" ca="1" si="88"/>
        <v>0</v>
      </c>
      <c r="Z158" s="7">
        <f t="shared" ca="1" si="88"/>
        <v>0</v>
      </c>
      <c r="AA158" s="7">
        <f t="shared" ca="1" si="88"/>
        <v>0</v>
      </c>
      <c r="AB158" s="7">
        <f t="shared" ca="1" si="88"/>
        <v>0</v>
      </c>
      <c r="AC158" s="7">
        <f t="shared" ca="1" si="88"/>
        <v>0</v>
      </c>
      <c r="AD158" s="7">
        <f t="shared" ca="1" si="88"/>
        <v>0</v>
      </c>
      <c r="AE158" s="7">
        <f t="shared" ca="1" si="88"/>
        <v>0</v>
      </c>
      <c r="AF158" s="7">
        <f t="shared" ca="1" si="88"/>
        <v>0</v>
      </c>
      <c r="AG158" s="7">
        <f t="shared" ca="1" si="88"/>
        <v>0</v>
      </c>
      <c r="AH158" s="7">
        <f t="shared" ca="1" si="88"/>
        <v>0</v>
      </c>
      <c r="AI158" s="7">
        <f t="shared" ca="1" si="88"/>
        <v>0</v>
      </c>
      <c r="AJ158" s="7">
        <f t="shared" ca="1" si="88"/>
        <v>0</v>
      </c>
      <c r="AK158" s="7">
        <f t="shared" ca="1" si="88"/>
        <v>0</v>
      </c>
      <c r="AL158" s="7">
        <f t="shared" ca="1" si="88"/>
        <v>0</v>
      </c>
      <c r="AM158" s="7">
        <f t="shared" ca="1" si="88"/>
        <v>0</v>
      </c>
    </row>
    <row r="159" spans="1:39" x14ac:dyDescent="0.2">
      <c r="A159" s="3" t="s">
        <v>69</v>
      </c>
      <c r="C159" s="7">
        <f ca="1">C158*Inputs!$B$259</f>
        <v>0</v>
      </c>
      <c r="D159" s="7">
        <f ca="1">D158*Inputs!$B$259</f>
        <v>0</v>
      </c>
      <c r="E159" s="7">
        <f ca="1">E158*Inputs!$B$259</f>
        <v>0</v>
      </c>
      <c r="F159" s="7">
        <f ca="1">F158*Inputs!$B$259</f>
        <v>1295.696369907057</v>
      </c>
      <c r="G159" s="7">
        <f ca="1">G158*Inputs!$B$259</f>
        <v>1295.6963699070568</v>
      </c>
      <c r="H159" s="7">
        <f ca="1">H158*Inputs!$B$259</f>
        <v>424.54043517257725</v>
      </c>
      <c r="I159" s="7">
        <f ca="1">I158*Inputs!$B$259</f>
        <v>0</v>
      </c>
      <c r="J159" s="7">
        <f ca="1">J158*Inputs!$B$259</f>
        <v>0</v>
      </c>
      <c r="K159" s="7">
        <f ca="1">K158*Inputs!$B$259</f>
        <v>0</v>
      </c>
      <c r="L159" s="7">
        <f ca="1">L158*Inputs!$B$259</f>
        <v>0</v>
      </c>
      <c r="M159" s="7">
        <f ca="1">M158*Inputs!$B$259</f>
        <v>0</v>
      </c>
      <c r="N159" s="7">
        <f ca="1">N158*Inputs!$B$259</f>
        <v>0</v>
      </c>
      <c r="O159" s="7">
        <f ca="1">O158*Inputs!$B$259</f>
        <v>0</v>
      </c>
      <c r="P159" s="7">
        <f ca="1">P158*Inputs!$B$259</f>
        <v>0</v>
      </c>
      <c r="Q159" s="7">
        <f ca="1">Q158*Inputs!$B$259</f>
        <v>0</v>
      </c>
      <c r="R159" s="7">
        <f ca="1">R158*Inputs!$B$259</f>
        <v>0</v>
      </c>
      <c r="S159" s="7">
        <f ca="1">S158*Inputs!$B$259</f>
        <v>0</v>
      </c>
      <c r="T159" s="7">
        <f ca="1">T158*Inputs!$B$259</f>
        <v>0</v>
      </c>
      <c r="U159" s="7">
        <f ca="1">U158*Inputs!$B$259</f>
        <v>0</v>
      </c>
      <c r="V159" s="7">
        <f ca="1">V158*Inputs!$B$259</f>
        <v>0</v>
      </c>
      <c r="W159" s="7">
        <f ca="1">W158*Inputs!$B$259</f>
        <v>0</v>
      </c>
      <c r="X159" s="7">
        <f ca="1">X158*Inputs!$B$259</f>
        <v>0</v>
      </c>
      <c r="Y159" s="7">
        <f ca="1">Y158*Inputs!$B$259</f>
        <v>0</v>
      </c>
      <c r="Z159" s="7">
        <f ca="1">Z158*Inputs!$B$259</f>
        <v>0</v>
      </c>
      <c r="AA159" s="7">
        <f ca="1">AA158*Inputs!$B$259</f>
        <v>0</v>
      </c>
      <c r="AB159" s="7">
        <f ca="1">AB158*Inputs!$B$259</f>
        <v>0</v>
      </c>
      <c r="AC159" s="7">
        <f ca="1">AC158*Inputs!$B$259</f>
        <v>0</v>
      </c>
      <c r="AD159" s="7">
        <f ca="1">AD158*Inputs!$B$259</f>
        <v>0</v>
      </c>
      <c r="AE159" s="7">
        <f ca="1">AE158*Inputs!$B$259</f>
        <v>0</v>
      </c>
      <c r="AF159" s="7">
        <f ca="1">AF158*Inputs!$B$259</f>
        <v>0</v>
      </c>
      <c r="AG159" s="7">
        <f ca="1">AG158*Inputs!$B$259</f>
        <v>0</v>
      </c>
      <c r="AH159" s="7">
        <f ca="1">AH158*Inputs!$B$259</f>
        <v>0</v>
      </c>
      <c r="AI159" s="7">
        <f ca="1">AI158*Inputs!$B$259</f>
        <v>0</v>
      </c>
      <c r="AJ159" s="7">
        <f ca="1">AJ158*Inputs!$B$259</f>
        <v>0</v>
      </c>
      <c r="AK159" s="7">
        <f ca="1">AK158*Inputs!$B$259</f>
        <v>0</v>
      </c>
      <c r="AL159" s="7">
        <f ca="1">AL158*Inputs!$B$259</f>
        <v>0</v>
      </c>
      <c r="AM159" s="7">
        <f ca="1">AM158*Inputs!$B$259</f>
        <v>0</v>
      </c>
    </row>
    <row r="160" spans="1:39" x14ac:dyDescent="0.2">
      <c r="A160" s="3" t="s">
        <v>150</v>
      </c>
      <c r="C160" s="7">
        <f ca="1">C157+SUM($C159:C159)</f>
        <v>12809.375000000015</v>
      </c>
      <c r="D160" s="7">
        <f ca="1">D157+SUM($C159:D159)</f>
        <v>24162.215625000026</v>
      </c>
      <c r="E160" s="7">
        <f ca="1">E157+SUM($C159:E159)</f>
        <v>58836.638502582922</v>
      </c>
      <c r="F160" s="7">
        <f ca="1">F157+SUM($C159:F159)</f>
        <v>86558.722373523749</v>
      </c>
      <c r="G160" s="7">
        <f ca="1">G157+SUM($C159:G159)</f>
        <v>27418.123469441289</v>
      </c>
      <c r="H160" s="7">
        <f ca="1">H157+SUM($C159:H159)</f>
        <v>-30002.44941811022</v>
      </c>
      <c r="I160" s="7">
        <f ca="1">I157+SUM($C159:I159)</f>
        <v>-63240.978666277828</v>
      </c>
      <c r="J160" s="7">
        <f ca="1">J157+SUM($C159:J159)</f>
        <v>-97040.863340911063</v>
      </c>
      <c r="K160" s="7">
        <f ca="1">K157+SUM($C159:K159)</f>
        <v>-148596.15914038857</v>
      </c>
      <c r="L160" s="7">
        <f ca="1">L157+SUM($C159:L159)</f>
        <v>-118071.96203819568</v>
      </c>
      <c r="M160" s="7">
        <f ca="1">M157+SUM($C159:M159)</f>
        <v>-181682.12472009822</v>
      </c>
      <c r="N160" s="7">
        <f ca="1">N157+SUM($C159:N159)</f>
        <v>-196790.8629320052</v>
      </c>
      <c r="O160" s="7">
        <f ca="1">O157+SUM($C159:O159)</f>
        <v>-212037.96249239714</v>
      </c>
      <c r="P160" s="7">
        <f ca="1">P157+SUM($C159:P159)</f>
        <v>-227419.7017217816</v>
      </c>
      <c r="Q160" s="7">
        <f ca="1">Q157+SUM($C159:Q159)</f>
        <v>-242932.05047728305</v>
      </c>
      <c r="R160" s="7">
        <f ca="1">R157+SUM($C159:R159)</f>
        <v>-258570.65597841595</v>
      </c>
      <c r="S160" s="7">
        <f ca="1">S157+SUM($C159:S159)</f>
        <v>-274330.82808462321</v>
      </c>
      <c r="T160" s="7">
        <f ca="1">T157+SUM($C159:T159)</f>
        <v>-272252.42852316867</v>
      </c>
      <c r="U160" s="7">
        <f ca="1">U157+SUM($C159:U159)</f>
        <v>-262037.97048106499</v>
      </c>
      <c r="V160" s="7">
        <f ca="1">V157+SUM($C159:V159)</f>
        <v>-251273.77193773582</v>
      </c>
      <c r="W160" s="7">
        <f ca="1">W157+SUM($C159:W159)</f>
        <v>-239937.25800914559</v>
      </c>
      <c r="X160" s="7">
        <f ca="1">X157+SUM($C159:X159)</f>
        <v>-228005.02449801235</v>
      </c>
      <c r="Y160" s="7">
        <f ca="1">Y157+SUM($C159:Y159)</f>
        <v>-236111.66598370377</v>
      </c>
      <c r="Z160" s="7">
        <f ca="1">Z157+SUM($C159:Z159)</f>
        <v>-244089.64729208869</v>
      </c>
      <c r="AA160" s="7">
        <f ca="1">AA157+SUM($C159:AA159)</f>
        <v>-251925.8121323009</v>
      </c>
      <c r="AB160" s="7">
        <f ca="1">AB157+SUM($C159:AB159)</f>
        <v>-259606.37711260968</v>
      </c>
      <c r="AC160" s="7">
        <f ca="1">AC157+SUM($C159:AC159)</f>
        <v>-267116.90711708996</v>
      </c>
      <c r="AD160" s="7">
        <f ca="1">AD157+SUM($C159:AD159)</f>
        <v>-274442.28979833622</v>
      </c>
      <c r="AE160" s="7">
        <f ca="1">AE157+SUM($C159:AE159)</f>
        <v>-271584.23406228109</v>
      </c>
      <c r="AF160" s="7">
        <f ca="1">AF157+SUM($C159:AF159)</f>
        <v>-268259.10610556172</v>
      </c>
      <c r="AG160" s="7">
        <f ca="1">AG157+SUM($C159:AG159)</f>
        <v>-264443.36049784359</v>
      </c>
      <c r="AH160" s="7">
        <f ca="1">AH157+SUM($C159:AH159)</f>
        <v>-260112.50711428921</v>
      </c>
      <c r="AI160" s="7">
        <f ca="1">AI157+SUM($C159:AI159)</f>
        <v>-255241.07683643347</v>
      </c>
      <c r="AJ160" s="7">
        <f ca="1">AJ157+SUM($C159:AJ159)</f>
        <v>-249802.58607512744</v>
      </c>
      <c r="AK160" s="7">
        <f ca="1">AK157+SUM($C159:AK159)</f>
        <v>-243769.50007648984</v>
      </c>
      <c r="AL160" s="7">
        <f ca="1">AL157+SUM($C159:AL159)</f>
        <v>-237113.19497053823</v>
      </c>
      <c r="AM160" s="7">
        <f ca="1">AM157+SUM($C159:AM159)</f>
        <v>-229803.91852086943</v>
      </c>
    </row>
    <row r="161" spans="1:39" x14ac:dyDescent="0.2">
      <c r="A161" s="3" t="s">
        <v>20</v>
      </c>
      <c r="C161" s="7">
        <f ca="1">IF(C160&lt;0,-C160,0)</f>
        <v>0</v>
      </c>
      <c r="D161" s="7">
        <f ca="1">IF(D160+SUM($C161:C161)&lt;0,-(D160+SUM($C161:C161)),0)</f>
        <v>0</v>
      </c>
      <c r="E161" s="7">
        <f ca="1">IF(E160+SUM($C161:D161)&lt;0,-(E160+SUM($C161:D161)),0)</f>
        <v>0</v>
      </c>
      <c r="F161" s="7">
        <f ca="1">IF(F160+SUM($C161:E161)&lt;0,-(F160+SUM($C161:E161)),0)</f>
        <v>0</v>
      </c>
      <c r="G161" s="7">
        <f ca="1">IF(G160+SUM($C161:F161)&lt;0,-(G160+SUM($C161:F161)),0)</f>
        <v>0</v>
      </c>
      <c r="H161" s="7">
        <f ca="1">IF(H160+SUM($C161:G161)&lt;0,-(H160+SUM($C161:G161)),0)</f>
        <v>30002.44941811022</v>
      </c>
      <c r="I161" s="7">
        <f ca="1">IF(I160+SUM($C161:H161)&lt;0,-(I160+SUM($C161:H161)),0)</f>
        <v>33238.529248167608</v>
      </c>
      <c r="J161" s="7">
        <f ca="1">IF(J160+SUM($C161:I161)&lt;0,-(J160+SUM($C161:I161)),0)</f>
        <v>33799.884674633235</v>
      </c>
      <c r="K161" s="7">
        <f ca="1">IF(K160+SUM($C161:J161)&lt;0,-(K160+SUM($C161:J161)),0)</f>
        <v>51555.295799477506</v>
      </c>
      <c r="L161" s="7">
        <f ca="1">IF(L160+SUM($C161:K161)&lt;0,-(L160+SUM($C161:K161)),0)</f>
        <v>0</v>
      </c>
      <c r="M161" s="7">
        <f ca="1">IF(M160+SUM($C161:L161)&lt;0,-(M160+SUM($C161:L161)),0)</f>
        <v>33085.965579709649</v>
      </c>
      <c r="N161" s="7">
        <f ca="1">IF(N160+SUM($C161:M161)&lt;0,-(N160+SUM($C161:M161)),0)</f>
        <v>15108.738211906981</v>
      </c>
      <c r="O161" s="7">
        <f ca="1">IF(O160+SUM($C161:N161)&lt;0,-(O160+SUM($C161:N161)),0)</f>
        <v>15247.099560391944</v>
      </c>
      <c r="P161" s="7">
        <f ca="1">IF(P160+SUM($C161:O161)&lt;0,-(P160+SUM($C161:O161)),0)</f>
        <v>15381.73922938446</v>
      </c>
      <c r="Q161" s="7">
        <f ca="1">IF(Q160+SUM($C161:P161)&lt;0,-(Q160+SUM($C161:P161)),0)</f>
        <v>15512.348755501444</v>
      </c>
      <c r="R161" s="7">
        <f ca="1">IF(R160+SUM($C161:Q161)&lt;0,-(R160+SUM($C161:Q161)),0)</f>
        <v>15638.605501132901</v>
      </c>
      <c r="S161" s="7">
        <f ca="1">IF(S160+SUM($C161:R161)&lt;0,-(S160+SUM($C161:R161)),0)</f>
        <v>15760.172106207261</v>
      </c>
      <c r="T161" s="7">
        <f ca="1">IF(T160+SUM($C161:S161)&lt;0,-(T160+SUM($C161:S161)),0)</f>
        <v>0</v>
      </c>
      <c r="U161" s="7">
        <f ca="1">IF(U160+SUM($C161:T161)&lt;0,-(U160+SUM($C161:T161)),0)</f>
        <v>0</v>
      </c>
      <c r="V161" s="7">
        <f ca="1">IF(V160+SUM($C161:U161)&lt;0,-(V160+SUM($C161:U161)),0)</f>
        <v>0</v>
      </c>
      <c r="W161" s="7">
        <f ca="1">IF(W160+SUM($C161:V161)&lt;0,-(W160+SUM($C161:V161)),0)</f>
        <v>0</v>
      </c>
      <c r="X161" s="7">
        <f ca="1">IF(X160+SUM($C161:W161)&lt;0,-(X160+SUM($C161:W161)),0)</f>
        <v>0</v>
      </c>
      <c r="Y161" s="7">
        <f ca="1">IF(Y160+SUM($C161:X161)&lt;0,-(Y160+SUM($C161:X161)),0)</f>
        <v>0</v>
      </c>
      <c r="Z161" s="7">
        <f ca="1">IF(Z160+SUM($C161:Y161)&lt;0,-(Z160+SUM($C161:Y161)),0)</f>
        <v>0</v>
      </c>
      <c r="AA161" s="7">
        <f ca="1">IF(AA160+SUM($C161:Z161)&lt;0,-(AA160+SUM($C161:Z161)),0)</f>
        <v>0</v>
      </c>
      <c r="AB161" s="7">
        <f ca="1">IF(AB160+SUM($C161:AA161)&lt;0,-(AB160+SUM($C161:AA161)),0)</f>
        <v>0</v>
      </c>
      <c r="AC161" s="7">
        <f ca="1">IF(AC160+SUM($C161:AB161)&lt;0,-(AC160+SUM($C161:AB161)),0)</f>
        <v>0</v>
      </c>
      <c r="AD161" s="7">
        <f ca="1">IF(AD160+SUM($C161:AC161)&lt;0,-(AD160+SUM($C161:AC161)),0)</f>
        <v>111.4617137130117</v>
      </c>
      <c r="AE161" s="7">
        <f ca="1">IF(AE160+SUM($C161:AD161)&lt;0,-(AE160+SUM($C161:AD161)),0)</f>
        <v>0</v>
      </c>
      <c r="AF161" s="7">
        <f ca="1">IF(AF160+SUM($C161:AE161)&lt;0,-(AF160+SUM($C161:AE161)),0)</f>
        <v>0</v>
      </c>
      <c r="AG161" s="7">
        <f ca="1">IF(AG160+SUM($C161:AF161)&lt;0,-(AG160+SUM($C161:AF161)),0)</f>
        <v>0</v>
      </c>
      <c r="AH161" s="7">
        <f ca="1">IF(AH160+SUM($C161:AG161)&lt;0,-(AH160+SUM($C161:AG161)),0)</f>
        <v>0</v>
      </c>
      <c r="AI161" s="7">
        <f ca="1">IF(AI160+SUM($C161:AH161)&lt;0,-(AI160+SUM($C161:AH161)),0)</f>
        <v>0</v>
      </c>
      <c r="AJ161" s="7">
        <f ca="1">IF(AJ160+SUM($C161:AI161)&lt;0,-(AJ160+SUM($C161:AI161)),0)</f>
        <v>0</v>
      </c>
      <c r="AK161" s="7">
        <f ca="1">IF(AK160+SUM($C161:AJ161)&lt;0,-(AK160+SUM($C161:AJ161)),0)</f>
        <v>0</v>
      </c>
      <c r="AL161" s="7">
        <f ca="1">IF(AL160+SUM($C161:AK161)&lt;0,-(AL160+SUM($C161:AK161)),0)</f>
        <v>0</v>
      </c>
      <c r="AM161" s="7">
        <f ca="1">IF(AM160+SUM($C161:AL161)&lt;0,-(AM160+SUM($C161:AL161)),0)</f>
        <v>0</v>
      </c>
    </row>
    <row r="162" spans="1:39" x14ac:dyDescent="0.2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">
      <c r="A163" s="24" t="str">
        <f>IF(Inputs!$B$279=6,IFERROR(_xlfn.XLOOKUP($B163,Inputs!$B$280:$B$289,Inputs!$A$280:$A$289,,0,1),""),IFERROR(_xlfn.XLOOKUP($B163,Inputs!$C$280:$C$289,Inputs!$A$280:$A$289,,0,1),""))</f>
        <v>Gudja</v>
      </c>
      <c r="B163" s="26">
        <v>4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">
      <c r="A164" s="3" t="s">
        <v>22</v>
      </c>
      <c r="C164" s="7">
        <f ca="1">IFERROR(VLOOKUP($A163,$A$65:$H$94,C$1+2,FALSE),0)</f>
        <v>81995.057403059982</v>
      </c>
      <c r="D164" s="7">
        <f ca="1">C167</f>
        <v>81995.057403059982</v>
      </c>
      <c r="E164" s="7">
        <f t="shared" ref="E164:AM164" ca="1" si="89">D167</f>
        <v>84454.909125151782</v>
      </c>
      <c r="F164" s="7">
        <f t="shared" ca="1" si="89"/>
        <v>86988.556398906338</v>
      </c>
      <c r="G164" s="7">
        <f t="shared" ca="1" si="89"/>
        <v>89598.213090873527</v>
      </c>
      <c r="H164" s="7">
        <f t="shared" ca="1" si="89"/>
        <v>0</v>
      </c>
      <c r="I164" s="7">
        <f t="shared" ca="1" si="89"/>
        <v>0</v>
      </c>
      <c r="J164" s="7">
        <f t="shared" ca="1" si="89"/>
        <v>0</v>
      </c>
      <c r="K164" s="7">
        <f t="shared" ca="1" si="89"/>
        <v>0</v>
      </c>
      <c r="L164" s="7">
        <f t="shared" ca="1" si="89"/>
        <v>0</v>
      </c>
      <c r="M164" s="7">
        <f t="shared" ca="1" si="89"/>
        <v>0</v>
      </c>
      <c r="N164" s="7">
        <f t="shared" ca="1" si="89"/>
        <v>0</v>
      </c>
      <c r="O164" s="7">
        <f t="shared" ca="1" si="89"/>
        <v>0</v>
      </c>
      <c r="P164" s="7">
        <f t="shared" ca="1" si="89"/>
        <v>0</v>
      </c>
      <c r="Q164" s="7">
        <f t="shared" ca="1" si="89"/>
        <v>0</v>
      </c>
      <c r="R164" s="7">
        <f t="shared" ca="1" si="89"/>
        <v>0</v>
      </c>
      <c r="S164" s="7">
        <f t="shared" ca="1" si="89"/>
        <v>0</v>
      </c>
      <c r="T164" s="7">
        <f t="shared" ca="1" si="89"/>
        <v>0</v>
      </c>
      <c r="U164" s="7">
        <f t="shared" ca="1" si="89"/>
        <v>0</v>
      </c>
      <c r="V164" s="7">
        <f t="shared" ca="1" si="89"/>
        <v>0</v>
      </c>
      <c r="W164" s="7">
        <f t="shared" ca="1" si="89"/>
        <v>0</v>
      </c>
      <c r="X164" s="7">
        <f t="shared" ca="1" si="89"/>
        <v>0</v>
      </c>
      <c r="Y164" s="7">
        <f t="shared" ca="1" si="89"/>
        <v>0</v>
      </c>
      <c r="Z164" s="7">
        <f t="shared" ca="1" si="89"/>
        <v>0</v>
      </c>
      <c r="AA164" s="7">
        <f t="shared" ca="1" si="89"/>
        <v>0</v>
      </c>
      <c r="AB164" s="7">
        <f t="shared" ca="1" si="89"/>
        <v>0</v>
      </c>
      <c r="AC164" s="7">
        <f t="shared" ca="1" si="89"/>
        <v>0</v>
      </c>
      <c r="AD164" s="7">
        <f t="shared" ca="1" si="89"/>
        <v>0</v>
      </c>
      <c r="AE164" s="7">
        <f t="shared" ca="1" si="89"/>
        <v>0</v>
      </c>
      <c r="AF164" s="7">
        <f t="shared" ca="1" si="89"/>
        <v>0</v>
      </c>
      <c r="AG164" s="7">
        <f t="shared" ca="1" si="89"/>
        <v>0</v>
      </c>
      <c r="AH164" s="7">
        <f t="shared" ca="1" si="89"/>
        <v>0</v>
      </c>
      <c r="AI164" s="7">
        <f t="shared" ca="1" si="89"/>
        <v>0</v>
      </c>
      <c r="AJ164" s="7">
        <f t="shared" ca="1" si="89"/>
        <v>0</v>
      </c>
      <c r="AK164" s="7">
        <f t="shared" ca="1" si="89"/>
        <v>0</v>
      </c>
      <c r="AL164" s="7">
        <f t="shared" ca="1" si="89"/>
        <v>0</v>
      </c>
      <c r="AM164" s="7">
        <f t="shared" ca="1" si="89"/>
        <v>0</v>
      </c>
    </row>
    <row r="165" spans="1:39" x14ac:dyDescent="0.2">
      <c r="A165" s="3" t="s">
        <v>23</v>
      </c>
      <c r="C165" s="7">
        <f ca="1">-IF(D161&gt;0,C164,0)</f>
        <v>0</v>
      </c>
      <c r="D165" s="7">
        <f ca="1">-IF(E161&gt;0,D164,0)</f>
        <v>0</v>
      </c>
      <c r="E165" s="7">
        <f ca="1">-IF(F161&gt;0,E164,0)</f>
        <v>0</v>
      </c>
      <c r="F165" s="7">
        <f ca="1">-IF(G161&gt;0,F164,0)</f>
        <v>0</v>
      </c>
      <c r="G165" s="7">
        <f t="shared" ref="G165:AM165" ca="1" si="90">-IF(H161&gt;0,G164,0)</f>
        <v>-89598.213090873527</v>
      </c>
      <c r="H165" s="7">
        <f t="shared" ca="1" si="90"/>
        <v>0</v>
      </c>
      <c r="I165" s="7">
        <f t="shared" ca="1" si="90"/>
        <v>0</v>
      </c>
      <c r="J165" s="7">
        <f t="shared" ca="1" si="90"/>
        <v>0</v>
      </c>
      <c r="K165" s="7">
        <f t="shared" ca="1" si="90"/>
        <v>0</v>
      </c>
      <c r="L165" s="7">
        <f t="shared" ca="1" si="90"/>
        <v>0</v>
      </c>
      <c r="M165" s="7">
        <f t="shared" ca="1" si="90"/>
        <v>0</v>
      </c>
      <c r="N165" s="7">
        <f t="shared" ca="1" si="90"/>
        <v>0</v>
      </c>
      <c r="O165" s="7">
        <f t="shared" ca="1" si="90"/>
        <v>0</v>
      </c>
      <c r="P165" s="7">
        <f t="shared" ca="1" si="90"/>
        <v>0</v>
      </c>
      <c r="Q165" s="7">
        <f t="shared" ca="1" si="90"/>
        <v>0</v>
      </c>
      <c r="R165" s="7">
        <f t="shared" ca="1" si="90"/>
        <v>0</v>
      </c>
      <c r="S165" s="7">
        <f t="shared" ca="1" si="90"/>
        <v>0</v>
      </c>
      <c r="T165" s="7">
        <f t="shared" ca="1" si="90"/>
        <v>0</v>
      </c>
      <c r="U165" s="7">
        <f t="shared" ca="1" si="90"/>
        <v>0</v>
      </c>
      <c r="V165" s="7">
        <f t="shared" ca="1" si="90"/>
        <v>0</v>
      </c>
      <c r="W165" s="7">
        <f t="shared" ca="1" si="90"/>
        <v>0</v>
      </c>
      <c r="X165" s="7">
        <f t="shared" ca="1" si="90"/>
        <v>0</v>
      </c>
      <c r="Y165" s="7">
        <f t="shared" ca="1" si="90"/>
        <v>0</v>
      </c>
      <c r="Z165" s="7">
        <f t="shared" ca="1" si="90"/>
        <v>0</v>
      </c>
      <c r="AA165" s="7">
        <f t="shared" ca="1" si="90"/>
        <v>0</v>
      </c>
      <c r="AB165" s="7">
        <f t="shared" ca="1" si="90"/>
        <v>0</v>
      </c>
      <c r="AC165" s="7">
        <f t="shared" ca="1" si="90"/>
        <v>0</v>
      </c>
      <c r="AD165" s="7">
        <f t="shared" ca="1" si="90"/>
        <v>0</v>
      </c>
      <c r="AE165" s="7">
        <f t="shared" ca="1" si="90"/>
        <v>0</v>
      </c>
      <c r="AF165" s="7">
        <f t="shared" ca="1" si="90"/>
        <v>0</v>
      </c>
      <c r="AG165" s="7">
        <f t="shared" ca="1" si="90"/>
        <v>0</v>
      </c>
      <c r="AH165" s="7">
        <f t="shared" ca="1" si="90"/>
        <v>0</v>
      </c>
      <c r="AI165" s="7">
        <f t="shared" ca="1" si="90"/>
        <v>0</v>
      </c>
      <c r="AJ165" s="7">
        <f t="shared" ca="1" si="90"/>
        <v>0</v>
      </c>
      <c r="AK165" s="7">
        <f t="shared" ca="1" si="90"/>
        <v>0</v>
      </c>
      <c r="AL165" s="7">
        <f t="shared" ca="1" si="90"/>
        <v>0</v>
      </c>
      <c r="AM165" s="7">
        <f t="shared" si="90"/>
        <v>0</v>
      </c>
    </row>
    <row r="166" spans="1:39" x14ac:dyDescent="0.2">
      <c r="A166" s="3" t="s">
        <v>24</v>
      </c>
      <c r="C166" s="7">
        <v>0</v>
      </c>
      <c r="D166" s="7">
        <f t="shared" ref="D166:AM166" ca="1" si="91">SUM(D164:D165)*VLOOKUP($A163,AssVar,2,FALSE)</f>
        <v>2459.8517220917993</v>
      </c>
      <c r="E166" s="7">
        <f t="shared" ca="1" si="91"/>
        <v>2533.6472737545532</v>
      </c>
      <c r="F166" s="7">
        <f t="shared" ca="1" si="91"/>
        <v>2609.65669196719</v>
      </c>
      <c r="G166" s="7">
        <f t="shared" ca="1" si="91"/>
        <v>0</v>
      </c>
      <c r="H166" s="7">
        <f t="shared" ca="1" si="91"/>
        <v>0</v>
      </c>
      <c r="I166" s="7">
        <f t="shared" ca="1" si="91"/>
        <v>0</v>
      </c>
      <c r="J166" s="7">
        <f t="shared" ca="1" si="91"/>
        <v>0</v>
      </c>
      <c r="K166" s="7">
        <f t="shared" ca="1" si="91"/>
        <v>0</v>
      </c>
      <c r="L166" s="7">
        <f t="shared" ca="1" si="91"/>
        <v>0</v>
      </c>
      <c r="M166" s="7">
        <f t="shared" ca="1" si="91"/>
        <v>0</v>
      </c>
      <c r="N166" s="7">
        <f t="shared" ca="1" si="91"/>
        <v>0</v>
      </c>
      <c r="O166" s="7">
        <f t="shared" ca="1" si="91"/>
        <v>0</v>
      </c>
      <c r="P166" s="7">
        <f t="shared" ca="1" si="91"/>
        <v>0</v>
      </c>
      <c r="Q166" s="7">
        <f t="shared" ca="1" si="91"/>
        <v>0</v>
      </c>
      <c r="R166" s="7">
        <f t="shared" ca="1" si="91"/>
        <v>0</v>
      </c>
      <c r="S166" s="7">
        <f t="shared" ca="1" si="91"/>
        <v>0</v>
      </c>
      <c r="T166" s="7">
        <f t="shared" ca="1" si="91"/>
        <v>0</v>
      </c>
      <c r="U166" s="7">
        <f t="shared" ca="1" si="91"/>
        <v>0</v>
      </c>
      <c r="V166" s="7">
        <f t="shared" ca="1" si="91"/>
        <v>0</v>
      </c>
      <c r="W166" s="7">
        <f t="shared" ca="1" si="91"/>
        <v>0</v>
      </c>
      <c r="X166" s="7">
        <f t="shared" ca="1" si="91"/>
        <v>0</v>
      </c>
      <c r="Y166" s="7">
        <f t="shared" ca="1" si="91"/>
        <v>0</v>
      </c>
      <c r="Z166" s="7">
        <f t="shared" ca="1" si="91"/>
        <v>0</v>
      </c>
      <c r="AA166" s="7">
        <f t="shared" ca="1" si="91"/>
        <v>0</v>
      </c>
      <c r="AB166" s="7">
        <f t="shared" ca="1" si="91"/>
        <v>0</v>
      </c>
      <c r="AC166" s="7">
        <f t="shared" ca="1" si="91"/>
        <v>0</v>
      </c>
      <c r="AD166" s="7">
        <f t="shared" ca="1" si="91"/>
        <v>0</v>
      </c>
      <c r="AE166" s="7">
        <f t="shared" ca="1" si="91"/>
        <v>0</v>
      </c>
      <c r="AF166" s="7">
        <f t="shared" ca="1" si="91"/>
        <v>0</v>
      </c>
      <c r="AG166" s="7">
        <f t="shared" ca="1" si="91"/>
        <v>0</v>
      </c>
      <c r="AH166" s="7">
        <f t="shared" ca="1" si="91"/>
        <v>0</v>
      </c>
      <c r="AI166" s="7">
        <f t="shared" ca="1" si="91"/>
        <v>0</v>
      </c>
      <c r="AJ166" s="7">
        <f t="shared" ca="1" si="91"/>
        <v>0</v>
      </c>
      <c r="AK166" s="7">
        <f t="shared" ca="1" si="91"/>
        <v>0</v>
      </c>
      <c r="AL166" s="7">
        <f t="shared" ca="1" si="91"/>
        <v>0</v>
      </c>
      <c r="AM166" s="7">
        <f t="shared" ca="1" si="91"/>
        <v>0</v>
      </c>
    </row>
    <row r="167" spans="1:39" x14ac:dyDescent="0.2">
      <c r="A167" s="3" t="s">
        <v>25</v>
      </c>
      <c r="C167" s="7">
        <f ca="1">SUM(C164:C166)</f>
        <v>81995.057403059982</v>
      </c>
      <c r="D167" s="7">
        <f t="shared" ref="D167:AM167" ca="1" si="92">SUM(D164:D166)</f>
        <v>84454.909125151782</v>
      </c>
      <c r="E167" s="7">
        <f t="shared" ca="1" si="92"/>
        <v>86988.556398906338</v>
      </c>
      <c r="F167" s="7">
        <f t="shared" ca="1" si="92"/>
        <v>89598.213090873527</v>
      </c>
      <c r="G167" s="7">
        <f t="shared" ca="1" si="92"/>
        <v>0</v>
      </c>
      <c r="H167" s="7">
        <f t="shared" ca="1" si="92"/>
        <v>0</v>
      </c>
      <c r="I167" s="7">
        <f t="shared" ca="1" si="92"/>
        <v>0</v>
      </c>
      <c r="J167" s="7">
        <f t="shared" ca="1" si="92"/>
        <v>0</v>
      </c>
      <c r="K167" s="7">
        <f t="shared" ca="1" si="92"/>
        <v>0</v>
      </c>
      <c r="L167" s="7">
        <f t="shared" ca="1" si="92"/>
        <v>0</v>
      </c>
      <c r="M167" s="7">
        <f t="shared" ca="1" si="92"/>
        <v>0</v>
      </c>
      <c r="N167" s="7">
        <f t="shared" ca="1" si="92"/>
        <v>0</v>
      </c>
      <c r="O167" s="7">
        <f t="shared" ca="1" si="92"/>
        <v>0</v>
      </c>
      <c r="P167" s="7">
        <f t="shared" ca="1" si="92"/>
        <v>0</v>
      </c>
      <c r="Q167" s="7">
        <f t="shared" ca="1" si="92"/>
        <v>0</v>
      </c>
      <c r="R167" s="7">
        <f t="shared" ca="1" si="92"/>
        <v>0</v>
      </c>
      <c r="S167" s="7">
        <f t="shared" ca="1" si="92"/>
        <v>0</v>
      </c>
      <c r="T167" s="7">
        <f t="shared" ca="1" si="92"/>
        <v>0</v>
      </c>
      <c r="U167" s="7">
        <f t="shared" ca="1" si="92"/>
        <v>0</v>
      </c>
      <c r="V167" s="7">
        <f t="shared" ca="1" si="92"/>
        <v>0</v>
      </c>
      <c r="W167" s="7">
        <f t="shared" ca="1" si="92"/>
        <v>0</v>
      </c>
      <c r="X167" s="7">
        <f t="shared" ca="1" si="92"/>
        <v>0</v>
      </c>
      <c r="Y167" s="7">
        <f t="shared" ca="1" si="92"/>
        <v>0</v>
      </c>
      <c r="Z167" s="7">
        <f t="shared" ca="1" si="92"/>
        <v>0</v>
      </c>
      <c r="AA167" s="7">
        <f t="shared" ca="1" si="92"/>
        <v>0</v>
      </c>
      <c r="AB167" s="7">
        <f t="shared" ca="1" si="92"/>
        <v>0</v>
      </c>
      <c r="AC167" s="7">
        <f t="shared" ca="1" si="92"/>
        <v>0</v>
      </c>
      <c r="AD167" s="7">
        <f t="shared" ca="1" si="92"/>
        <v>0</v>
      </c>
      <c r="AE167" s="7">
        <f t="shared" ca="1" si="92"/>
        <v>0</v>
      </c>
      <c r="AF167" s="7">
        <f t="shared" ca="1" si="92"/>
        <v>0</v>
      </c>
      <c r="AG167" s="7">
        <f t="shared" ca="1" si="92"/>
        <v>0</v>
      </c>
      <c r="AH167" s="7">
        <f t="shared" ca="1" si="92"/>
        <v>0</v>
      </c>
      <c r="AI167" s="7">
        <f t="shared" ca="1" si="92"/>
        <v>0</v>
      </c>
      <c r="AJ167" s="7">
        <f t="shared" ca="1" si="92"/>
        <v>0</v>
      </c>
      <c r="AK167" s="7">
        <f t="shared" ca="1" si="92"/>
        <v>0</v>
      </c>
      <c r="AL167" s="7">
        <f t="shared" ca="1" si="92"/>
        <v>0</v>
      </c>
      <c r="AM167" s="7">
        <f t="shared" ca="1" si="92"/>
        <v>0</v>
      </c>
    </row>
    <row r="168" spans="1:39" x14ac:dyDescent="0.2">
      <c r="A168" s="3" t="s">
        <v>26</v>
      </c>
      <c r="C168" s="7">
        <f t="shared" ref="C168:AM168" ca="1" si="93">C165*VLOOKUP($A163,AssVar,3,FALSE)</f>
        <v>0</v>
      </c>
      <c r="D168" s="7">
        <f t="shared" ca="1" si="93"/>
        <v>0</v>
      </c>
      <c r="E168" s="7">
        <f t="shared" ca="1" si="93"/>
        <v>0</v>
      </c>
      <c r="F168" s="7">
        <f t="shared" ca="1" si="93"/>
        <v>0</v>
      </c>
      <c r="G168" s="7">
        <f t="shared" ca="1" si="93"/>
        <v>-13439.731963631029</v>
      </c>
      <c r="H168" s="7">
        <f t="shared" ca="1" si="93"/>
        <v>0</v>
      </c>
      <c r="I168" s="7">
        <f t="shared" ca="1" si="93"/>
        <v>0</v>
      </c>
      <c r="J168" s="7">
        <f t="shared" ca="1" si="93"/>
        <v>0</v>
      </c>
      <c r="K168" s="7">
        <f t="shared" ca="1" si="93"/>
        <v>0</v>
      </c>
      <c r="L168" s="7">
        <f t="shared" ca="1" si="93"/>
        <v>0</v>
      </c>
      <c r="M168" s="7">
        <f t="shared" ca="1" si="93"/>
        <v>0</v>
      </c>
      <c r="N168" s="7">
        <f t="shared" ca="1" si="93"/>
        <v>0</v>
      </c>
      <c r="O168" s="7">
        <f t="shared" ca="1" si="93"/>
        <v>0</v>
      </c>
      <c r="P168" s="7">
        <f t="shared" ca="1" si="93"/>
        <v>0</v>
      </c>
      <c r="Q168" s="7">
        <f t="shared" ca="1" si="93"/>
        <v>0</v>
      </c>
      <c r="R168" s="7">
        <f t="shared" ca="1" si="93"/>
        <v>0</v>
      </c>
      <c r="S168" s="7">
        <f t="shared" ca="1" si="93"/>
        <v>0</v>
      </c>
      <c r="T168" s="7">
        <f t="shared" ca="1" si="93"/>
        <v>0</v>
      </c>
      <c r="U168" s="7">
        <f t="shared" ca="1" si="93"/>
        <v>0</v>
      </c>
      <c r="V168" s="7">
        <f t="shared" ca="1" si="93"/>
        <v>0</v>
      </c>
      <c r="W168" s="7">
        <f t="shared" ca="1" si="93"/>
        <v>0</v>
      </c>
      <c r="X168" s="7">
        <f t="shared" ca="1" si="93"/>
        <v>0</v>
      </c>
      <c r="Y168" s="7">
        <f t="shared" ca="1" si="93"/>
        <v>0</v>
      </c>
      <c r="Z168" s="7">
        <f t="shared" ca="1" si="93"/>
        <v>0</v>
      </c>
      <c r="AA168" s="7">
        <f t="shared" ca="1" si="93"/>
        <v>0</v>
      </c>
      <c r="AB168" s="7">
        <f t="shared" ca="1" si="93"/>
        <v>0</v>
      </c>
      <c r="AC168" s="7">
        <f t="shared" ca="1" si="93"/>
        <v>0</v>
      </c>
      <c r="AD168" s="7">
        <f t="shared" ca="1" si="93"/>
        <v>0</v>
      </c>
      <c r="AE168" s="7">
        <f t="shared" ca="1" si="93"/>
        <v>0</v>
      </c>
      <c r="AF168" s="7">
        <f t="shared" ca="1" si="93"/>
        <v>0</v>
      </c>
      <c r="AG168" s="7">
        <f t="shared" ca="1" si="93"/>
        <v>0</v>
      </c>
      <c r="AH168" s="7">
        <f t="shared" ca="1" si="93"/>
        <v>0</v>
      </c>
      <c r="AI168" s="7">
        <f t="shared" ca="1" si="93"/>
        <v>0</v>
      </c>
      <c r="AJ168" s="7">
        <f t="shared" ca="1" si="93"/>
        <v>0</v>
      </c>
      <c r="AK168" s="7">
        <f t="shared" ca="1" si="93"/>
        <v>0</v>
      </c>
      <c r="AL168" s="7">
        <f t="shared" ca="1" si="93"/>
        <v>0</v>
      </c>
      <c r="AM168" s="7">
        <f t="shared" si="93"/>
        <v>0</v>
      </c>
    </row>
    <row r="169" spans="1:39" x14ac:dyDescent="0.2">
      <c r="A169" s="3" t="s">
        <v>31</v>
      </c>
      <c r="C169" s="7">
        <f t="shared" ref="C169:AM169" ca="1" si="94">IFERROR(-IF(C164=0,VLOOKUP($A163,$8:$12,C$1+2,FALSE),0),0)</f>
        <v>0</v>
      </c>
      <c r="D169" s="7">
        <f t="shared" ca="1" si="94"/>
        <v>0</v>
      </c>
      <c r="E169" s="7">
        <f t="shared" ca="1" si="94"/>
        <v>0</v>
      </c>
      <c r="F169" s="7">
        <f t="shared" ca="1" si="94"/>
        <v>0</v>
      </c>
      <c r="G169" s="7">
        <f t="shared" ca="1" si="94"/>
        <v>0</v>
      </c>
      <c r="H169" s="7">
        <f t="shared" ca="1" si="94"/>
        <v>-4830.3086429166669</v>
      </c>
      <c r="I169" s="7">
        <f t="shared" ca="1" si="94"/>
        <v>-4975.2179022041673</v>
      </c>
      <c r="J169" s="7">
        <f t="shared" ca="1" si="94"/>
        <v>-5124.4744392702924</v>
      </c>
      <c r="K169" s="7">
        <f t="shared" ca="1" si="94"/>
        <v>-5278.2086724484016</v>
      </c>
      <c r="L169" s="7">
        <f t="shared" ca="1" si="94"/>
        <v>-5436.5549326218534</v>
      </c>
      <c r="M169" s="7">
        <f t="shared" ca="1" si="94"/>
        <v>-5599.6515806005091</v>
      </c>
      <c r="N169" s="7">
        <f t="shared" ca="1" si="94"/>
        <v>-5767.6411280185248</v>
      </c>
      <c r="O169" s="7">
        <f t="shared" ca="1" si="94"/>
        <v>-5940.6703618590809</v>
      </c>
      <c r="P169" s="7">
        <f t="shared" ca="1" si="94"/>
        <v>-6118.8904727148538</v>
      </c>
      <c r="Q169" s="7">
        <f t="shared" ca="1" si="94"/>
        <v>-6302.4571868962994</v>
      </c>
      <c r="R169" s="7">
        <f t="shared" ca="1" si="94"/>
        <v>-6491.5309025031884</v>
      </c>
      <c r="S169" s="7">
        <f t="shared" ca="1" si="94"/>
        <v>-6686.2768295782844</v>
      </c>
      <c r="T169" s="7">
        <f t="shared" ca="1" si="94"/>
        <v>-6886.8651344656328</v>
      </c>
      <c r="U169" s="7">
        <f t="shared" ca="1" si="94"/>
        <v>-7093.471088499602</v>
      </c>
      <c r="V169" s="7">
        <f t="shared" ca="1" si="94"/>
        <v>-7306.2752211545903</v>
      </c>
      <c r="W169" s="7">
        <f t="shared" ca="1" si="94"/>
        <v>-7525.4634777892279</v>
      </c>
      <c r="X169" s="7">
        <f t="shared" ca="1" si="94"/>
        <v>-7751.2273821229046</v>
      </c>
      <c r="Y169" s="7">
        <f t="shared" ca="1" si="94"/>
        <v>-7983.764203586592</v>
      </c>
      <c r="Z169" s="7">
        <f t="shared" ca="1" si="94"/>
        <v>-8223.2771296941901</v>
      </c>
      <c r="AA169" s="7">
        <f t="shared" ca="1" si="94"/>
        <v>-8469.9754435850155</v>
      </c>
      <c r="AB169" s="7">
        <f t="shared" ca="1" si="94"/>
        <v>-8724.0747068925666</v>
      </c>
      <c r="AC169" s="7">
        <f t="shared" ca="1" si="94"/>
        <v>-8985.7969480993434</v>
      </c>
      <c r="AD169" s="7">
        <f t="shared" ca="1" si="94"/>
        <v>-9255.370856542324</v>
      </c>
      <c r="AE169" s="7">
        <f t="shared" ca="1" si="94"/>
        <v>-9533.0319822385936</v>
      </c>
      <c r="AF169" s="7">
        <f t="shared" ca="1" si="94"/>
        <v>-9819.0229417057508</v>
      </c>
      <c r="AG169" s="7">
        <f t="shared" ca="1" si="94"/>
        <v>-10113.593629956924</v>
      </c>
      <c r="AH169" s="7">
        <f t="shared" ca="1" si="94"/>
        <v>-10417.001438855632</v>
      </c>
      <c r="AI169" s="7">
        <f t="shared" ca="1" si="94"/>
        <v>-10729.511482021302</v>
      </c>
      <c r="AJ169" s="7">
        <f t="shared" ca="1" si="94"/>
        <v>-11051.396826481941</v>
      </c>
      <c r="AK169" s="7">
        <f t="shared" ca="1" si="94"/>
        <v>-11382.938731276399</v>
      </c>
      <c r="AL169" s="7">
        <f t="shared" ca="1" si="94"/>
        <v>-11724.426893214692</v>
      </c>
      <c r="AM169" s="7">
        <f t="shared" ca="1" si="94"/>
        <v>-12076.159700011132</v>
      </c>
    </row>
    <row r="170" spans="1:39" x14ac:dyDescent="0.2">
      <c r="A170" s="3" t="s">
        <v>50</v>
      </c>
      <c r="C170" s="7">
        <f t="shared" ref="C170:AM170" ca="1" si="95">IFERROR(IF(C164=0,VLOOKUP($A163,$45:$49,C$1+2,FALSE),0),0)</f>
        <v>0</v>
      </c>
      <c r="D170" s="7">
        <f t="shared" ca="1" si="95"/>
        <v>0</v>
      </c>
      <c r="E170" s="7">
        <f t="shared" ca="1" si="95"/>
        <v>0</v>
      </c>
      <c r="F170" s="7">
        <f t="shared" ca="1" si="95"/>
        <v>0</v>
      </c>
      <c r="G170" s="7">
        <f t="shared" ca="1" si="95"/>
        <v>0</v>
      </c>
      <c r="H170" s="7">
        <f t="shared" ca="1" si="95"/>
        <v>1131.4082128906246</v>
      </c>
      <c r="I170" s="7">
        <f t="shared" ca="1" si="95"/>
        <v>1159.6934182128903</v>
      </c>
      <c r="J170" s="7">
        <f t="shared" ca="1" si="95"/>
        <v>1188.6857536682126</v>
      </c>
      <c r="K170" s="7">
        <f t="shared" ca="1" si="95"/>
        <v>1218.4028975099177</v>
      </c>
      <c r="L170" s="7">
        <f t="shared" ca="1" si="95"/>
        <v>1248.8629699476655</v>
      </c>
      <c r="M170" s="7">
        <f t="shared" ca="1" si="95"/>
        <v>1280.084544196357</v>
      </c>
      <c r="N170" s="7">
        <f t="shared" ca="1" si="95"/>
        <v>1312.086657801266</v>
      </c>
      <c r="O170" s="7">
        <f t="shared" ca="1" si="95"/>
        <v>1344.8888242462974</v>
      </c>
      <c r="P170" s="7">
        <f t="shared" ca="1" si="95"/>
        <v>1378.5110448524549</v>
      </c>
      <c r="Q170" s="7">
        <f t="shared" ca="1" si="95"/>
        <v>1412.9738209737661</v>
      </c>
      <c r="R170" s="7">
        <f t="shared" ca="1" si="95"/>
        <v>1448.2981664981105</v>
      </c>
      <c r="S170" s="7">
        <f t="shared" ca="1" si="95"/>
        <v>1484.5056206605632</v>
      </c>
      <c r="T170" s="7">
        <f t="shared" ca="1" si="95"/>
        <v>1521.6182611770771</v>
      </c>
      <c r="U170" s="7">
        <f t="shared" ca="1" si="95"/>
        <v>1559.6587177065039</v>
      </c>
      <c r="V170" s="7">
        <f t="shared" ca="1" si="95"/>
        <v>1598.6501856491666</v>
      </c>
      <c r="W170" s="7">
        <f t="shared" ca="1" si="95"/>
        <v>1638.6164402903955</v>
      </c>
      <c r="X170" s="7">
        <f t="shared" ca="1" si="95"/>
        <v>1679.5818512976552</v>
      </c>
      <c r="Y170" s="7">
        <f t="shared" ca="1" si="95"/>
        <v>1721.5713975800966</v>
      </c>
      <c r="Z170" s="7">
        <f t="shared" ca="1" si="95"/>
        <v>1764.6106825195991</v>
      </c>
      <c r="AA170" s="7">
        <f t="shared" ca="1" si="95"/>
        <v>1808.725949582589</v>
      </c>
      <c r="AB170" s="7">
        <f t="shared" ca="1" si="95"/>
        <v>1853.9440983221534</v>
      </c>
      <c r="AC170" s="7">
        <f t="shared" ca="1" si="95"/>
        <v>1900.292700780207</v>
      </c>
      <c r="AD170" s="7">
        <f t="shared" ca="1" si="95"/>
        <v>1947.8000182997121</v>
      </c>
      <c r="AE170" s="7">
        <f t="shared" ca="1" si="95"/>
        <v>1996.4950187572049</v>
      </c>
      <c r="AF170" s="7">
        <f t="shared" ca="1" si="95"/>
        <v>2046.4073942261352</v>
      </c>
      <c r="AG170" s="7">
        <f t="shared" ca="1" si="95"/>
        <v>2097.5675790817882</v>
      </c>
      <c r="AH170" s="7">
        <f t="shared" ca="1" si="95"/>
        <v>2150.0067685588333</v>
      </c>
      <c r="AI170" s="7">
        <f t="shared" ca="1" si="95"/>
        <v>2203.7569377728037</v>
      </c>
      <c r="AJ170" s="7">
        <f t="shared" ca="1" si="95"/>
        <v>2258.8508612171236</v>
      </c>
      <c r="AK170" s="7">
        <f t="shared" ca="1" si="95"/>
        <v>2315.3221327475517</v>
      </c>
      <c r="AL170" s="7">
        <f t="shared" ca="1" si="95"/>
        <v>2373.20518606624</v>
      </c>
      <c r="AM170" s="7">
        <f t="shared" ca="1" si="95"/>
        <v>2432.5353157178965</v>
      </c>
    </row>
    <row r="171" spans="1:39" x14ac:dyDescent="0.2">
      <c r="A171" s="3" t="s">
        <v>36</v>
      </c>
      <c r="B171" s="14" t="str">
        <f>A163</f>
        <v>Gudja</v>
      </c>
      <c r="C171" s="7">
        <f t="shared" ref="C171:AM171" ca="1" si="96">IF(AND(C164&gt;0,C167=0),VLOOKUP($A163,$83:$92,C$1+2,FALSE),0)</f>
        <v>0</v>
      </c>
      <c r="D171" s="7">
        <f t="shared" ca="1" si="96"/>
        <v>0</v>
      </c>
      <c r="E171" s="7">
        <f t="shared" ca="1" si="96"/>
        <v>0</v>
      </c>
      <c r="F171" s="7">
        <f t="shared" ca="1" si="96"/>
        <v>0</v>
      </c>
      <c r="G171" s="7">
        <f t="shared" ca="1" si="96"/>
        <v>-287.15625085893407</v>
      </c>
      <c r="H171" s="7">
        <f t="shared" ca="1" si="96"/>
        <v>0</v>
      </c>
      <c r="I171" s="7">
        <f t="shared" ca="1" si="96"/>
        <v>0</v>
      </c>
      <c r="J171" s="7">
        <f t="shared" ca="1" si="96"/>
        <v>0</v>
      </c>
      <c r="K171" s="7">
        <f t="shared" ca="1" si="96"/>
        <v>0</v>
      </c>
      <c r="L171" s="7">
        <f t="shared" ca="1" si="96"/>
        <v>0</v>
      </c>
      <c r="M171" s="7">
        <f t="shared" ca="1" si="96"/>
        <v>0</v>
      </c>
      <c r="N171" s="7">
        <f t="shared" ca="1" si="96"/>
        <v>0</v>
      </c>
      <c r="O171" s="7">
        <f t="shared" ca="1" si="96"/>
        <v>0</v>
      </c>
      <c r="P171" s="7">
        <f t="shared" ca="1" si="96"/>
        <v>0</v>
      </c>
      <c r="Q171" s="7">
        <f t="shared" ca="1" si="96"/>
        <v>0</v>
      </c>
      <c r="R171" s="7">
        <f t="shared" ca="1" si="96"/>
        <v>0</v>
      </c>
      <c r="S171" s="7">
        <f t="shared" ca="1" si="96"/>
        <v>0</v>
      </c>
      <c r="T171" s="7">
        <f t="shared" ca="1" si="96"/>
        <v>0</v>
      </c>
      <c r="U171" s="7">
        <f t="shared" ca="1" si="96"/>
        <v>0</v>
      </c>
      <c r="V171" s="7">
        <f t="shared" ca="1" si="96"/>
        <v>0</v>
      </c>
      <c r="W171" s="7">
        <f t="shared" ca="1" si="96"/>
        <v>0</v>
      </c>
      <c r="X171" s="7">
        <f t="shared" ca="1" si="96"/>
        <v>0</v>
      </c>
      <c r="Y171" s="7">
        <f t="shared" ca="1" si="96"/>
        <v>0</v>
      </c>
      <c r="Z171" s="7">
        <f t="shared" ca="1" si="96"/>
        <v>0</v>
      </c>
      <c r="AA171" s="7">
        <f t="shared" ca="1" si="96"/>
        <v>0</v>
      </c>
      <c r="AB171" s="7">
        <f t="shared" ca="1" si="96"/>
        <v>0</v>
      </c>
      <c r="AC171" s="7">
        <f t="shared" ca="1" si="96"/>
        <v>0</v>
      </c>
      <c r="AD171" s="7">
        <f t="shared" ca="1" si="96"/>
        <v>0</v>
      </c>
      <c r="AE171" s="7">
        <f t="shared" ca="1" si="96"/>
        <v>0</v>
      </c>
      <c r="AF171" s="7">
        <f t="shared" ca="1" si="96"/>
        <v>0</v>
      </c>
      <c r="AG171" s="7">
        <f t="shared" ca="1" si="96"/>
        <v>0</v>
      </c>
      <c r="AH171" s="7">
        <f t="shared" ca="1" si="96"/>
        <v>0</v>
      </c>
      <c r="AI171" s="7">
        <f t="shared" ca="1" si="96"/>
        <v>0</v>
      </c>
      <c r="AJ171" s="7">
        <f t="shared" ca="1" si="96"/>
        <v>0</v>
      </c>
      <c r="AK171" s="7">
        <f t="shared" ca="1" si="96"/>
        <v>0</v>
      </c>
      <c r="AL171" s="7">
        <f t="shared" ca="1" si="96"/>
        <v>0</v>
      </c>
      <c r="AM171" s="7">
        <f t="shared" ca="1" si="96"/>
        <v>0</v>
      </c>
    </row>
    <row r="172" spans="1:39" x14ac:dyDescent="0.2">
      <c r="A172" s="3" t="s">
        <v>37</v>
      </c>
      <c r="C172" s="7">
        <f ca="1">-C165+SUM(C168:C171)</f>
        <v>0</v>
      </c>
      <c r="D172" s="7">
        <f t="shared" ref="D172" ca="1" si="97">-D165+SUM(D168:D171)</f>
        <v>0</v>
      </c>
      <c r="E172" s="7">
        <f t="shared" ref="E172:AM172" ca="1" si="98">-E165+SUM(E168:E171)</f>
        <v>0</v>
      </c>
      <c r="F172" s="7">
        <f t="shared" ca="1" si="98"/>
        <v>0</v>
      </c>
      <c r="G172" s="7">
        <f t="shared" ca="1" si="98"/>
        <v>75871.324876383558</v>
      </c>
      <c r="H172" s="7">
        <f t="shared" ca="1" si="98"/>
        <v>-3698.9004300260422</v>
      </c>
      <c r="I172" s="7">
        <f t="shared" ca="1" si="98"/>
        <v>-3815.5244839912771</v>
      </c>
      <c r="J172" s="7">
        <f t="shared" ca="1" si="98"/>
        <v>-3935.7886856020796</v>
      </c>
      <c r="K172" s="7">
        <f t="shared" ca="1" si="98"/>
        <v>-4059.8057749384839</v>
      </c>
      <c r="L172" s="7">
        <f t="shared" ca="1" si="98"/>
        <v>-4187.6919626741874</v>
      </c>
      <c r="M172" s="7">
        <f t="shared" ca="1" si="98"/>
        <v>-4319.5670364041525</v>
      </c>
      <c r="N172" s="7">
        <f t="shared" ca="1" si="98"/>
        <v>-4455.5544702172592</v>
      </c>
      <c r="O172" s="7">
        <f t="shared" ca="1" si="98"/>
        <v>-4595.7815376127837</v>
      </c>
      <c r="P172" s="7">
        <f t="shared" ca="1" si="98"/>
        <v>-4740.3794278623991</v>
      </c>
      <c r="Q172" s="7">
        <f t="shared" ca="1" si="98"/>
        <v>-4889.4833659225333</v>
      </c>
      <c r="R172" s="7">
        <f t="shared" ca="1" si="98"/>
        <v>-5043.2327360050776</v>
      </c>
      <c r="S172" s="7">
        <f t="shared" ca="1" si="98"/>
        <v>-5201.7712089177212</v>
      </c>
      <c r="T172" s="7">
        <f t="shared" ca="1" si="98"/>
        <v>-5365.2468732885554</v>
      </c>
      <c r="U172" s="7">
        <f t="shared" ca="1" si="98"/>
        <v>-5533.8123707930981</v>
      </c>
      <c r="V172" s="7">
        <f t="shared" ca="1" si="98"/>
        <v>-5707.6250355054235</v>
      </c>
      <c r="W172" s="7">
        <f t="shared" ca="1" si="98"/>
        <v>-5886.8470374988319</v>
      </c>
      <c r="X172" s="7">
        <f t="shared" ca="1" si="98"/>
        <v>-6071.6455308252498</v>
      </c>
      <c r="Y172" s="7">
        <f t="shared" ca="1" si="98"/>
        <v>-6262.1928060064956</v>
      </c>
      <c r="Z172" s="7">
        <f t="shared" ca="1" si="98"/>
        <v>-6458.6664471745908</v>
      </c>
      <c r="AA172" s="7">
        <f t="shared" ca="1" si="98"/>
        <v>-6661.2494940024262</v>
      </c>
      <c r="AB172" s="7">
        <f t="shared" ca="1" si="98"/>
        <v>-6870.1306085704127</v>
      </c>
      <c r="AC172" s="7">
        <f t="shared" ca="1" si="98"/>
        <v>-7085.5042473191361</v>
      </c>
      <c r="AD172" s="7">
        <f t="shared" ca="1" si="98"/>
        <v>-7307.5708382426119</v>
      </c>
      <c r="AE172" s="7">
        <f t="shared" ca="1" si="98"/>
        <v>-7536.5369634813887</v>
      </c>
      <c r="AF172" s="7">
        <f t="shared" ca="1" si="98"/>
        <v>-7772.615547479616</v>
      </c>
      <c r="AG172" s="7">
        <f t="shared" ca="1" si="98"/>
        <v>-8016.0260508751362</v>
      </c>
      <c r="AH172" s="7">
        <f t="shared" ca="1" si="98"/>
        <v>-8266.9946702967991</v>
      </c>
      <c r="AI172" s="7">
        <f t="shared" ca="1" si="98"/>
        <v>-8525.7545442484989</v>
      </c>
      <c r="AJ172" s="7">
        <f t="shared" ca="1" si="98"/>
        <v>-8792.5459652648169</v>
      </c>
      <c r="AK172" s="7">
        <f t="shared" ca="1" si="98"/>
        <v>-9067.616598528848</v>
      </c>
      <c r="AL172" s="7">
        <f t="shared" ca="1" si="98"/>
        <v>-9351.221707148452</v>
      </c>
      <c r="AM172" s="7">
        <f t="shared" ca="1" si="98"/>
        <v>-9643.6243842932363</v>
      </c>
    </row>
    <row r="173" spans="1:39" x14ac:dyDescent="0.2">
      <c r="A173" s="3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x14ac:dyDescent="0.2">
      <c r="A174" s="3" t="s">
        <v>71</v>
      </c>
      <c r="C174" s="7">
        <f ca="1">C160+SUM($C172:C172)</f>
        <v>12809.375000000015</v>
      </c>
      <c r="D174" s="7">
        <f ca="1">D160+SUM($C172:D172)</f>
        <v>24162.215625000026</v>
      </c>
      <c r="E174" s="7">
        <f ca="1">E160+SUM($C172:E172)</f>
        <v>58836.638502582922</v>
      </c>
      <c r="F174" s="7">
        <f ca="1">F160+SUM($C172:F172)</f>
        <v>86558.722373523749</v>
      </c>
      <c r="G174" s="7">
        <f ca="1">G160+SUM($C172:G172)</f>
        <v>103289.44834582484</v>
      </c>
      <c r="H174" s="7">
        <f ca="1">H160+SUM($C172:H172)</f>
        <v>42169.975028247296</v>
      </c>
      <c r="I174" s="7">
        <f ca="1">I160+SUM($C172:I172)</f>
        <v>5115.9212960884106</v>
      </c>
      <c r="J174" s="7">
        <f ca="1">J160+SUM($C172:J172)</f>
        <v>-32619.752064146902</v>
      </c>
      <c r="K174" s="7">
        <f ca="1">K160+SUM($C172:K172)</f>
        <v>-88234.853638562898</v>
      </c>
      <c r="L174" s="7">
        <f ca="1">L160+SUM($C172:L172)</f>
        <v>-61898.348499044187</v>
      </c>
      <c r="M174" s="7">
        <f ca="1">M160+SUM($C172:M172)</f>
        <v>-129828.07821735088</v>
      </c>
      <c r="N174" s="7">
        <f ca="1">N160+SUM($C172:N172)</f>
        <v>-149392.37089947512</v>
      </c>
      <c r="O174" s="7">
        <f ca="1">O160+SUM($C172:O172)</f>
        <v>-169235.25199747985</v>
      </c>
      <c r="P174" s="7">
        <f ca="1">P160+SUM($C172:P172)</f>
        <v>-189357.37065472669</v>
      </c>
      <c r="Q174" s="7">
        <f ca="1">Q160+SUM($C172:Q172)</f>
        <v>-209759.20277615069</v>
      </c>
      <c r="R174" s="7">
        <f ca="1">R160+SUM($C172:R172)</f>
        <v>-230441.04101328866</v>
      </c>
      <c r="S174" s="7">
        <f ca="1">S160+SUM($C172:S172)</f>
        <v>-251402.98432841364</v>
      </c>
      <c r="T174" s="7">
        <f ca="1">T160+SUM($C172:T172)</f>
        <v>-254689.83164024766</v>
      </c>
      <c r="U174" s="7">
        <f ca="1">U160+SUM($C172:U172)</f>
        <v>-250009.18596893706</v>
      </c>
      <c r="V174" s="7">
        <f ca="1">V160+SUM($C172:V172)</f>
        <v>-244952.61246111331</v>
      </c>
      <c r="W174" s="7">
        <f ca="1">W160+SUM($C172:W172)</f>
        <v>-239502.94557002193</v>
      </c>
      <c r="X174" s="7">
        <f ca="1">X160+SUM($C172:X172)</f>
        <v>-233642.35758971394</v>
      </c>
      <c r="Y174" s="7">
        <f ca="1">Y160+SUM($C172:Y172)</f>
        <v>-248011.19188141185</v>
      </c>
      <c r="Z174" s="7">
        <f ca="1">Z160+SUM($C172:Z172)</f>
        <v>-262447.83963697136</v>
      </c>
      <c r="AA174" s="7">
        <f ca="1">AA160+SUM($C172:AA172)</f>
        <v>-276945.253971186</v>
      </c>
      <c r="AB174" s="7">
        <f ca="1">AB160+SUM($C172:AB172)</f>
        <v>-291495.94956006517</v>
      </c>
      <c r="AC174" s="7">
        <f ca="1">AC160+SUM($C172:AC172)</f>
        <v>-306091.98381186463</v>
      </c>
      <c r="AD174" s="7">
        <f ca="1">AD160+SUM($C172:AD172)</f>
        <v>-320724.93733135349</v>
      </c>
      <c r="AE174" s="7">
        <f ca="1">AE160+SUM($C172:AE172)</f>
        <v>-325403.41855877975</v>
      </c>
      <c r="AF174" s="7">
        <f ca="1">AF160+SUM($C172:AF172)</f>
        <v>-329850.90614953998</v>
      </c>
      <c r="AG174" s="7">
        <f ca="1">AG160+SUM($C172:AG172)</f>
        <v>-334051.18659269699</v>
      </c>
      <c r="AH174" s="7">
        <f ca="1">AH160+SUM($C172:AH172)</f>
        <v>-337987.3278794394</v>
      </c>
      <c r="AI174" s="7">
        <f ca="1">AI160+SUM($C172:AI172)</f>
        <v>-341641.65214583219</v>
      </c>
      <c r="AJ174" s="7">
        <f ca="1">AJ160+SUM($C172:AJ172)</f>
        <v>-344995.70734979096</v>
      </c>
      <c r="AK174" s="7">
        <f ca="1">AK160+SUM($C172:AK172)</f>
        <v>-348030.23794968223</v>
      </c>
      <c r="AL174" s="7">
        <f ca="1">AL160+SUM($C172:AL172)</f>
        <v>-350725.15455087903</v>
      </c>
      <c r="AM174" s="7">
        <f ca="1">AM160+SUM($C172:AM172)</f>
        <v>-353059.50248550344</v>
      </c>
    </row>
    <row r="175" spans="1:39" x14ac:dyDescent="0.2">
      <c r="A175" s="3" t="s">
        <v>68</v>
      </c>
      <c r="C175" s="7">
        <f t="shared" ref="C175:AM175" ca="1" si="99">MAX(C174+buffer,0)-MAX(C160+buffer,0)</f>
        <v>0</v>
      </c>
      <c r="D175" s="7">
        <f t="shared" ca="1" si="99"/>
        <v>0</v>
      </c>
      <c r="E175" s="7">
        <f t="shared" ca="1" si="99"/>
        <v>0</v>
      </c>
      <c r="F175" s="7">
        <f t="shared" ca="1" si="99"/>
        <v>0</v>
      </c>
      <c r="G175" s="7">
        <f t="shared" ca="1" si="99"/>
        <v>75871.324876383558</v>
      </c>
      <c r="H175" s="7">
        <f t="shared" ca="1" si="99"/>
        <v>72172.424446357516</v>
      </c>
      <c r="I175" s="7">
        <f t="shared" ca="1" si="99"/>
        <v>55115.921296088411</v>
      </c>
      <c r="J175" s="7">
        <f t="shared" ca="1" si="99"/>
        <v>17380.247935853098</v>
      </c>
      <c r="K175" s="7">
        <f t="shared" ca="1" si="99"/>
        <v>0</v>
      </c>
      <c r="L175" s="7">
        <f t="shared" ca="1" si="99"/>
        <v>0</v>
      </c>
      <c r="M175" s="7">
        <f t="shared" ca="1" si="99"/>
        <v>0</v>
      </c>
      <c r="N175" s="7">
        <f t="shared" ca="1" si="99"/>
        <v>0</v>
      </c>
      <c r="O175" s="7">
        <f t="shared" ca="1" si="99"/>
        <v>0</v>
      </c>
      <c r="P175" s="7">
        <f t="shared" ca="1" si="99"/>
        <v>0</v>
      </c>
      <c r="Q175" s="7">
        <f t="shared" ca="1" si="99"/>
        <v>0</v>
      </c>
      <c r="R175" s="7">
        <f t="shared" ca="1" si="99"/>
        <v>0</v>
      </c>
      <c r="S175" s="7">
        <f t="shared" ca="1" si="99"/>
        <v>0</v>
      </c>
      <c r="T175" s="7">
        <f t="shared" ca="1" si="99"/>
        <v>0</v>
      </c>
      <c r="U175" s="7">
        <f t="shared" ca="1" si="99"/>
        <v>0</v>
      </c>
      <c r="V175" s="7">
        <f t="shared" ca="1" si="99"/>
        <v>0</v>
      </c>
      <c r="W175" s="7">
        <f t="shared" ca="1" si="99"/>
        <v>0</v>
      </c>
      <c r="X175" s="7">
        <f t="shared" ca="1" si="99"/>
        <v>0</v>
      </c>
      <c r="Y175" s="7">
        <f t="shared" ca="1" si="99"/>
        <v>0</v>
      </c>
      <c r="Z175" s="7">
        <f t="shared" ca="1" si="99"/>
        <v>0</v>
      </c>
      <c r="AA175" s="7">
        <f t="shared" ca="1" si="99"/>
        <v>0</v>
      </c>
      <c r="AB175" s="7">
        <f t="shared" ca="1" si="99"/>
        <v>0</v>
      </c>
      <c r="AC175" s="7">
        <f t="shared" ca="1" si="99"/>
        <v>0</v>
      </c>
      <c r="AD175" s="7">
        <f t="shared" ca="1" si="99"/>
        <v>0</v>
      </c>
      <c r="AE175" s="7">
        <f t="shared" ca="1" si="99"/>
        <v>0</v>
      </c>
      <c r="AF175" s="7">
        <f t="shared" ca="1" si="99"/>
        <v>0</v>
      </c>
      <c r="AG175" s="7">
        <f t="shared" ca="1" si="99"/>
        <v>0</v>
      </c>
      <c r="AH175" s="7">
        <f t="shared" ca="1" si="99"/>
        <v>0</v>
      </c>
      <c r="AI175" s="7">
        <f t="shared" ca="1" si="99"/>
        <v>0</v>
      </c>
      <c r="AJ175" s="7">
        <f t="shared" ca="1" si="99"/>
        <v>0</v>
      </c>
      <c r="AK175" s="7">
        <f t="shared" ca="1" si="99"/>
        <v>0</v>
      </c>
      <c r="AL175" s="7">
        <f t="shared" ca="1" si="99"/>
        <v>0</v>
      </c>
      <c r="AM175" s="7">
        <f t="shared" ca="1" si="99"/>
        <v>0</v>
      </c>
    </row>
    <row r="176" spans="1:39" x14ac:dyDescent="0.2">
      <c r="A176" s="3" t="s">
        <v>69</v>
      </c>
      <c r="C176" s="7">
        <f ca="1">C175*Inputs!$B$259</f>
        <v>0</v>
      </c>
      <c r="D176" s="7">
        <f ca="1">D175*Inputs!$B$259</f>
        <v>0</v>
      </c>
      <c r="E176" s="7">
        <f ca="1">E175*Inputs!$B$259</f>
        <v>0</v>
      </c>
      <c r="F176" s="7">
        <f ca="1">F175*Inputs!$B$259</f>
        <v>0</v>
      </c>
      <c r="G176" s="7">
        <f ca="1">G175*Inputs!$B$259</f>
        <v>1896.783121909589</v>
      </c>
      <c r="H176" s="7">
        <f ca="1">H175*Inputs!$B$259</f>
        <v>1804.3106111589379</v>
      </c>
      <c r="I176" s="7">
        <f ca="1">I175*Inputs!$B$259</f>
        <v>1377.8980324022104</v>
      </c>
      <c r="J176" s="7">
        <f ca="1">J175*Inputs!$B$259</f>
        <v>434.50619839632748</v>
      </c>
      <c r="K176" s="7">
        <f ca="1">K175*Inputs!$B$259</f>
        <v>0</v>
      </c>
      <c r="L176" s="7">
        <f ca="1">L175*Inputs!$B$259</f>
        <v>0</v>
      </c>
      <c r="M176" s="7">
        <f ca="1">M175*Inputs!$B$259</f>
        <v>0</v>
      </c>
      <c r="N176" s="7">
        <f ca="1">N175*Inputs!$B$259</f>
        <v>0</v>
      </c>
      <c r="O176" s="7">
        <f ca="1">O175*Inputs!$B$259</f>
        <v>0</v>
      </c>
      <c r="P176" s="7">
        <f ca="1">P175*Inputs!$B$259</f>
        <v>0</v>
      </c>
      <c r="Q176" s="7">
        <f ca="1">Q175*Inputs!$B$259</f>
        <v>0</v>
      </c>
      <c r="R176" s="7">
        <f ca="1">R175*Inputs!$B$259</f>
        <v>0</v>
      </c>
      <c r="S176" s="7">
        <f ca="1">S175*Inputs!$B$259</f>
        <v>0</v>
      </c>
      <c r="T176" s="7">
        <f ca="1">T175*Inputs!$B$259</f>
        <v>0</v>
      </c>
      <c r="U176" s="7">
        <f ca="1">U175*Inputs!$B$259</f>
        <v>0</v>
      </c>
      <c r="V176" s="7">
        <f ca="1">V175*Inputs!$B$259</f>
        <v>0</v>
      </c>
      <c r="W176" s="7">
        <f ca="1">W175*Inputs!$B$259</f>
        <v>0</v>
      </c>
      <c r="X176" s="7">
        <f ca="1">X175*Inputs!$B$259</f>
        <v>0</v>
      </c>
      <c r="Y176" s="7">
        <f ca="1">Y175*Inputs!$B$259</f>
        <v>0</v>
      </c>
      <c r="Z176" s="7">
        <f ca="1">Z175*Inputs!$B$259</f>
        <v>0</v>
      </c>
      <c r="AA176" s="7">
        <f ca="1">AA175*Inputs!$B$259</f>
        <v>0</v>
      </c>
      <c r="AB176" s="7">
        <f ca="1">AB175*Inputs!$B$259</f>
        <v>0</v>
      </c>
      <c r="AC176" s="7">
        <f ca="1">AC175*Inputs!$B$259</f>
        <v>0</v>
      </c>
      <c r="AD176" s="7">
        <f ca="1">AD175*Inputs!$B$259</f>
        <v>0</v>
      </c>
      <c r="AE176" s="7">
        <f ca="1">AE175*Inputs!$B$259</f>
        <v>0</v>
      </c>
      <c r="AF176" s="7">
        <f ca="1">AF175*Inputs!$B$259</f>
        <v>0</v>
      </c>
      <c r="AG176" s="7">
        <f ca="1">AG175*Inputs!$B$259</f>
        <v>0</v>
      </c>
      <c r="AH176" s="7">
        <f ca="1">AH175*Inputs!$B$259</f>
        <v>0</v>
      </c>
      <c r="AI176" s="7">
        <f ca="1">AI175*Inputs!$B$259</f>
        <v>0</v>
      </c>
      <c r="AJ176" s="7">
        <f ca="1">AJ175*Inputs!$B$259</f>
        <v>0</v>
      </c>
      <c r="AK176" s="7">
        <f ca="1">AK175*Inputs!$B$259</f>
        <v>0</v>
      </c>
      <c r="AL176" s="7">
        <f ca="1">AL175*Inputs!$B$259</f>
        <v>0</v>
      </c>
      <c r="AM176" s="7">
        <f ca="1">AM175*Inputs!$B$259</f>
        <v>0</v>
      </c>
    </row>
    <row r="177" spans="1:39" x14ac:dyDescent="0.2">
      <c r="A177" s="3" t="s">
        <v>150</v>
      </c>
      <c r="C177" s="7">
        <f ca="1">C174+SUM($C176:C176)</f>
        <v>12809.375000000015</v>
      </c>
      <c r="D177" s="7">
        <f ca="1">D174+SUM($C176:D176)</f>
        <v>24162.215625000026</v>
      </c>
      <c r="E177" s="7">
        <f ca="1">E174+SUM($C176:E176)</f>
        <v>58836.638502582922</v>
      </c>
      <c r="F177" s="7">
        <f ca="1">F174+SUM($C176:F176)</f>
        <v>86558.722373523749</v>
      </c>
      <c r="G177" s="7">
        <f ca="1">G174+SUM($C176:G176)</f>
        <v>105186.23146773443</v>
      </c>
      <c r="H177" s="7">
        <f ca="1">H174+SUM($C176:H176)</f>
        <v>45871.068761315822</v>
      </c>
      <c r="I177" s="7">
        <f ca="1">I174+SUM($C176:I176)</f>
        <v>10194.913061559148</v>
      </c>
      <c r="J177" s="7">
        <f ca="1">J174+SUM($C176:J176)</f>
        <v>-27106.254100279839</v>
      </c>
      <c r="K177" s="7">
        <f ca="1">K174+SUM($C176:K176)</f>
        <v>-82721.355674695835</v>
      </c>
      <c r="L177" s="7">
        <f ca="1">L174+SUM($C176:L176)</f>
        <v>-56384.850535177124</v>
      </c>
      <c r="M177" s="7">
        <f ca="1">M174+SUM($C176:M176)</f>
        <v>-124314.58025348381</v>
      </c>
      <c r="N177" s="7">
        <f ca="1">N174+SUM($C176:N176)</f>
        <v>-143878.87293560806</v>
      </c>
      <c r="O177" s="7">
        <f ca="1">O174+SUM($C176:O176)</f>
        <v>-163721.75403361279</v>
      </c>
      <c r="P177" s="7">
        <f ca="1">P174+SUM($C176:P176)</f>
        <v>-183843.87269085963</v>
      </c>
      <c r="Q177" s="7">
        <f ca="1">Q174+SUM($C176:Q176)</f>
        <v>-204245.70481228363</v>
      </c>
      <c r="R177" s="7">
        <f ca="1">R174+SUM($C176:R176)</f>
        <v>-224927.5430494216</v>
      </c>
      <c r="S177" s="7">
        <f ca="1">S174+SUM($C176:S176)</f>
        <v>-245889.48636454658</v>
      </c>
      <c r="T177" s="7">
        <f ca="1">T174+SUM($C176:T176)</f>
        <v>-249176.3336763806</v>
      </c>
      <c r="U177" s="7">
        <f ca="1">U174+SUM($C176:U176)</f>
        <v>-244495.68800507</v>
      </c>
      <c r="V177" s="7">
        <f ca="1">V174+SUM($C176:V176)</f>
        <v>-239439.11449724625</v>
      </c>
      <c r="W177" s="7">
        <f ca="1">W174+SUM($C176:W176)</f>
        <v>-233989.44760615486</v>
      </c>
      <c r="X177" s="7">
        <f ca="1">X174+SUM($C176:X176)</f>
        <v>-228128.85962584688</v>
      </c>
      <c r="Y177" s="7">
        <f ca="1">Y174+SUM($C176:Y176)</f>
        <v>-242497.69391754479</v>
      </c>
      <c r="Z177" s="7">
        <f ca="1">Z174+SUM($C176:Z176)</f>
        <v>-256934.3416731043</v>
      </c>
      <c r="AA177" s="7">
        <f ca="1">AA174+SUM($C176:AA176)</f>
        <v>-271431.75600731891</v>
      </c>
      <c r="AB177" s="7">
        <f ca="1">AB174+SUM($C176:AB176)</f>
        <v>-285982.45159619808</v>
      </c>
      <c r="AC177" s="7">
        <f ca="1">AC174+SUM($C176:AC176)</f>
        <v>-300578.48584799754</v>
      </c>
      <c r="AD177" s="7">
        <f ca="1">AD174+SUM($C176:AD176)</f>
        <v>-315211.4393674864</v>
      </c>
      <c r="AE177" s="7">
        <f ca="1">AE174+SUM($C176:AE176)</f>
        <v>-319889.92059491266</v>
      </c>
      <c r="AF177" s="7">
        <f ca="1">AF174+SUM($C176:AF176)</f>
        <v>-324337.40818567289</v>
      </c>
      <c r="AG177" s="7">
        <f ca="1">AG174+SUM($C176:AG176)</f>
        <v>-328537.6886288299</v>
      </c>
      <c r="AH177" s="7">
        <f ca="1">AH174+SUM($C176:AH176)</f>
        <v>-332473.82991557231</v>
      </c>
      <c r="AI177" s="7">
        <f ca="1">AI174+SUM($C176:AI176)</f>
        <v>-336128.1541819651</v>
      </c>
      <c r="AJ177" s="7">
        <f ca="1">AJ174+SUM($C176:AJ176)</f>
        <v>-339482.20938592387</v>
      </c>
      <c r="AK177" s="7">
        <f ca="1">AK174+SUM($C176:AK176)</f>
        <v>-342516.73998581513</v>
      </c>
      <c r="AL177" s="7">
        <f ca="1">AL174+SUM($C176:AL176)</f>
        <v>-345211.65658701194</v>
      </c>
      <c r="AM177" s="7">
        <f ca="1">AM174+SUM($C176:AM176)</f>
        <v>-347546.00452163635</v>
      </c>
    </row>
    <row r="178" spans="1:39" x14ac:dyDescent="0.2">
      <c r="A178" s="3" t="s">
        <v>20</v>
      </c>
      <c r="C178" s="7">
        <f ca="1">IF(C177&lt;0,-C177,0)</f>
        <v>0</v>
      </c>
      <c r="D178" s="7">
        <f ca="1">IF(D177+SUM($C178:C178)&lt;0,-(D177+SUM($C178:C178)),0)</f>
        <v>0</v>
      </c>
      <c r="E178" s="7">
        <f ca="1">IF(E177+SUM($C178:D178)&lt;0,-(E177+SUM($C178:D178)),0)</f>
        <v>0</v>
      </c>
      <c r="F178" s="7">
        <f ca="1">IF(F177+SUM($C178:E178)&lt;0,-(F177+SUM($C178:E178)),0)</f>
        <v>0</v>
      </c>
      <c r="G178" s="7">
        <f ca="1">IF(G177+SUM($C178:F178)&lt;0,-(G177+SUM($C178:F178)),0)</f>
        <v>0</v>
      </c>
      <c r="H178" s="7">
        <f ca="1">IF(H177+SUM($C178:G178)&lt;0,-(H177+SUM($C178:G178)),0)</f>
        <v>0</v>
      </c>
      <c r="I178" s="7">
        <f ca="1">IF(I177+SUM($C178:H178)&lt;0,-(I177+SUM($C178:H178)),0)</f>
        <v>0</v>
      </c>
      <c r="J178" s="7">
        <f ca="1">IF(J177+SUM($C178:I178)&lt;0,-(J177+SUM($C178:I178)),0)</f>
        <v>27106.254100279839</v>
      </c>
      <c r="K178" s="7">
        <f ca="1">IF(K177+SUM($C178:J178)&lt;0,-(K177+SUM($C178:J178)),0)</f>
        <v>55615.101574415996</v>
      </c>
      <c r="L178" s="7">
        <f ca="1">IF(L177+SUM($C178:K178)&lt;0,-(L177+SUM($C178:K178)),0)</f>
        <v>0</v>
      </c>
      <c r="M178" s="7">
        <f ca="1">IF(M177+SUM($C178:L178)&lt;0,-(M177+SUM($C178:L178)),0)</f>
        <v>41593.22457878798</v>
      </c>
      <c r="N178" s="7">
        <f ca="1">IF(N177+SUM($C178:M178)&lt;0,-(N177+SUM($C178:M178)),0)</f>
        <v>19564.292682124244</v>
      </c>
      <c r="O178" s="7">
        <f ca="1">IF(O177+SUM($C178:N178)&lt;0,-(O177+SUM($C178:N178)),0)</f>
        <v>19842.881098004727</v>
      </c>
      <c r="P178" s="7">
        <f ca="1">IF(P177+SUM($C178:O178)&lt;0,-(P177+SUM($C178:O178)),0)</f>
        <v>20122.118657246843</v>
      </c>
      <c r="Q178" s="7">
        <f ca="1">IF(Q177+SUM($C178:P178)&lt;0,-(Q177+SUM($C178:P178)),0)</f>
        <v>20401.832121423999</v>
      </c>
      <c r="R178" s="7">
        <f ca="1">IF(R177+SUM($C178:Q178)&lt;0,-(R177+SUM($C178:Q178)),0)</f>
        <v>20681.83823713797</v>
      </c>
      <c r="S178" s="7">
        <f ca="1">IF(S177+SUM($C178:R178)&lt;0,-(S177+SUM($C178:R178)),0)</f>
        <v>20961.943315124983</v>
      </c>
      <c r="T178" s="7">
        <f ca="1">IF(T177+SUM($C178:S178)&lt;0,-(T177+SUM($C178:S178)),0)</f>
        <v>3286.8473118340189</v>
      </c>
      <c r="U178" s="7">
        <f ca="1">IF(U177+SUM($C178:T178)&lt;0,-(U177+SUM($C178:T178)),0)</f>
        <v>0</v>
      </c>
      <c r="V178" s="7">
        <f ca="1">IF(V177+SUM($C178:U178)&lt;0,-(V177+SUM($C178:U178)),0)</f>
        <v>0</v>
      </c>
      <c r="W178" s="7">
        <f ca="1">IF(W177+SUM($C178:V178)&lt;0,-(W177+SUM($C178:V178)),0)</f>
        <v>0</v>
      </c>
      <c r="X178" s="7">
        <f ca="1">IF(X177+SUM($C178:W178)&lt;0,-(X177+SUM($C178:W178)),0)</f>
        <v>0</v>
      </c>
      <c r="Y178" s="7">
        <f ca="1">IF(Y177+SUM($C178:X178)&lt;0,-(Y177+SUM($C178:X178)),0)</f>
        <v>0</v>
      </c>
      <c r="Z178" s="7">
        <f ca="1">IF(Z177+SUM($C178:Y178)&lt;0,-(Z177+SUM($C178:Y178)),0)</f>
        <v>7758.0079967236961</v>
      </c>
      <c r="AA178" s="7">
        <f ca="1">IF(AA177+SUM($C178:Z178)&lt;0,-(AA177+SUM($C178:Z178)),0)</f>
        <v>14497.414334214613</v>
      </c>
      <c r="AB178" s="7">
        <f ca="1">IF(AB177+SUM($C178:AA178)&lt;0,-(AB177+SUM($C178:AA178)),0)</f>
        <v>14550.695588879171</v>
      </c>
      <c r="AC178" s="7">
        <f ca="1">IF(AC177+SUM($C178:AB178)&lt;0,-(AC177+SUM($C178:AB178)),0)</f>
        <v>14596.034251799458</v>
      </c>
      <c r="AD178" s="7">
        <f ca="1">IF(AD177+SUM($C178:AC178)&lt;0,-(AD177+SUM($C178:AC178)),0)</f>
        <v>14632.953519488859</v>
      </c>
      <c r="AE178" s="7">
        <f ca="1">IF(AE177+SUM($C178:AD178)&lt;0,-(AE177+SUM($C178:AD178)),0)</f>
        <v>4678.4812274262658</v>
      </c>
      <c r="AF178" s="7">
        <f ca="1">IF(AF177+SUM($C178:AE178)&lt;0,-(AF177+SUM($C178:AE178)),0)</f>
        <v>4447.4875907602254</v>
      </c>
      <c r="AG178" s="7">
        <f ca="1">IF(AG177+SUM($C178:AF178)&lt;0,-(AG177+SUM($C178:AF178)),0)</f>
        <v>4200.2804431570112</v>
      </c>
      <c r="AH178" s="7">
        <f ca="1">IF(AH177+SUM($C178:AG178)&lt;0,-(AH177+SUM($C178:AG178)),0)</f>
        <v>3936.1412867424078</v>
      </c>
      <c r="AI178" s="7">
        <f ca="1">IF(AI177+SUM($C178:AH178)&lt;0,-(AI177+SUM($C178:AH178)),0)</f>
        <v>3654.3242663927958</v>
      </c>
      <c r="AJ178" s="7">
        <f ca="1">IF(AJ177+SUM($C178:AI178)&lt;0,-(AJ177+SUM($C178:AI178)),0)</f>
        <v>3354.0552039587637</v>
      </c>
      <c r="AK178" s="7">
        <f ca="1">IF(AK177+SUM($C178:AJ178)&lt;0,-(AK177+SUM($C178:AJ178)),0)</f>
        <v>3034.5305998912663</v>
      </c>
      <c r="AL178" s="7">
        <f ca="1">IF(AL177+SUM($C178:AK178)&lt;0,-(AL177+SUM($C178:AK178)),0)</f>
        <v>2694.9166011968045</v>
      </c>
      <c r="AM178" s="7">
        <f ca="1">IF(AM177+SUM($C178:AL178)&lt;0,-(AM177+SUM($C178:AL178)),0)</f>
        <v>2334.347934624413</v>
      </c>
    </row>
    <row r="179" spans="1:39" x14ac:dyDescent="0.2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">
      <c r="A180" s="24" t="str">
        <f>IF(Inputs!$B$279=6,IFERROR(_xlfn.XLOOKUP($B180,Inputs!$B$280:$B$289,Inputs!$A$280:$A$289,,0,1),""),IFERROR(_xlfn.XLOOKUP($B180,Inputs!$C$280:$C$289,Inputs!$A$280:$A$289,,0,1),""))</f>
        <v>Antiques</v>
      </c>
      <c r="B180" s="26">
        <v>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">
      <c r="A181" s="3" t="s">
        <v>22</v>
      </c>
      <c r="C181" s="7">
        <f ca="1">IFERROR(VLOOKUP($A180,$A$65:$H$94,C$1+2,FALSE),0)</f>
        <v>83364.406415412173</v>
      </c>
      <c r="D181" s="7">
        <f ca="1">C184</f>
        <v>83364.406415412173</v>
      </c>
      <c r="E181" s="7">
        <f t="shared" ref="E181:AM181" ca="1" si="100">D184</f>
        <v>85031.694543720412</v>
      </c>
      <c r="F181" s="7">
        <f t="shared" ca="1" si="100"/>
        <v>86732.32843459482</v>
      </c>
      <c r="G181" s="7">
        <f t="shared" ca="1" si="100"/>
        <v>88466.975003286716</v>
      </c>
      <c r="H181" s="7">
        <f t="shared" ca="1" si="100"/>
        <v>90236.314503352449</v>
      </c>
      <c r="I181" s="7">
        <f t="shared" ca="1" si="100"/>
        <v>92041.040793419495</v>
      </c>
      <c r="J181" s="7">
        <f t="shared" ca="1" si="100"/>
        <v>0</v>
      </c>
      <c r="K181" s="7">
        <f t="shared" ca="1" si="100"/>
        <v>0</v>
      </c>
      <c r="L181" s="7">
        <f t="shared" ca="1" si="100"/>
        <v>0</v>
      </c>
      <c r="M181" s="7">
        <f t="shared" ca="1" si="100"/>
        <v>0</v>
      </c>
      <c r="N181" s="7">
        <f t="shared" ca="1" si="100"/>
        <v>0</v>
      </c>
      <c r="O181" s="7">
        <f t="shared" ca="1" si="100"/>
        <v>0</v>
      </c>
      <c r="P181" s="7">
        <f t="shared" ca="1" si="100"/>
        <v>0</v>
      </c>
      <c r="Q181" s="7">
        <f t="shared" ca="1" si="100"/>
        <v>0</v>
      </c>
      <c r="R181" s="7">
        <f t="shared" ca="1" si="100"/>
        <v>0</v>
      </c>
      <c r="S181" s="7">
        <f t="shared" ca="1" si="100"/>
        <v>0</v>
      </c>
      <c r="T181" s="7">
        <f t="shared" ca="1" si="100"/>
        <v>0</v>
      </c>
      <c r="U181" s="7">
        <f t="shared" ca="1" si="100"/>
        <v>0</v>
      </c>
      <c r="V181" s="7">
        <f t="shared" ca="1" si="100"/>
        <v>0</v>
      </c>
      <c r="W181" s="7">
        <f t="shared" ca="1" si="100"/>
        <v>0</v>
      </c>
      <c r="X181" s="7">
        <f t="shared" ca="1" si="100"/>
        <v>0</v>
      </c>
      <c r="Y181" s="7">
        <f t="shared" ca="1" si="100"/>
        <v>0</v>
      </c>
      <c r="Z181" s="7">
        <f t="shared" ca="1" si="100"/>
        <v>0</v>
      </c>
      <c r="AA181" s="7">
        <f t="shared" ca="1" si="100"/>
        <v>0</v>
      </c>
      <c r="AB181" s="7">
        <f t="shared" ca="1" si="100"/>
        <v>0</v>
      </c>
      <c r="AC181" s="7">
        <f t="shared" ca="1" si="100"/>
        <v>0</v>
      </c>
      <c r="AD181" s="7">
        <f t="shared" ca="1" si="100"/>
        <v>0</v>
      </c>
      <c r="AE181" s="7">
        <f t="shared" ca="1" si="100"/>
        <v>0</v>
      </c>
      <c r="AF181" s="7">
        <f t="shared" ca="1" si="100"/>
        <v>0</v>
      </c>
      <c r="AG181" s="7">
        <f t="shared" ca="1" si="100"/>
        <v>0</v>
      </c>
      <c r="AH181" s="7">
        <f t="shared" ca="1" si="100"/>
        <v>0</v>
      </c>
      <c r="AI181" s="7">
        <f t="shared" ca="1" si="100"/>
        <v>0</v>
      </c>
      <c r="AJ181" s="7">
        <f t="shared" ca="1" si="100"/>
        <v>0</v>
      </c>
      <c r="AK181" s="7">
        <f t="shared" ca="1" si="100"/>
        <v>0</v>
      </c>
      <c r="AL181" s="7">
        <f t="shared" ca="1" si="100"/>
        <v>0</v>
      </c>
      <c r="AM181" s="7">
        <f t="shared" ca="1" si="100"/>
        <v>0</v>
      </c>
    </row>
    <row r="182" spans="1:39" x14ac:dyDescent="0.2">
      <c r="A182" s="3" t="s">
        <v>23</v>
      </c>
      <c r="C182" s="7">
        <f ca="1">-IF(D178&gt;0,C181,0)</f>
        <v>0</v>
      </c>
      <c r="D182" s="7">
        <f ca="1">-IF(E178&gt;0,D181,0)</f>
        <v>0</v>
      </c>
      <c r="E182" s="7">
        <f ca="1">-IF(F178&gt;0,E181,0)</f>
        <v>0</v>
      </c>
      <c r="F182" s="7">
        <f ca="1">-IF(G178&gt;0,F181,0)</f>
        <v>0</v>
      </c>
      <c r="G182" s="7">
        <f t="shared" ref="G182:AM182" ca="1" si="101">-IF(H178&gt;0,G181,0)</f>
        <v>0</v>
      </c>
      <c r="H182" s="7">
        <f t="shared" ca="1" si="101"/>
        <v>0</v>
      </c>
      <c r="I182" s="7">
        <f t="shared" ca="1" si="101"/>
        <v>-92041.040793419495</v>
      </c>
      <c r="J182" s="7">
        <f t="shared" ca="1" si="101"/>
        <v>0</v>
      </c>
      <c r="K182" s="7">
        <f t="shared" ca="1" si="101"/>
        <v>0</v>
      </c>
      <c r="L182" s="7">
        <f t="shared" ca="1" si="101"/>
        <v>0</v>
      </c>
      <c r="M182" s="7">
        <f t="shared" ca="1" si="101"/>
        <v>0</v>
      </c>
      <c r="N182" s="7">
        <f t="shared" ca="1" si="101"/>
        <v>0</v>
      </c>
      <c r="O182" s="7">
        <f t="shared" ca="1" si="101"/>
        <v>0</v>
      </c>
      <c r="P182" s="7">
        <f t="shared" ca="1" si="101"/>
        <v>0</v>
      </c>
      <c r="Q182" s="7">
        <f t="shared" ca="1" si="101"/>
        <v>0</v>
      </c>
      <c r="R182" s="7">
        <f t="shared" ca="1" si="101"/>
        <v>0</v>
      </c>
      <c r="S182" s="7">
        <f t="shared" ca="1" si="101"/>
        <v>0</v>
      </c>
      <c r="T182" s="7">
        <f t="shared" ca="1" si="101"/>
        <v>0</v>
      </c>
      <c r="U182" s="7">
        <f t="shared" ca="1" si="101"/>
        <v>0</v>
      </c>
      <c r="V182" s="7">
        <f t="shared" ca="1" si="101"/>
        <v>0</v>
      </c>
      <c r="W182" s="7">
        <f t="shared" ca="1" si="101"/>
        <v>0</v>
      </c>
      <c r="X182" s="7">
        <f t="shared" ca="1" si="101"/>
        <v>0</v>
      </c>
      <c r="Y182" s="7">
        <f t="shared" ca="1" si="101"/>
        <v>0</v>
      </c>
      <c r="Z182" s="7">
        <f t="shared" ca="1" si="101"/>
        <v>0</v>
      </c>
      <c r="AA182" s="7">
        <f t="shared" ca="1" si="101"/>
        <v>0</v>
      </c>
      <c r="AB182" s="7">
        <f t="shared" ca="1" si="101"/>
        <v>0</v>
      </c>
      <c r="AC182" s="7">
        <f t="shared" ca="1" si="101"/>
        <v>0</v>
      </c>
      <c r="AD182" s="7">
        <f t="shared" ca="1" si="101"/>
        <v>0</v>
      </c>
      <c r="AE182" s="7">
        <f t="shared" ca="1" si="101"/>
        <v>0</v>
      </c>
      <c r="AF182" s="7">
        <f t="shared" ca="1" si="101"/>
        <v>0</v>
      </c>
      <c r="AG182" s="7">
        <f t="shared" ca="1" si="101"/>
        <v>0</v>
      </c>
      <c r="AH182" s="7">
        <f t="shared" ca="1" si="101"/>
        <v>0</v>
      </c>
      <c r="AI182" s="7">
        <f t="shared" ca="1" si="101"/>
        <v>0</v>
      </c>
      <c r="AJ182" s="7">
        <f t="shared" ca="1" si="101"/>
        <v>0</v>
      </c>
      <c r="AK182" s="7">
        <f t="shared" ca="1" si="101"/>
        <v>0</v>
      </c>
      <c r="AL182" s="7">
        <f t="shared" ca="1" si="101"/>
        <v>0</v>
      </c>
      <c r="AM182" s="7">
        <f t="shared" si="101"/>
        <v>0</v>
      </c>
    </row>
    <row r="183" spans="1:39" x14ac:dyDescent="0.2">
      <c r="A183" s="3" t="s">
        <v>24</v>
      </c>
      <c r="C183" s="7">
        <v>0</v>
      </c>
      <c r="D183" s="7">
        <f t="shared" ref="D183:AM183" ca="1" si="102">SUM(D181:D182)*VLOOKUP($A180,AssVar,2,FALSE)</f>
        <v>1667.2881283082436</v>
      </c>
      <c r="E183" s="7">
        <f t="shared" ca="1" si="102"/>
        <v>1700.6338908744083</v>
      </c>
      <c r="F183" s="7">
        <f t="shared" ca="1" si="102"/>
        <v>1734.6465686918964</v>
      </c>
      <c r="G183" s="7">
        <f t="shared" ca="1" si="102"/>
        <v>1769.3395000657345</v>
      </c>
      <c r="H183" s="7">
        <f t="shared" ca="1" si="102"/>
        <v>1804.7262900670489</v>
      </c>
      <c r="I183" s="7">
        <f t="shared" ca="1" si="102"/>
        <v>0</v>
      </c>
      <c r="J183" s="7">
        <f t="shared" ca="1" si="102"/>
        <v>0</v>
      </c>
      <c r="K183" s="7">
        <f t="shared" ca="1" si="102"/>
        <v>0</v>
      </c>
      <c r="L183" s="7">
        <f t="shared" ca="1" si="102"/>
        <v>0</v>
      </c>
      <c r="M183" s="7">
        <f t="shared" ca="1" si="102"/>
        <v>0</v>
      </c>
      <c r="N183" s="7">
        <f t="shared" ca="1" si="102"/>
        <v>0</v>
      </c>
      <c r="O183" s="7">
        <f t="shared" ca="1" si="102"/>
        <v>0</v>
      </c>
      <c r="P183" s="7">
        <f t="shared" ca="1" si="102"/>
        <v>0</v>
      </c>
      <c r="Q183" s="7">
        <f t="shared" ca="1" si="102"/>
        <v>0</v>
      </c>
      <c r="R183" s="7">
        <f t="shared" ca="1" si="102"/>
        <v>0</v>
      </c>
      <c r="S183" s="7">
        <f t="shared" ca="1" si="102"/>
        <v>0</v>
      </c>
      <c r="T183" s="7">
        <f t="shared" ca="1" si="102"/>
        <v>0</v>
      </c>
      <c r="U183" s="7">
        <f t="shared" ca="1" si="102"/>
        <v>0</v>
      </c>
      <c r="V183" s="7">
        <f t="shared" ca="1" si="102"/>
        <v>0</v>
      </c>
      <c r="W183" s="7">
        <f t="shared" ca="1" si="102"/>
        <v>0</v>
      </c>
      <c r="X183" s="7">
        <f t="shared" ca="1" si="102"/>
        <v>0</v>
      </c>
      <c r="Y183" s="7">
        <f t="shared" ca="1" si="102"/>
        <v>0</v>
      </c>
      <c r="Z183" s="7">
        <f t="shared" ca="1" si="102"/>
        <v>0</v>
      </c>
      <c r="AA183" s="7">
        <f t="shared" ca="1" si="102"/>
        <v>0</v>
      </c>
      <c r="AB183" s="7">
        <f t="shared" ca="1" si="102"/>
        <v>0</v>
      </c>
      <c r="AC183" s="7">
        <f t="shared" ca="1" si="102"/>
        <v>0</v>
      </c>
      <c r="AD183" s="7">
        <f t="shared" ca="1" si="102"/>
        <v>0</v>
      </c>
      <c r="AE183" s="7">
        <f t="shared" ca="1" si="102"/>
        <v>0</v>
      </c>
      <c r="AF183" s="7">
        <f t="shared" ca="1" si="102"/>
        <v>0</v>
      </c>
      <c r="AG183" s="7">
        <f t="shared" ca="1" si="102"/>
        <v>0</v>
      </c>
      <c r="AH183" s="7">
        <f t="shared" ca="1" si="102"/>
        <v>0</v>
      </c>
      <c r="AI183" s="7">
        <f t="shared" ca="1" si="102"/>
        <v>0</v>
      </c>
      <c r="AJ183" s="7">
        <f t="shared" ca="1" si="102"/>
        <v>0</v>
      </c>
      <c r="AK183" s="7">
        <f t="shared" ca="1" si="102"/>
        <v>0</v>
      </c>
      <c r="AL183" s="7">
        <f t="shared" ca="1" si="102"/>
        <v>0</v>
      </c>
      <c r="AM183" s="7">
        <f t="shared" ca="1" si="102"/>
        <v>0</v>
      </c>
    </row>
    <row r="184" spans="1:39" x14ac:dyDescent="0.2">
      <c r="A184" s="3" t="s">
        <v>25</v>
      </c>
      <c r="C184" s="7">
        <f ca="1">SUM(C181:C183)</f>
        <v>83364.406415412173</v>
      </c>
      <c r="D184" s="7">
        <f t="shared" ref="D184:AM184" ca="1" si="103">SUM(D181:D183)</f>
        <v>85031.694543720412</v>
      </c>
      <c r="E184" s="7">
        <f t="shared" ca="1" si="103"/>
        <v>86732.32843459482</v>
      </c>
      <c r="F184" s="7">
        <f t="shared" ca="1" si="103"/>
        <v>88466.975003286716</v>
      </c>
      <c r="G184" s="7">
        <f t="shared" ca="1" si="103"/>
        <v>90236.314503352449</v>
      </c>
      <c r="H184" s="7">
        <f t="shared" ca="1" si="103"/>
        <v>92041.040793419495</v>
      </c>
      <c r="I184" s="7">
        <f t="shared" ca="1" si="103"/>
        <v>0</v>
      </c>
      <c r="J184" s="7">
        <f t="shared" ca="1" si="103"/>
        <v>0</v>
      </c>
      <c r="K184" s="7">
        <f t="shared" ca="1" si="103"/>
        <v>0</v>
      </c>
      <c r="L184" s="7">
        <f t="shared" ca="1" si="103"/>
        <v>0</v>
      </c>
      <c r="M184" s="7">
        <f t="shared" ca="1" si="103"/>
        <v>0</v>
      </c>
      <c r="N184" s="7">
        <f t="shared" ca="1" si="103"/>
        <v>0</v>
      </c>
      <c r="O184" s="7">
        <f t="shared" ca="1" si="103"/>
        <v>0</v>
      </c>
      <c r="P184" s="7">
        <f t="shared" ca="1" si="103"/>
        <v>0</v>
      </c>
      <c r="Q184" s="7">
        <f t="shared" ca="1" si="103"/>
        <v>0</v>
      </c>
      <c r="R184" s="7">
        <f t="shared" ca="1" si="103"/>
        <v>0</v>
      </c>
      <c r="S184" s="7">
        <f t="shared" ca="1" si="103"/>
        <v>0</v>
      </c>
      <c r="T184" s="7">
        <f t="shared" ca="1" si="103"/>
        <v>0</v>
      </c>
      <c r="U184" s="7">
        <f t="shared" ca="1" si="103"/>
        <v>0</v>
      </c>
      <c r="V184" s="7">
        <f t="shared" ca="1" si="103"/>
        <v>0</v>
      </c>
      <c r="W184" s="7">
        <f t="shared" ca="1" si="103"/>
        <v>0</v>
      </c>
      <c r="X184" s="7">
        <f t="shared" ca="1" si="103"/>
        <v>0</v>
      </c>
      <c r="Y184" s="7">
        <f t="shared" ca="1" si="103"/>
        <v>0</v>
      </c>
      <c r="Z184" s="7">
        <f t="shared" ca="1" si="103"/>
        <v>0</v>
      </c>
      <c r="AA184" s="7">
        <f t="shared" ca="1" si="103"/>
        <v>0</v>
      </c>
      <c r="AB184" s="7">
        <f t="shared" ca="1" si="103"/>
        <v>0</v>
      </c>
      <c r="AC184" s="7">
        <f t="shared" ca="1" si="103"/>
        <v>0</v>
      </c>
      <c r="AD184" s="7">
        <f t="shared" ca="1" si="103"/>
        <v>0</v>
      </c>
      <c r="AE184" s="7">
        <f t="shared" ca="1" si="103"/>
        <v>0</v>
      </c>
      <c r="AF184" s="7">
        <f t="shared" ca="1" si="103"/>
        <v>0</v>
      </c>
      <c r="AG184" s="7">
        <f t="shared" ca="1" si="103"/>
        <v>0</v>
      </c>
      <c r="AH184" s="7">
        <f t="shared" ca="1" si="103"/>
        <v>0</v>
      </c>
      <c r="AI184" s="7">
        <f t="shared" ca="1" si="103"/>
        <v>0</v>
      </c>
      <c r="AJ184" s="7">
        <f t="shared" ca="1" si="103"/>
        <v>0</v>
      </c>
      <c r="AK184" s="7">
        <f t="shared" ca="1" si="103"/>
        <v>0</v>
      </c>
      <c r="AL184" s="7">
        <f t="shared" ca="1" si="103"/>
        <v>0</v>
      </c>
      <c r="AM184" s="7">
        <f t="shared" ca="1" si="103"/>
        <v>0</v>
      </c>
    </row>
    <row r="185" spans="1:39" x14ac:dyDescent="0.2">
      <c r="A185" s="3" t="s">
        <v>26</v>
      </c>
      <c r="C185" s="7">
        <f t="shared" ref="C185:AM185" ca="1" si="104">C182*VLOOKUP($A180,AssVar,3,FALSE)</f>
        <v>0</v>
      </c>
      <c r="D185" s="7">
        <f t="shared" ca="1" si="104"/>
        <v>0</v>
      </c>
      <c r="E185" s="7">
        <f t="shared" ca="1" si="104"/>
        <v>0</v>
      </c>
      <c r="F185" s="7">
        <f t="shared" ca="1" si="104"/>
        <v>0</v>
      </c>
      <c r="G185" s="7">
        <f t="shared" ca="1" si="104"/>
        <v>0</v>
      </c>
      <c r="H185" s="7">
        <f t="shared" ca="1" si="104"/>
        <v>0</v>
      </c>
      <c r="I185" s="7">
        <f t="shared" ca="1" si="104"/>
        <v>-1840.8208158683899</v>
      </c>
      <c r="J185" s="7">
        <f t="shared" ca="1" si="104"/>
        <v>0</v>
      </c>
      <c r="K185" s="7">
        <f t="shared" ca="1" si="104"/>
        <v>0</v>
      </c>
      <c r="L185" s="7">
        <f t="shared" ca="1" si="104"/>
        <v>0</v>
      </c>
      <c r="M185" s="7">
        <f t="shared" ca="1" si="104"/>
        <v>0</v>
      </c>
      <c r="N185" s="7">
        <f t="shared" ca="1" si="104"/>
        <v>0</v>
      </c>
      <c r="O185" s="7">
        <f t="shared" ca="1" si="104"/>
        <v>0</v>
      </c>
      <c r="P185" s="7">
        <f t="shared" ca="1" si="104"/>
        <v>0</v>
      </c>
      <c r="Q185" s="7">
        <f t="shared" ca="1" si="104"/>
        <v>0</v>
      </c>
      <c r="R185" s="7">
        <f t="shared" ca="1" si="104"/>
        <v>0</v>
      </c>
      <c r="S185" s="7">
        <f t="shared" ca="1" si="104"/>
        <v>0</v>
      </c>
      <c r="T185" s="7">
        <f t="shared" ca="1" si="104"/>
        <v>0</v>
      </c>
      <c r="U185" s="7">
        <f t="shared" ca="1" si="104"/>
        <v>0</v>
      </c>
      <c r="V185" s="7">
        <f t="shared" ca="1" si="104"/>
        <v>0</v>
      </c>
      <c r="W185" s="7">
        <f t="shared" ca="1" si="104"/>
        <v>0</v>
      </c>
      <c r="X185" s="7">
        <f t="shared" ca="1" si="104"/>
        <v>0</v>
      </c>
      <c r="Y185" s="7">
        <f t="shared" ca="1" si="104"/>
        <v>0</v>
      </c>
      <c r="Z185" s="7">
        <f t="shared" ca="1" si="104"/>
        <v>0</v>
      </c>
      <c r="AA185" s="7">
        <f t="shared" ca="1" si="104"/>
        <v>0</v>
      </c>
      <c r="AB185" s="7">
        <f t="shared" ca="1" si="104"/>
        <v>0</v>
      </c>
      <c r="AC185" s="7">
        <f t="shared" ca="1" si="104"/>
        <v>0</v>
      </c>
      <c r="AD185" s="7">
        <f t="shared" ca="1" si="104"/>
        <v>0</v>
      </c>
      <c r="AE185" s="7">
        <f t="shared" ca="1" si="104"/>
        <v>0</v>
      </c>
      <c r="AF185" s="7">
        <f t="shared" ca="1" si="104"/>
        <v>0</v>
      </c>
      <c r="AG185" s="7">
        <f t="shared" ca="1" si="104"/>
        <v>0</v>
      </c>
      <c r="AH185" s="7">
        <f t="shared" ca="1" si="104"/>
        <v>0</v>
      </c>
      <c r="AI185" s="7">
        <f t="shared" ca="1" si="104"/>
        <v>0</v>
      </c>
      <c r="AJ185" s="7">
        <f t="shared" ca="1" si="104"/>
        <v>0</v>
      </c>
      <c r="AK185" s="7">
        <f t="shared" ca="1" si="104"/>
        <v>0</v>
      </c>
      <c r="AL185" s="7">
        <f t="shared" ca="1" si="104"/>
        <v>0</v>
      </c>
      <c r="AM185" s="7">
        <f t="shared" si="104"/>
        <v>0</v>
      </c>
    </row>
    <row r="186" spans="1:39" x14ac:dyDescent="0.2">
      <c r="A186" s="3" t="s">
        <v>31</v>
      </c>
      <c r="C186" s="7">
        <f t="shared" ref="C186:AM186" ca="1" si="105">IFERROR(-IF(C181=0,VLOOKUP($A180,$8:$12,C$1+2,FALSE),0),0)</f>
        <v>0</v>
      </c>
      <c r="D186" s="7">
        <f t="shared" ca="1" si="105"/>
        <v>0</v>
      </c>
      <c r="E186" s="7">
        <f t="shared" ca="1" si="105"/>
        <v>0</v>
      </c>
      <c r="F186" s="7">
        <f t="shared" ca="1" si="105"/>
        <v>0</v>
      </c>
      <c r="G186" s="7">
        <f t="shared" ca="1" si="105"/>
        <v>0</v>
      </c>
      <c r="H186" s="7">
        <f t="shared" ca="1" si="105"/>
        <v>0</v>
      </c>
      <c r="I186" s="7">
        <f t="shared" ca="1" si="105"/>
        <v>0</v>
      </c>
      <c r="J186" s="7">
        <f t="shared" ca="1" si="105"/>
        <v>0</v>
      </c>
      <c r="K186" s="7">
        <f t="shared" ca="1" si="105"/>
        <v>0</v>
      </c>
      <c r="L186" s="7">
        <f t="shared" ca="1" si="105"/>
        <v>0</v>
      </c>
      <c r="M186" s="7">
        <f t="shared" ca="1" si="105"/>
        <v>0</v>
      </c>
      <c r="N186" s="7">
        <f t="shared" ca="1" si="105"/>
        <v>0</v>
      </c>
      <c r="O186" s="7">
        <f t="shared" ca="1" si="105"/>
        <v>0</v>
      </c>
      <c r="P186" s="7">
        <f t="shared" ca="1" si="105"/>
        <v>0</v>
      </c>
      <c r="Q186" s="7">
        <f t="shared" ca="1" si="105"/>
        <v>0</v>
      </c>
      <c r="R186" s="7">
        <f t="shared" ca="1" si="105"/>
        <v>0</v>
      </c>
      <c r="S186" s="7">
        <f t="shared" ca="1" si="105"/>
        <v>0</v>
      </c>
      <c r="T186" s="7">
        <f t="shared" ca="1" si="105"/>
        <v>0</v>
      </c>
      <c r="U186" s="7">
        <f t="shared" ca="1" si="105"/>
        <v>0</v>
      </c>
      <c r="V186" s="7">
        <f t="shared" ca="1" si="105"/>
        <v>0</v>
      </c>
      <c r="W186" s="7">
        <f t="shared" ca="1" si="105"/>
        <v>0</v>
      </c>
      <c r="X186" s="7">
        <f t="shared" ca="1" si="105"/>
        <v>0</v>
      </c>
      <c r="Y186" s="7">
        <f t="shared" ca="1" si="105"/>
        <v>0</v>
      </c>
      <c r="Z186" s="7">
        <f t="shared" ca="1" si="105"/>
        <v>0</v>
      </c>
      <c r="AA186" s="7">
        <f t="shared" ca="1" si="105"/>
        <v>0</v>
      </c>
      <c r="AB186" s="7">
        <f t="shared" ca="1" si="105"/>
        <v>0</v>
      </c>
      <c r="AC186" s="7">
        <f t="shared" ca="1" si="105"/>
        <v>0</v>
      </c>
      <c r="AD186" s="7">
        <f t="shared" ca="1" si="105"/>
        <v>0</v>
      </c>
      <c r="AE186" s="7">
        <f t="shared" ca="1" si="105"/>
        <v>0</v>
      </c>
      <c r="AF186" s="7">
        <f t="shared" ca="1" si="105"/>
        <v>0</v>
      </c>
      <c r="AG186" s="7">
        <f t="shared" ca="1" si="105"/>
        <v>0</v>
      </c>
      <c r="AH186" s="7">
        <f t="shared" ca="1" si="105"/>
        <v>0</v>
      </c>
      <c r="AI186" s="7">
        <f t="shared" ca="1" si="105"/>
        <v>0</v>
      </c>
      <c r="AJ186" s="7">
        <f t="shared" ca="1" si="105"/>
        <v>0</v>
      </c>
      <c r="AK186" s="7">
        <f t="shared" ca="1" si="105"/>
        <v>0</v>
      </c>
      <c r="AL186" s="7">
        <f t="shared" ca="1" si="105"/>
        <v>0</v>
      </c>
      <c r="AM186" s="7">
        <f t="shared" ca="1" si="105"/>
        <v>0</v>
      </c>
    </row>
    <row r="187" spans="1:39" x14ac:dyDescent="0.2">
      <c r="A187" s="3" t="s">
        <v>50</v>
      </c>
      <c r="C187" s="7">
        <f t="shared" ref="C187:AM187" ca="1" si="106">IFERROR(IF(C181=0,VLOOKUP($A180,$45:$49,C$1+2,FALSE),0),0)</f>
        <v>0</v>
      </c>
      <c r="D187" s="7">
        <f t="shared" ca="1" si="106"/>
        <v>0</v>
      </c>
      <c r="E187" s="7">
        <f t="shared" ca="1" si="106"/>
        <v>0</v>
      </c>
      <c r="F187" s="7">
        <f t="shared" ca="1" si="106"/>
        <v>0</v>
      </c>
      <c r="G187" s="7">
        <f t="shared" ca="1" si="106"/>
        <v>0</v>
      </c>
      <c r="H187" s="7">
        <f t="shared" ca="1" si="106"/>
        <v>0</v>
      </c>
      <c r="I187" s="7">
        <f t="shared" ca="1" si="106"/>
        <v>0</v>
      </c>
      <c r="J187" s="7">
        <f t="shared" ca="1" si="106"/>
        <v>0</v>
      </c>
      <c r="K187" s="7">
        <f t="shared" ca="1" si="106"/>
        <v>0</v>
      </c>
      <c r="L187" s="7">
        <f t="shared" ca="1" si="106"/>
        <v>0</v>
      </c>
      <c r="M187" s="7">
        <f t="shared" ca="1" si="106"/>
        <v>0</v>
      </c>
      <c r="N187" s="7">
        <f t="shared" ca="1" si="106"/>
        <v>0</v>
      </c>
      <c r="O187" s="7">
        <f t="shared" ca="1" si="106"/>
        <v>0</v>
      </c>
      <c r="P187" s="7">
        <f t="shared" ca="1" si="106"/>
        <v>0</v>
      </c>
      <c r="Q187" s="7">
        <f t="shared" ca="1" si="106"/>
        <v>0</v>
      </c>
      <c r="R187" s="7">
        <f t="shared" ca="1" si="106"/>
        <v>0</v>
      </c>
      <c r="S187" s="7">
        <f t="shared" ca="1" si="106"/>
        <v>0</v>
      </c>
      <c r="T187" s="7">
        <f t="shared" ca="1" si="106"/>
        <v>0</v>
      </c>
      <c r="U187" s="7">
        <f t="shared" ca="1" si="106"/>
        <v>0</v>
      </c>
      <c r="V187" s="7">
        <f t="shared" ca="1" si="106"/>
        <v>0</v>
      </c>
      <c r="W187" s="7">
        <f t="shared" ca="1" si="106"/>
        <v>0</v>
      </c>
      <c r="X187" s="7">
        <f t="shared" ca="1" si="106"/>
        <v>0</v>
      </c>
      <c r="Y187" s="7">
        <f t="shared" ca="1" si="106"/>
        <v>0</v>
      </c>
      <c r="Z187" s="7">
        <f t="shared" ca="1" si="106"/>
        <v>0</v>
      </c>
      <c r="AA187" s="7">
        <f t="shared" ca="1" si="106"/>
        <v>0</v>
      </c>
      <c r="AB187" s="7">
        <f t="shared" ca="1" si="106"/>
        <v>0</v>
      </c>
      <c r="AC187" s="7">
        <f t="shared" ca="1" si="106"/>
        <v>0</v>
      </c>
      <c r="AD187" s="7">
        <f t="shared" ca="1" si="106"/>
        <v>0</v>
      </c>
      <c r="AE187" s="7">
        <f t="shared" ca="1" si="106"/>
        <v>0</v>
      </c>
      <c r="AF187" s="7">
        <f t="shared" ca="1" si="106"/>
        <v>0</v>
      </c>
      <c r="AG187" s="7">
        <f t="shared" ca="1" si="106"/>
        <v>0</v>
      </c>
      <c r="AH187" s="7">
        <f t="shared" ca="1" si="106"/>
        <v>0</v>
      </c>
      <c r="AI187" s="7">
        <f t="shared" ca="1" si="106"/>
        <v>0</v>
      </c>
      <c r="AJ187" s="7">
        <f t="shared" ca="1" si="106"/>
        <v>0</v>
      </c>
      <c r="AK187" s="7">
        <f t="shared" ca="1" si="106"/>
        <v>0</v>
      </c>
      <c r="AL187" s="7">
        <f t="shared" ca="1" si="106"/>
        <v>0</v>
      </c>
      <c r="AM187" s="7">
        <f t="shared" ca="1" si="106"/>
        <v>0</v>
      </c>
    </row>
    <row r="188" spans="1:39" x14ac:dyDescent="0.2">
      <c r="A188" s="3" t="s">
        <v>36</v>
      </c>
      <c r="B188" s="14" t="str">
        <f>A180</f>
        <v>Antiques</v>
      </c>
      <c r="C188" s="7">
        <f t="shared" ref="C188:AM188" ca="1" si="107">IF(AND(C181&gt;0,C184=0),VLOOKUP($A180,$83:$92,C$1+2,FALSE),0)</f>
        <v>0</v>
      </c>
      <c r="D188" s="7">
        <f t="shared" ca="1" si="107"/>
        <v>0</v>
      </c>
      <c r="E188" s="7">
        <f t="shared" ca="1" si="107"/>
        <v>0</v>
      </c>
      <c r="F188" s="7">
        <f t="shared" ca="1" si="107"/>
        <v>0</v>
      </c>
      <c r="G188" s="7">
        <f t="shared" ca="1" si="107"/>
        <v>0</v>
      </c>
      <c r="H188" s="7">
        <f t="shared" ca="1" si="107"/>
        <v>0</v>
      </c>
      <c r="I188" s="7">
        <f t="shared" ca="1" si="107"/>
        <v>0</v>
      </c>
      <c r="J188" s="7">
        <f t="shared" ca="1" si="107"/>
        <v>0</v>
      </c>
      <c r="K188" s="7">
        <f t="shared" ca="1" si="107"/>
        <v>0</v>
      </c>
      <c r="L188" s="7">
        <f t="shared" ca="1" si="107"/>
        <v>0</v>
      </c>
      <c r="M188" s="7">
        <f t="shared" ca="1" si="107"/>
        <v>0</v>
      </c>
      <c r="N188" s="7">
        <f t="shared" ca="1" si="107"/>
        <v>0</v>
      </c>
      <c r="O188" s="7">
        <f t="shared" ca="1" si="107"/>
        <v>0</v>
      </c>
      <c r="P188" s="7">
        <f t="shared" ca="1" si="107"/>
        <v>0</v>
      </c>
      <c r="Q188" s="7">
        <f t="shared" ca="1" si="107"/>
        <v>0</v>
      </c>
      <c r="R188" s="7">
        <f t="shared" ca="1" si="107"/>
        <v>0</v>
      </c>
      <c r="S188" s="7">
        <f t="shared" ca="1" si="107"/>
        <v>0</v>
      </c>
      <c r="T188" s="7">
        <f t="shared" ca="1" si="107"/>
        <v>0</v>
      </c>
      <c r="U188" s="7">
        <f t="shared" ca="1" si="107"/>
        <v>0</v>
      </c>
      <c r="V188" s="7">
        <f t="shared" ca="1" si="107"/>
        <v>0</v>
      </c>
      <c r="W188" s="7">
        <f t="shared" ca="1" si="107"/>
        <v>0</v>
      </c>
      <c r="X188" s="7">
        <f t="shared" ca="1" si="107"/>
        <v>0</v>
      </c>
      <c r="Y188" s="7">
        <f t="shared" ca="1" si="107"/>
        <v>0</v>
      </c>
      <c r="Z188" s="7">
        <f t="shared" ca="1" si="107"/>
        <v>0</v>
      </c>
      <c r="AA188" s="7">
        <f t="shared" ca="1" si="107"/>
        <v>0</v>
      </c>
      <c r="AB188" s="7">
        <f t="shared" ca="1" si="107"/>
        <v>0</v>
      </c>
      <c r="AC188" s="7">
        <f t="shared" ca="1" si="107"/>
        <v>0</v>
      </c>
      <c r="AD188" s="7">
        <f t="shared" ca="1" si="107"/>
        <v>0</v>
      </c>
      <c r="AE188" s="7">
        <f t="shared" ca="1" si="107"/>
        <v>0</v>
      </c>
      <c r="AF188" s="7">
        <f t="shared" ca="1" si="107"/>
        <v>0</v>
      </c>
      <c r="AG188" s="7">
        <f t="shared" ca="1" si="107"/>
        <v>0</v>
      </c>
      <c r="AH188" s="7">
        <f t="shared" ca="1" si="107"/>
        <v>0</v>
      </c>
      <c r="AI188" s="7">
        <f t="shared" ca="1" si="107"/>
        <v>0</v>
      </c>
      <c r="AJ188" s="7">
        <f t="shared" ca="1" si="107"/>
        <v>0</v>
      </c>
      <c r="AK188" s="7">
        <f t="shared" ca="1" si="107"/>
        <v>0</v>
      </c>
      <c r="AL188" s="7">
        <f t="shared" ca="1" si="107"/>
        <v>0</v>
      </c>
      <c r="AM188" s="7">
        <f t="shared" ca="1" si="107"/>
        <v>0</v>
      </c>
    </row>
    <row r="189" spans="1:39" x14ac:dyDescent="0.2">
      <c r="A189" s="3" t="s">
        <v>37</v>
      </c>
      <c r="C189" s="7">
        <f ca="1">-C182+SUM(C185:C188)</f>
        <v>0</v>
      </c>
      <c r="D189" s="7">
        <f t="shared" ref="D189" ca="1" si="108">-D182+SUM(D185:D188)</f>
        <v>0</v>
      </c>
      <c r="E189" s="7">
        <f t="shared" ref="E189:AM189" ca="1" si="109">-E182+SUM(E185:E188)</f>
        <v>0</v>
      </c>
      <c r="F189" s="7">
        <f t="shared" ca="1" si="109"/>
        <v>0</v>
      </c>
      <c r="G189" s="7">
        <f t="shared" ca="1" si="109"/>
        <v>0</v>
      </c>
      <c r="H189" s="7">
        <f t="shared" ca="1" si="109"/>
        <v>0</v>
      </c>
      <c r="I189" s="7">
        <f t="shared" ca="1" si="109"/>
        <v>90200.219977551111</v>
      </c>
      <c r="J189" s="7">
        <f t="shared" ca="1" si="109"/>
        <v>0</v>
      </c>
      <c r="K189" s="7">
        <f t="shared" ca="1" si="109"/>
        <v>0</v>
      </c>
      <c r="L189" s="7">
        <f t="shared" ca="1" si="109"/>
        <v>0</v>
      </c>
      <c r="M189" s="7">
        <f t="shared" ca="1" si="109"/>
        <v>0</v>
      </c>
      <c r="N189" s="7">
        <f t="shared" ca="1" si="109"/>
        <v>0</v>
      </c>
      <c r="O189" s="7">
        <f t="shared" ca="1" si="109"/>
        <v>0</v>
      </c>
      <c r="P189" s="7">
        <f t="shared" ca="1" si="109"/>
        <v>0</v>
      </c>
      <c r="Q189" s="7">
        <f t="shared" ca="1" si="109"/>
        <v>0</v>
      </c>
      <c r="R189" s="7">
        <f t="shared" ca="1" si="109"/>
        <v>0</v>
      </c>
      <c r="S189" s="7">
        <f t="shared" ca="1" si="109"/>
        <v>0</v>
      </c>
      <c r="T189" s="7">
        <f t="shared" ca="1" si="109"/>
        <v>0</v>
      </c>
      <c r="U189" s="7">
        <f t="shared" ca="1" si="109"/>
        <v>0</v>
      </c>
      <c r="V189" s="7">
        <f t="shared" ca="1" si="109"/>
        <v>0</v>
      </c>
      <c r="W189" s="7">
        <f t="shared" ca="1" si="109"/>
        <v>0</v>
      </c>
      <c r="X189" s="7">
        <f t="shared" ca="1" si="109"/>
        <v>0</v>
      </c>
      <c r="Y189" s="7">
        <f t="shared" ca="1" si="109"/>
        <v>0</v>
      </c>
      <c r="Z189" s="7">
        <f t="shared" ca="1" si="109"/>
        <v>0</v>
      </c>
      <c r="AA189" s="7">
        <f t="shared" ca="1" si="109"/>
        <v>0</v>
      </c>
      <c r="AB189" s="7">
        <f t="shared" ca="1" si="109"/>
        <v>0</v>
      </c>
      <c r="AC189" s="7">
        <f t="shared" ca="1" si="109"/>
        <v>0</v>
      </c>
      <c r="AD189" s="7">
        <f t="shared" ca="1" si="109"/>
        <v>0</v>
      </c>
      <c r="AE189" s="7">
        <f t="shared" ca="1" si="109"/>
        <v>0</v>
      </c>
      <c r="AF189" s="7">
        <f t="shared" ca="1" si="109"/>
        <v>0</v>
      </c>
      <c r="AG189" s="7">
        <f t="shared" ca="1" si="109"/>
        <v>0</v>
      </c>
      <c r="AH189" s="7">
        <f t="shared" ca="1" si="109"/>
        <v>0</v>
      </c>
      <c r="AI189" s="7">
        <f t="shared" ca="1" si="109"/>
        <v>0</v>
      </c>
      <c r="AJ189" s="7">
        <f t="shared" ca="1" si="109"/>
        <v>0</v>
      </c>
      <c r="AK189" s="7">
        <f t="shared" ca="1" si="109"/>
        <v>0</v>
      </c>
      <c r="AL189" s="7">
        <f t="shared" ca="1" si="109"/>
        <v>0</v>
      </c>
      <c r="AM189" s="7">
        <f t="shared" ca="1" si="109"/>
        <v>0</v>
      </c>
    </row>
    <row r="190" spans="1:39" x14ac:dyDescent="0.2">
      <c r="A190" s="3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x14ac:dyDescent="0.2">
      <c r="A191" s="3" t="s">
        <v>71</v>
      </c>
      <c r="C191" s="7">
        <f ca="1">C177+SUM($C189:C189)</f>
        <v>12809.375000000015</v>
      </c>
      <c r="D191" s="7">
        <f ca="1">D177+SUM($C189:D189)</f>
        <v>24162.215625000026</v>
      </c>
      <c r="E191" s="7">
        <f ca="1">E177+SUM($C189:E189)</f>
        <v>58836.638502582922</v>
      </c>
      <c r="F191" s="7">
        <f ca="1">F177+SUM($C189:F189)</f>
        <v>86558.722373523749</v>
      </c>
      <c r="G191" s="7">
        <f ca="1">G177+SUM($C189:G189)</f>
        <v>105186.23146773443</v>
      </c>
      <c r="H191" s="7">
        <f ca="1">H177+SUM($C189:H189)</f>
        <v>45871.068761315822</v>
      </c>
      <c r="I191" s="7">
        <f ca="1">I177+SUM($C189:I189)</f>
        <v>100395.13303911025</v>
      </c>
      <c r="J191" s="7">
        <f ca="1">J177+SUM($C189:J189)</f>
        <v>63093.965877271272</v>
      </c>
      <c r="K191" s="7">
        <f ca="1">K177+SUM($C189:K189)</f>
        <v>7478.864302855276</v>
      </c>
      <c r="L191" s="7">
        <f ca="1">L177+SUM($C189:L189)</f>
        <v>33815.369442373987</v>
      </c>
      <c r="M191" s="7">
        <f ca="1">M177+SUM($C189:M189)</f>
        <v>-34114.360275932704</v>
      </c>
      <c r="N191" s="7">
        <f ca="1">N177+SUM($C189:N189)</f>
        <v>-53678.652958056948</v>
      </c>
      <c r="O191" s="7">
        <f ca="1">O177+SUM($C189:O189)</f>
        <v>-73521.534056061675</v>
      </c>
      <c r="P191" s="7">
        <f ca="1">P177+SUM($C189:P189)</f>
        <v>-93643.652713308518</v>
      </c>
      <c r="Q191" s="7">
        <f ca="1">Q177+SUM($C189:Q189)</f>
        <v>-114045.48483473252</v>
      </c>
      <c r="R191" s="7">
        <f ca="1">R177+SUM($C189:R189)</f>
        <v>-134727.32307187049</v>
      </c>
      <c r="S191" s="7">
        <f ca="1">S177+SUM($C189:S189)</f>
        <v>-155689.26638699547</v>
      </c>
      <c r="T191" s="7">
        <f ca="1">T177+SUM($C189:T189)</f>
        <v>-158976.11369882949</v>
      </c>
      <c r="U191" s="7">
        <f ca="1">U177+SUM($C189:U189)</f>
        <v>-154295.46802751889</v>
      </c>
      <c r="V191" s="7">
        <f ca="1">V177+SUM($C189:V189)</f>
        <v>-149238.89451969514</v>
      </c>
      <c r="W191" s="7">
        <f ca="1">W177+SUM($C189:W189)</f>
        <v>-143789.22762860375</v>
      </c>
      <c r="X191" s="7">
        <f ca="1">X177+SUM($C189:X189)</f>
        <v>-137928.63964829576</v>
      </c>
      <c r="Y191" s="7">
        <f ca="1">Y177+SUM($C189:Y189)</f>
        <v>-152297.47393999368</v>
      </c>
      <c r="Z191" s="7">
        <f ca="1">Z177+SUM($C189:Z189)</f>
        <v>-166734.12169555319</v>
      </c>
      <c r="AA191" s="7">
        <f ca="1">AA177+SUM($C189:AA189)</f>
        <v>-181231.5360297678</v>
      </c>
      <c r="AB191" s="7">
        <f ca="1">AB177+SUM($C189:AB189)</f>
        <v>-195782.23161864697</v>
      </c>
      <c r="AC191" s="7">
        <f ca="1">AC177+SUM($C189:AC189)</f>
        <v>-210378.26587044643</v>
      </c>
      <c r="AD191" s="7">
        <f ca="1">AD177+SUM($C189:AD189)</f>
        <v>-225011.21938993529</v>
      </c>
      <c r="AE191" s="7">
        <f ca="1">AE177+SUM($C189:AE189)</f>
        <v>-229689.70061736155</v>
      </c>
      <c r="AF191" s="7">
        <f ca="1">AF177+SUM($C189:AF189)</f>
        <v>-234137.18820812178</v>
      </c>
      <c r="AG191" s="7">
        <f ca="1">AG177+SUM($C189:AG189)</f>
        <v>-238337.46865127879</v>
      </c>
      <c r="AH191" s="7">
        <f ca="1">AH177+SUM($C189:AH189)</f>
        <v>-242273.6099380212</v>
      </c>
      <c r="AI191" s="7">
        <f ca="1">AI177+SUM($C189:AI189)</f>
        <v>-245927.93420441399</v>
      </c>
      <c r="AJ191" s="7">
        <f ca="1">AJ177+SUM($C189:AJ189)</f>
        <v>-249281.98940837276</v>
      </c>
      <c r="AK191" s="7">
        <f ca="1">AK177+SUM($C189:AK189)</f>
        <v>-252316.52000826402</v>
      </c>
      <c r="AL191" s="7">
        <f ca="1">AL177+SUM($C189:AL189)</f>
        <v>-255011.43660946083</v>
      </c>
      <c r="AM191" s="7">
        <f ca="1">AM177+SUM($C189:AM189)</f>
        <v>-257345.78454408524</v>
      </c>
    </row>
    <row r="192" spans="1:39" x14ac:dyDescent="0.2">
      <c r="A192" s="3" t="s">
        <v>68</v>
      </c>
      <c r="C192" s="7">
        <f t="shared" ref="C192:AM192" ca="1" si="110">MAX(C191+buffer,0)-MAX(C177+buffer,0)</f>
        <v>0</v>
      </c>
      <c r="D192" s="7">
        <f t="shared" ca="1" si="110"/>
        <v>0</v>
      </c>
      <c r="E192" s="7">
        <f t="shared" ca="1" si="110"/>
        <v>0</v>
      </c>
      <c r="F192" s="7">
        <f t="shared" ca="1" si="110"/>
        <v>0</v>
      </c>
      <c r="G192" s="7">
        <f t="shared" ca="1" si="110"/>
        <v>0</v>
      </c>
      <c r="H192" s="7">
        <f t="shared" ca="1" si="110"/>
        <v>0</v>
      </c>
      <c r="I192" s="7">
        <f t="shared" ca="1" si="110"/>
        <v>90200.219977551111</v>
      </c>
      <c r="J192" s="7">
        <f t="shared" ca="1" si="110"/>
        <v>90200.219977551111</v>
      </c>
      <c r="K192" s="7">
        <f t="shared" ca="1" si="110"/>
        <v>57478.864302855276</v>
      </c>
      <c r="L192" s="7">
        <f t="shared" ca="1" si="110"/>
        <v>83815.36944237398</v>
      </c>
      <c r="M192" s="7">
        <f t="shared" ca="1" si="110"/>
        <v>15885.639724067296</v>
      </c>
      <c r="N192" s="7">
        <f t="shared" ca="1" si="110"/>
        <v>0</v>
      </c>
      <c r="O192" s="7">
        <f t="shared" ca="1" si="110"/>
        <v>0</v>
      </c>
      <c r="P192" s="7">
        <f t="shared" ca="1" si="110"/>
        <v>0</v>
      </c>
      <c r="Q192" s="7">
        <f t="shared" ca="1" si="110"/>
        <v>0</v>
      </c>
      <c r="R192" s="7">
        <f t="shared" ca="1" si="110"/>
        <v>0</v>
      </c>
      <c r="S192" s="7">
        <f t="shared" ca="1" si="110"/>
        <v>0</v>
      </c>
      <c r="T192" s="7">
        <f t="shared" ca="1" si="110"/>
        <v>0</v>
      </c>
      <c r="U192" s="7">
        <f t="shared" ca="1" si="110"/>
        <v>0</v>
      </c>
      <c r="V192" s="7">
        <f t="shared" ca="1" si="110"/>
        <v>0</v>
      </c>
      <c r="W192" s="7">
        <f t="shared" ca="1" si="110"/>
        <v>0</v>
      </c>
      <c r="X192" s="7">
        <f t="shared" ca="1" si="110"/>
        <v>0</v>
      </c>
      <c r="Y192" s="7">
        <f t="shared" ca="1" si="110"/>
        <v>0</v>
      </c>
      <c r="Z192" s="7">
        <f t="shared" ca="1" si="110"/>
        <v>0</v>
      </c>
      <c r="AA192" s="7">
        <f t="shared" ca="1" si="110"/>
        <v>0</v>
      </c>
      <c r="AB192" s="7">
        <f t="shared" ca="1" si="110"/>
        <v>0</v>
      </c>
      <c r="AC192" s="7">
        <f t="shared" ca="1" si="110"/>
        <v>0</v>
      </c>
      <c r="AD192" s="7">
        <f t="shared" ca="1" si="110"/>
        <v>0</v>
      </c>
      <c r="AE192" s="7">
        <f t="shared" ca="1" si="110"/>
        <v>0</v>
      </c>
      <c r="AF192" s="7">
        <f t="shared" ca="1" si="110"/>
        <v>0</v>
      </c>
      <c r="AG192" s="7">
        <f t="shared" ca="1" si="110"/>
        <v>0</v>
      </c>
      <c r="AH192" s="7">
        <f t="shared" ca="1" si="110"/>
        <v>0</v>
      </c>
      <c r="AI192" s="7">
        <f t="shared" ca="1" si="110"/>
        <v>0</v>
      </c>
      <c r="AJ192" s="7">
        <f t="shared" ca="1" si="110"/>
        <v>0</v>
      </c>
      <c r="AK192" s="7">
        <f t="shared" ca="1" si="110"/>
        <v>0</v>
      </c>
      <c r="AL192" s="7">
        <f t="shared" ca="1" si="110"/>
        <v>0</v>
      </c>
      <c r="AM192" s="7">
        <f t="shared" ca="1" si="110"/>
        <v>0</v>
      </c>
    </row>
    <row r="193" spans="1:39" x14ac:dyDescent="0.2">
      <c r="A193" s="3" t="s">
        <v>69</v>
      </c>
      <c r="C193" s="7">
        <f ca="1">C192*Inputs!$B$259</f>
        <v>0</v>
      </c>
      <c r="D193" s="7">
        <f ca="1">D192*Inputs!$B$259</f>
        <v>0</v>
      </c>
      <c r="E193" s="7">
        <f ca="1">E192*Inputs!$B$259</f>
        <v>0</v>
      </c>
      <c r="F193" s="7">
        <f ca="1">F192*Inputs!$B$259</f>
        <v>0</v>
      </c>
      <c r="G193" s="7">
        <f ca="1">G192*Inputs!$B$259</f>
        <v>0</v>
      </c>
      <c r="H193" s="7">
        <f ca="1">H192*Inputs!$B$259</f>
        <v>0</v>
      </c>
      <c r="I193" s="7">
        <f ca="1">I192*Inputs!$B$259</f>
        <v>2255.0054994387779</v>
      </c>
      <c r="J193" s="7">
        <f ca="1">J192*Inputs!$B$259</f>
        <v>2255.0054994387779</v>
      </c>
      <c r="K193" s="7">
        <f ca="1">K192*Inputs!$B$259</f>
        <v>1436.971607571382</v>
      </c>
      <c r="L193" s="7">
        <f ca="1">L192*Inputs!$B$259</f>
        <v>2095.3842360593494</v>
      </c>
      <c r="M193" s="7">
        <f ca="1">M192*Inputs!$B$259</f>
        <v>397.1409931016824</v>
      </c>
      <c r="N193" s="7">
        <f ca="1">N192*Inputs!$B$259</f>
        <v>0</v>
      </c>
      <c r="O193" s="7">
        <f ca="1">O192*Inputs!$B$259</f>
        <v>0</v>
      </c>
      <c r="P193" s="7">
        <f ca="1">P192*Inputs!$B$259</f>
        <v>0</v>
      </c>
      <c r="Q193" s="7">
        <f ca="1">Q192*Inputs!$B$259</f>
        <v>0</v>
      </c>
      <c r="R193" s="7">
        <f ca="1">R192*Inputs!$B$259</f>
        <v>0</v>
      </c>
      <c r="S193" s="7">
        <f ca="1">S192*Inputs!$B$259</f>
        <v>0</v>
      </c>
      <c r="T193" s="7">
        <f ca="1">T192*Inputs!$B$259</f>
        <v>0</v>
      </c>
      <c r="U193" s="7">
        <f ca="1">U192*Inputs!$B$259</f>
        <v>0</v>
      </c>
      <c r="V193" s="7">
        <f ca="1">V192*Inputs!$B$259</f>
        <v>0</v>
      </c>
      <c r="W193" s="7">
        <f ca="1">W192*Inputs!$B$259</f>
        <v>0</v>
      </c>
      <c r="X193" s="7">
        <f ca="1">X192*Inputs!$B$259</f>
        <v>0</v>
      </c>
      <c r="Y193" s="7">
        <f ca="1">Y192*Inputs!$B$259</f>
        <v>0</v>
      </c>
      <c r="Z193" s="7">
        <f ca="1">Z192*Inputs!$B$259</f>
        <v>0</v>
      </c>
      <c r="AA193" s="7">
        <f ca="1">AA192*Inputs!$B$259</f>
        <v>0</v>
      </c>
      <c r="AB193" s="7">
        <f ca="1">AB192*Inputs!$B$259</f>
        <v>0</v>
      </c>
      <c r="AC193" s="7">
        <f ca="1">AC192*Inputs!$B$259</f>
        <v>0</v>
      </c>
      <c r="AD193" s="7">
        <f ca="1">AD192*Inputs!$B$259</f>
        <v>0</v>
      </c>
      <c r="AE193" s="7">
        <f ca="1">AE192*Inputs!$B$259</f>
        <v>0</v>
      </c>
      <c r="AF193" s="7">
        <f ca="1">AF192*Inputs!$B$259</f>
        <v>0</v>
      </c>
      <c r="AG193" s="7">
        <f ca="1">AG192*Inputs!$B$259</f>
        <v>0</v>
      </c>
      <c r="AH193" s="7">
        <f ca="1">AH192*Inputs!$B$259</f>
        <v>0</v>
      </c>
      <c r="AI193" s="7">
        <f ca="1">AI192*Inputs!$B$259</f>
        <v>0</v>
      </c>
      <c r="AJ193" s="7">
        <f ca="1">AJ192*Inputs!$B$259</f>
        <v>0</v>
      </c>
      <c r="AK193" s="7">
        <f ca="1">AK192*Inputs!$B$259</f>
        <v>0</v>
      </c>
      <c r="AL193" s="7">
        <f ca="1">AL192*Inputs!$B$259</f>
        <v>0</v>
      </c>
      <c r="AM193" s="7">
        <f ca="1">AM192*Inputs!$B$259</f>
        <v>0</v>
      </c>
    </row>
    <row r="194" spans="1:39" x14ac:dyDescent="0.2">
      <c r="A194" s="3" t="s">
        <v>150</v>
      </c>
      <c r="C194" s="7">
        <f ca="1">C191+SUM($C193:C193)</f>
        <v>12809.375000000015</v>
      </c>
      <c r="D194" s="7">
        <f ca="1">D191+SUM($C193:D193)</f>
        <v>24162.215625000026</v>
      </c>
      <c r="E194" s="7">
        <f ca="1">E191+SUM($C193:E193)</f>
        <v>58836.638502582922</v>
      </c>
      <c r="F194" s="7">
        <f ca="1">F191+SUM($C193:F193)</f>
        <v>86558.722373523749</v>
      </c>
      <c r="G194" s="7">
        <f ca="1">G191+SUM($C193:G193)</f>
        <v>105186.23146773443</v>
      </c>
      <c r="H194" s="7">
        <f ca="1">H191+SUM($C193:H193)</f>
        <v>45871.068761315822</v>
      </c>
      <c r="I194" s="7">
        <f ca="1">I191+SUM($C193:I193)</f>
        <v>102650.13853854903</v>
      </c>
      <c r="J194" s="7">
        <f ca="1">J191+SUM($C193:J193)</f>
        <v>67603.976876148823</v>
      </c>
      <c r="K194" s="7">
        <f ca="1">K191+SUM($C193:K193)</f>
        <v>13425.846909304215</v>
      </c>
      <c r="L194" s="7">
        <f ca="1">L191+SUM($C193:L193)</f>
        <v>41857.736284882274</v>
      </c>
      <c r="M194" s="7">
        <f ca="1">M191+SUM($C193:M193)</f>
        <v>-25674.852440322735</v>
      </c>
      <c r="N194" s="7">
        <f ca="1">N191+SUM($C193:N193)</f>
        <v>-45239.145122446978</v>
      </c>
      <c r="O194" s="7">
        <f ca="1">O191+SUM($C193:O193)</f>
        <v>-65082.026220451706</v>
      </c>
      <c r="P194" s="7">
        <f ca="1">P191+SUM($C193:P193)</f>
        <v>-85204.144877698549</v>
      </c>
      <c r="Q194" s="7">
        <f ca="1">Q191+SUM($C193:Q193)</f>
        <v>-105605.97699912255</v>
      </c>
      <c r="R194" s="7">
        <f ca="1">R191+SUM($C193:R193)</f>
        <v>-126287.81523626052</v>
      </c>
      <c r="S194" s="7">
        <f ca="1">S191+SUM($C193:S193)</f>
        <v>-147249.75855138549</v>
      </c>
      <c r="T194" s="7">
        <f ca="1">T191+SUM($C193:T193)</f>
        <v>-150536.60586321953</v>
      </c>
      <c r="U194" s="7">
        <f ca="1">U191+SUM($C193:U193)</f>
        <v>-145855.96019190893</v>
      </c>
      <c r="V194" s="7">
        <f ca="1">V191+SUM($C193:V193)</f>
        <v>-140799.38668408518</v>
      </c>
      <c r="W194" s="7">
        <f ca="1">W191+SUM($C193:W193)</f>
        <v>-135349.7197929938</v>
      </c>
      <c r="X194" s="7">
        <f ca="1">X191+SUM($C193:X193)</f>
        <v>-129489.1318126858</v>
      </c>
      <c r="Y194" s="7">
        <f ca="1">Y191+SUM($C193:Y193)</f>
        <v>-143857.9661043837</v>
      </c>
      <c r="Z194" s="7">
        <f ca="1">Z191+SUM($C193:Z193)</f>
        <v>-158294.61385994323</v>
      </c>
      <c r="AA194" s="7">
        <f ca="1">AA191+SUM($C193:AA193)</f>
        <v>-172792.02819415781</v>
      </c>
      <c r="AB194" s="7">
        <f ca="1">AB191+SUM($C193:AB193)</f>
        <v>-187342.72378303698</v>
      </c>
      <c r="AC194" s="7">
        <f ca="1">AC191+SUM($C193:AC193)</f>
        <v>-201938.75803483644</v>
      </c>
      <c r="AD194" s="7">
        <f ca="1">AD191+SUM($C193:AD193)</f>
        <v>-216571.7115543253</v>
      </c>
      <c r="AE194" s="7">
        <f ca="1">AE191+SUM($C193:AE193)</f>
        <v>-221250.19278175157</v>
      </c>
      <c r="AF194" s="7">
        <f ca="1">AF191+SUM($C193:AF193)</f>
        <v>-225697.68037251179</v>
      </c>
      <c r="AG194" s="7">
        <f ca="1">AG191+SUM($C193:AG193)</f>
        <v>-229897.9608156688</v>
      </c>
      <c r="AH194" s="7">
        <f ca="1">AH191+SUM($C193:AH193)</f>
        <v>-233834.10210241121</v>
      </c>
      <c r="AI194" s="7">
        <f ca="1">AI191+SUM($C193:AI193)</f>
        <v>-237488.42636880401</v>
      </c>
      <c r="AJ194" s="7">
        <f ca="1">AJ191+SUM($C193:AJ193)</f>
        <v>-240842.48157276277</v>
      </c>
      <c r="AK194" s="7">
        <f ca="1">AK191+SUM($C193:AK193)</f>
        <v>-243877.01217265404</v>
      </c>
      <c r="AL194" s="7">
        <f ca="1">AL191+SUM($C193:AL193)</f>
        <v>-246571.92877385084</v>
      </c>
      <c r="AM194" s="7">
        <f ca="1">AM191+SUM($C193:AM193)</f>
        <v>-248906.27670847526</v>
      </c>
    </row>
    <row r="195" spans="1:39" x14ac:dyDescent="0.2">
      <c r="A195" s="3" t="s">
        <v>20</v>
      </c>
      <c r="C195" s="7">
        <f ca="1">IF(C194&lt;0,-C194,0)</f>
        <v>0</v>
      </c>
      <c r="D195" s="7">
        <f ca="1">IF(D194+SUM($C195:C195)&lt;0,-(D194+SUM($C195:C195)),0)</f>
        <v>0</v>
      </c>
      <c r="E195" s="7">
        <f ca="1">IF(E194+SUM($C195:D195)&lt;0,-(E194+SUM($C195:D195)),0)</f>
        <v>0</v>
      </c>
      <c r="F195" s="7">
        <f ca="1">IF(F194+SUM($C195:E195)&lt;0,-(F194+SUM($C195:E195)),0)</f>
        <v>0</v>
      </c>
      <c r="G195" s="7">
        <f ca="1">IF(G194+SUM($C195:F195)&lt;0,-(G194+SUM($C195:F195)),0)</f>
        <v>0</v>
      </c>
      <c r="H195" s="7">
        <f ca="1">IF(H194+SUM($C195:G195)&lt;0,-(H194+SUM($C195:G195)),0)</f>
        <v>0</v>
      </c>
      <c r="I195" s="7">
        <f ca="1">IF(I194+SUM($C195:H195)&lt;0,-(I194+SUM($C195:H195)),0)</f>
        <v>0</v>
      </c>
      <c r="J195" s="7">
        <f ca="1">IF(J194+SUM($C195:I195)&lt;0,-(J194+SUM($C195:I195)),0)</f>
        <v>0</v>
      </c>
      <c r="K195" s="7">
        <f ca="1">IF(K194+SUM($C195:J195)&lt;0,-(K194+SUM($C195:J195)),0)</f>
        <v>0</v>
      </c>
      <c r="L195" s="7">
        <f ca="1">IF(L194+SUM($C195:K195)&lt;0,-(L194+SUM($C195:K195)),0)</f>
        <v>0</v>
      </c>
      <c r="M195" s="7">
        <f ca="1">IF(M194+SUM($C195:L195)&lt;0,-(M194+SUM($C195:L195)),0)</f>
        <v>25674.852440322735</v>
      </c>
      <c r="N195" s="7">
        <f ca="1">IF(N194+SUM($C195:M195)&lt;0,-(N194+SUM($C195:M195)),0)</f>
        <v>19564.292682124244</v>
      </c>
      <c r="O195" s="7">
        <f ca="1">IF(O194+SUM($C195:N195)&lt;0,-(O194+SUM($C195:N195)),0)</f>
        <v>19842.881098004727</v>
      </c>
      <c r="P195" s="7">
        <f ca="1">IF(P194+SUM($C195:O195)&lt;0,-(P194+SUM($C195:O195)),0)</f>
        <v>20122.118657246843</v>
      </c>
      <c r="Q195" s="7">
        <f ca="1">IF(Q194+SUM($C195:P195)&lt;0,-(Q194+SUM($C195:P195)),0)</f>
        <v>20401.832121423999</v>
      </c>
      <c r="R195" s="7">
        <f ca="1">IF(R194+SUM($C195:Q195)&lt;0,-(R194+SUM($C195:Q195)),0)</f>
        <v>20681.83823713797</v>
      </c>
      <c r="S195" s="7">
        <f ca="1">IF(S194+SUM($C195:R195)&lt;0,-(S194+SUM($C195:R195)),0)</f>
        <v>20961.943315124969</v>
      </c>
      <c r="T195" s="7">
        <f ca="1">IF(T194+SUM($C195:S195)&lt;0,-(T194+SUM($C195:S195)),0)</f>
        <v>3286.847311834048</v>
      </c>
      <c r="U195" s="7">
        <f ca="1">IF(U194+SUM($C195:T195)&lt;0,-(U194+SUM($C195:T195)),0)</f>
        <v>0</v>
      </c>
      <c r="V195" s="7">
        <f ca="1">IF(V194+SUM($C195:U195)&lt;0,-(V194+SUM($C195:U195)),0)</f>
        <v>0</v>
      </c>
      <c r="W195" s="7">
        <f ca="1">IF(W194+SUM($C195:V195)&lt;0,-(W194+SUM($C195:V195)),0)</f>
        <v>0</v>
      </c>
      <c r="X195" s="7">
        <f ca="1">IF(X194+SUM($C195:W195)&lt;0,-(X194+SUM($C195:W195)),0)</f>
        <v>0</v>
      </c>
      <c r="Y195" s="7">
        <f ca="1">IF(Y194+SUM($C195:X195)&lt;0,-(Y194+SUM($C195:X195)),0)</f>
        <v>0</v>
      </c>
      <c r="Z195" s="7">
        <f ca="1">IF(Z194+SUM($C195:Y195)&lt;0,-(Z194+SUM($C195:Y195)),0)</f>
        <v>7758.0079967236961</v>
      </c>
      <c r="AA195" s="7">
        <f ca="1">IF(AA194+SUM($C195:Z195)&lt;0,-(AA194+SUM($C195:Z195)),0)</f>
        <v>14497.414334214584</v>
      </c>
      <c r="AB195" s="7">
        <f ca="1">IF(AB194+SUM($C195:AA195)&lt;0,-(AB194+SUM($C195:AA195)),0)</f>
        <v>14550.695588879171</v>
      </c>
      <c r="AC195" s="7">
        <f ca="1">IF(AC194+SUM($C195:AB195)&lt;0,-(AC194+SUM($C195:AB195)),0)</f>
        <v>14596.034251799458</v>
      </c>
      <c r="AD195" s="7">
        <f ca="1">IF(AD194+SUM($C195:AC195)&lt;0,-(AD194+SUM($C195:AC195)),0)</f>
        <v>14632.953519488859</v>
      </c>
      <c r="AE195" s="7">
        <f ca="1">IF(AE194+SUM($C195:AD195)&lt;0,-(AE194+SUM($C195:AD195)),0)</f>
        <v>4678.4812274262658</v>
      </c>
      <c r="AF195" s="7">
        <f ca="1">IF(AF194+SUM($C195:AE195)&lt;0,-(AF194+SUM($C195:AE195)),0)</f>
        <v>4447.4875907602254</v>
      </c>
      <c r="AG195" s="7">
        <f ca="1">IF(AG194+SUM($C195:AF195)&lt;0,-(AG194+SUM($C195:AF195)),0)</f>
        <v>4200.2804431570112</v>
      </c>
      <c r="AH195" s="7">
        <f ca="1">IF(AH194+SUM($C195:AG195)&lt;0,-(AH194+SUM($C195:AG195)),0)</f>
        <v>3936.1412867424078</v>
      </c>
      <c r="AI195" s="7">
        <f ca="1">IF(AI194+SUM($C195:AH195)&lt;0,-(AI194+SUM($C195:AH195)),0)</f>
        <v>3654.3242663927958</v>
      </c>
      <c r="AJ195" s="7">
        <f ca="1">IF(AJ194+SUM($C195:AI195)&lt;0,-(AJ194+SUM($C195:AI195)),0)</f>
        <v>3354.0552039587637</v>
      </c>
      <c r="AK195" s="7">
        <f ca="1">IF(AK194+SUM($C195:AJ195)&lt;0,-(AK194+SUM($C195:AJ195)),0)</f>
        <v>3034.5305998912663</v>
      </c>
      <c r="AL195" s="7">
        <f ca="1">IF(AL194+SUM($C195:AK195)&lt;0,-(AL194+SUM($C195:AK195)),0)</f>
        <v>2694.9166011968045</v>
      </c>
      <c r="AM195" s="7">
        <f ca="1">IF(AM194+SUM($C195:AL195)&lt;0,-(AM194+SUM($C195:AL195)),0)</f>
        <v>2334.347934624413</v>
      </c>
    </row>
    <row r="196" spans="1:39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x14ac:dyDescent="0.2">
      <c r="A197" s="24" t="str">
        <f>IF(Inputs!$B$279=6,IFERROR(_xlfn.XLOOKUP($B197,Inputs!$B$280:$B$289,Inputs!$A$280:$A$289,,0,1),""),IFERROR(_xlfn.XLOOKUP($B197,Inputs!$C$280:$C$289,Inputs!$A$280:$A$289,,0,1),""))</f>
        <v>Marsa</v>
      </c>
      <c r="B197" s="26">
        <v>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">
      <c r="A198" s="3" t="s">
        <v>22</v>
      </c>
      <c r="C198" s="7">
        <f ca="1">IFERROR(VLOOKUP($A197,$A$65:$H$94,C$1+2,FALSE),0)</f>
        <v>122992.58610458997</v>
      </c>
      <c r="D198" s="7">
        <f ca="1">C201</f>
        <v>122992.58610458997</v>
      </c>
      <c r="E198" s="7">
        <f t="shared" ref="E198:AM198" ca="1" si="111">D201</f>
        <v>126682.36368772766</v>
      </c>
      <c r="F198" s="7">
        <f t="shared" ca="1" si="111"/>
        <v>130482.83459835949</v>
      </c>
      <c r="G198" s="7">
        <f t="shared" ca="1" si="111"/>
        <v>134397.31963631028</v>
      </c>
      <c r="H198" s="7">
        <f t="shared" ca="1" si="111"/>
        <v>138429.23922539959</v>
      </c>
      <c r="I198" s="7">
        <f t="shared" ca="1" si="111"/>
        <v>142582.11640216157</v>
      </c>
      <c r="J198" s="7">
        <f t="shared" ca="1" si="111"/>
        <v>146859.57989422642</v>
      </c>
      <c r="K198" s="7">
        <f t="shared" ca="1" si="111"/>
        <v>151265.3672910532</v>
      </c>
      <c r="L198" s="7">
        <f t="shared" ca="1" si="111"/>
        <v>155803.32830978479</v>
      </c>
      <c r="M198" s="7">
        <f t="shared" ca="1" si="111"/>
        <v>0</v>
      </c>
      <c r="N198" s="7">
        <f t="shared" ca="1" si="111"/>
        <v>0</v>
      </c>
      <c r="O198" s="7">
        <f t="shared" ca="1" si="111"/>
        <v>0</v>
      </c>
      <c r="P198" s="7">
        <f t="shared" ca="1" si="111"/>
        <v>0</v>
      </c>
      <c r="Q198" s="7">
        <f t="shared" ca="1" si="111"/>
        <v>0</v>
      </c>
      <c r="R198" s="7">
        <f t="shared" ca="1" si="111"/>
        <v>0</v>
      </c>
      <c r="S198" s="7">
        <f t="shared" ca="1" si="111"/>
        <v>0</v>
      </c>
      <c r="T198" s="7">
        <f t="shared" ca="1" si="111"/>
        <v>0</v>
      </c>
      <c r="U198" s="7">
        <f t="shared" ca="1" si="111"/>
        <v>0</v>
      </c>
      <c r="V198" s="7">
        <f t="shared" ca="1" si="111"/>
        <v>0</v>
      </c>
      <c r="W198" s="7">
        <f t="shared" ca="1" si="111"/>
        <v>0</v>
      </c>
      <c r="X198" s="7">
        <f t="shared" ca="1" si="111"/>
        <v>0</v>
      </c>
      <c r="Y198" s="7">
        <f t="shared" ca="1" si="111"/>
        <v>0</v>
      </c>
      <c r="Z198" s="7">
        <f t="shared" ca="1" si="111"/>
        <v>0</v>
      </c>
      <c r="AA198" s="7">
        <f t="shared" ca="1" si="111"/>
        <v>0</v>
      </c>
      <c r="AB198" s="7">
        <f t="shared" ca="1" si="111"/>
        <v>0</v>
      </c>
      <c r="AC198" s="7">
        <f t="shared" ca="1" si="111"/>
        <v>0</v>
      </c>
      <c r="AD198" s="7">
        <f t="shared" ca="1" si="111"/>
        <v>0</v>
      </c>
      <c r="AE198" s="7">
        <f t="shared" ca="1" si="111"/>
        <v>0</v>
      </c>
      <c r="AF198" s="7">
        <f t="shared" ca="1" si="111"/>
        <v>0</v>
      </c>
      <c r="AG198" s="7">
        <f t="shared" ca="1" si="111"/>
        <v>0</v>
      </c>
      <c r="AH198" s="7">
        <f t="shared" ca="1" si="111"/>
        <v>0</v>
      </c>
      <c r="AI198" s="7">
        <f t="shared" ca="1" si="111"/>
        <v>0</v>
      </c>
      <c r="AJ198" s="7">
        <f t="shared" ca="1" si="111"/>
        <v>0</v>
      </c>
      <c r="AK198" s="7">
        <f t="shared" ca="1" si="111"/>
        <v>0</v>
      </c>
      <c r="AL198" s="7">
        <f t="shared" ca="1" si="111"/>
        <v>0</v>
      </c>
      <c r="AM198" s="7">
        <f t="shared" ca="1" si="111"/>
        <v>0</v>
      </c>
    </row>
    <row r="199" spans="1:39" x14ac:dyDescent="0.2">
      <c r="A199" s="3" t="s">
        <v>23</v>
      </c>
      <c r="C199" s="7">
        <f ca="1">-IF(D195&gt;0,C198,0)</f>
        <v>0</v>
      </c>
      <c r="D199" s="7">
        <f ca="1">-IF(E195&gt;0,D198,0)</f>
        <v>0</v>
      </c>
      <c r="E199" s="7">
        <f ca="1">-IF(F195&gt;0,E198,0)</f>
        <v>0</v>
      </c>
      <c r="F199" s="7">
        <f ca="1">-IF(G195&gt;0,F198,0)</f>
        <v>0</v>
      </c>
      <c r="G199" s="7">
        <f t="shared" ref="G199:AM199" ca="1" si="112">-IF(H195&gt;0,G198,0)</f>
        <v>0</v>
      </c>
      <c r="H199" s="7">
        <f t="shared" ca="1" si="112"/>
        <v>0</v>
      </c>
      <c r="I199" s="7">
        <f t="shared" ca="1" si="112"/>
        <v>0</v>
      </c>
      <c r="J199" s="7">
        <f t="shared" ca="1" si="112"/>
        <v>0</v>
      </c>
      <c r="K199" s="7">
        <f t="shared" ca="1" si="112"/>
        <v>0</v>
      </c>
      <c r="L199" s="7">
        <f t="shared" ca="1" si="112"/>
        <v>-155803.32830978479</v>
      </c>
      <c r="M199" s="7">
        <f t="shared" ca="1" si="112"/>
        <v>0</v>
      </c>
      <c r="N199" s="7">
        <f t="shared" ca="1" si="112"/>
        <v>0</v>
      </c>
      <c r="O199" s="7">
        <f t="shared" ca="1" si="112"/>
        <v>0</v>
      </c>
      <c r="P199" s="7">
        <f t="shared" ca="1" si="112"/>
        <v>0</v>
      </c>
      <c r="Q199" s="7">
        <f t="shared" ca="1" si="112"/>
        <v>0</v>
      </c>
      <c r="R199" s="7">
        <f t="shared" ca="1" si="112"/>
        <v>0</v>
      </c>
      <c r="S199" s="7">
        <f t="shared" ca="1" si="112"/>
        <v>0</v>
      </c>
      <c r="T199" s="7">
        <f t="shared" ca="1" si="112"/>
        <v>0</v>
      </c>
      <c r="U199" s="7">
        <f t="shared" ca="1" si="112"/>
        <v>0</v>
      </c>
      <c r="V199" s="7">
        <f t="shared" ca="1" si="112"/>
        <v>0</v>
      </c>
      <c r="W199" s="7">
        <f t="shared" ca="1" si="112"/>
        <v>0</v>
      </c>
      <c r="X199" s="7">
        <f t="shared" ca="1" si="112"/>
        <v>0</v>
      </c>
      <c r="Y199" s="7">
        <f t="shared" ca="1" si="112"/>
        <v>0</v>
      </c>
      <c r="Z199" s="7">
        <f t="shared" ca="1" si="112"/>
        <v>0</v>
      </c>
      <c r="AA199" s="7">
        <f t="shared" ca="1" si="112"/>
        <v>0</v>
      </c>
      <c r="AB199" s="7">
        <f t="shared" ca="1" si="112"/>
        <v>0</v>
      </c>
      <c r="AC199" s="7">
        <f t="shared" ca="1" si="112"/>
        <v>0</v>
      </c>
      <c r="AD199" s="7">
        <f t="shared" ca="1" si="112"/>
        <v>0</v>
      </c>
      <c r="AE199" s="7">
        <f t="shared" ca="1" si="112"/>
        <v>0</v>
      </c>
      <c r="AF199" s="7">
        <f t="shared" ca="1" si="112"/>
        <v>0</v>
      </c>
      <c r="AG199" s="7">
        <f t="shared" ca="1" si="112"/>
        <v>0</v>
      </c>
      <c r="AH199" s="7">
        <f t="shared" ca="1" si="112"/>
        <v>0</v>
      </c>
      <c r="AI199" s="7">
        <f t="shared" ca="1" si="112"/>
        <v>0</v>
      </c>
      <c r="AJ199" s="7">
        <f t="shared" ca="1" si="112"/>
        <v>0</v>
      </c>
      <c r="AK199" s="7">
        <f t="shared" ca="1" si="112"/>
        <v>0</v>
      </c>
      <c r="AL199" s="7">
        <f t="shared" ca="1" si="112"/>
        <v>0</v>
      </c>
      <c r="AM199" s="7">
        <f t="shared" si="112"/>
        <v>0</v>
      </c>
    </row>
    <row r="200" spans="1:39" x14ac:dyDescent="0.2">
      <c r="A200" s="3" t="s">
        <v>24</v>
      </c>
      <c r="C200" s="7">
        <v>0</v>
      </c>
      <c r="D200" s="7">
        <f t="shared" ref="D200:AM200" ca="1" si="113">SUM(D198:D199)*VLOOKUP($A197,AssVar,2,FALSE)</f>
        <v>3689.7775831376989</v>
      </c>
      <c r="E200" s="7">
        <f t="shared" ca="1" si="113"/>
        <v>3800.4709106318296</v>
      </c>
      <c r="F200" s="7">
        <f t="shared" ca="1" si="113"/>
        <v>3914.4850379507848</v>
      </c>
      <c r="G200" s="7">
        <f t="shared" ca="1" si="113"/>
        <v>4031.9195890893079</v>
      </c>
      <c r="H200" s="7">
        <f t="shared" ca="1" si="113"/>
        <v>4152.8771767619874</v>
      </c>
      <c r="I200" s="7">
        <f t="shared" ca="1" si="113"/>
        <v>4277.4634920648468</v>
      </c>
      <c r="J200" s="7">
        <f t="shared" ca="1" si="113"/>
        <v>4405.7873968267922</v>
      </c>
      <c r="K200" s="7">
        <f t="shared" ca="1" si="113"/>
        <v>4537.9610187315957</v>
      </c>
      <c r="L200" s="7">
        <f t="shared" ca="1" si="113"/>
        <v>0</v>
      </c>
      <c r="M200" s="7">
        <f t="shared" ca="1" si="113"/>
        <v>0</v>
      </c>
      <c r="N200" s="7">
        <f t="shared" ca="1" si="113"/>
        <v>0</v>
      </c>
      <c r="O200" s="7">
        <f t="shared" ca="1" si="113"/>
        <v>0</v>
      </c>
      <c r="P200" s="7">
        <f t="shared" ca="1" si="113"/>
        <v>0</v>
      </c>
      <c r="Q200" s="7">
        <f t="shared" ca="1" si="113"/>
        <v>0</v>
      </c>
      <c r="R200" s="7">
        <f t="shared" ca="1" si="113"/>
        <v>0</v>
      </c>
      <c r="S200" s="7">
        <f t="shared" ca="1" si="113"/>
        <v>0</v>
      </c>
      <c r="T200" s="7">
        <f t="shared" ca="1" si="113"/>
        <v>0</v>
      </c>
      <c r="U200" s="7">
        <f t="shared" ca="1" si="113"/>
        <v>0</v>
      </c>
      <c r="V200" s="7">
        <f t="shared" ca="1" si="113"/>
        <v>0</v>
      </c>
      <c r="W200" s="7">
        <f t="shared" ca="1" si="113"/>
        <v>0</v>
      </c>
      <c r="X200" s="7">
        <f t="shared" ca="1" si="113"/>
        <v>0</v>
      </c>
      <c r="Y200" s="7">
        <f t="shared" ca="1" si="113"/>
        <v>0</v>
      </c>
      <c r="Z200" s="7">
        <f t="shared" ca="1" si="113"/>
        <v>0</v>
      </c>
      <c r="AA200" s="7">
        <f t="shared" ca="1" si="113"/>
        <v>0</v>
      </c>
      <c r="AB200" s="7">
        <f t="shared" ca="1" si="113"/>
        <v>0</v>
      </c>
      <c r="AC200" s="7">
        <f t="shared" ca="1" si="113"/>
        <v>0</v>
      </c>
      <c r="AD200" s="7">
        <f t="shared" ca="1" si="113"/>
        <v>0</v>
      </c>
      <c r="AE200" s="7">
        <f t="shared" ca="1" si="113"/>
        <v>0</v>
      </c>
      <c r="AF200" s="7">
        <f t="shared" ca="1" si="113"/>
        <v>0</v>
      </c>
      <c r="AG200" s="7">
        <f t="shared" ca="1" si="113"/>
        <v>0</v>
      </c>
      <c r="AH200" s="7">
        <f t="shared" ca="1" si="113"/>
        <v>0</v>
      </c>
      <c r="AI200" s="7">
        <f t="shared" ca="1" si="113"/>
        <v>0</v>
      </c>
      <c r="AJ200" s="7">
        <f t="shared" ca="1" si="113"/>
        <v>0</v>
      </c>
      <c r="AK200" s="7">
        <f t="shared" ca="1" si="113"/>
        <v>0</v>
      </c>
      <c r="AL200" s="7">
        <f t="shared" ca="1" si="113"/>
        <v>0</v>
      </c>
      <c r="AM200" s="7">
        <f t="shared" ca="1" si="113"/>
        <v>0</v>
      </c>
    </row>
    <row r="201" spans="1:39" x14ac:dyDescent="0.2">
      <c r="A201" s="3" t="s">
        <v>25</v>
      </c>
      <c r="C201" s="7">
        <f ca="1">SUM(C198:C200)</f>
        <v>122992.58610458997</v>
      </c>
      <c r="D201" s="7">
        <f t="shared" ref="D201:AM201" ca="1" si="114">SUM(D198:D200)</f>
        <v>126682.36368772766</v>
      </c>
      <c r="E201" s="7">
        <f t="shared" ca="1" si="114"/>
        <v>130482.83459835949</v>
      </c>
      <c r="F201" s="7">
        <f t="shared" ca="1" si="114"/>
        <v>134397.31963631028</v>
      </c>
      <c r="G201" s="7">
        <f t="shared" ca="1" si="114"/>
        <v>138429.23922539959</v>
      </c>
      <c r="H201" s="7">
        <f t="shared" ca="1" si="114"/>
        <v>142582.11640216157</v>
      </c>
      <c r="I201" s="7">
        <f t="shared" ca="1" si="114"/>
        <v>146859.57989422642</v>
      </c>
      <c r="J201" s="7">
        <f t="shared" ca="1" si="114"/>
        <v>151265.3672910532</v>
      </c>
      <c r="K201" s="7">
        <f t="shared" ca="1" si="114"/>
        <v>155803.32830978479</v>
      </c>
      <c r="L201" s="7">
        <f t="shared" ca="1" si="114"/>
        <v>0</v>
      </c>
      <c r="M201" s="7">
        <f t="shared" ca="1" si="114"/>
        <v>0</v>
      </c>
      <c r="N201" s="7">
        <f t="shared" ca="1" si="114"/>
        <v>0</v>
      </c>
      <c r="O201" s="7">
        <f t="shared" ca="1" si="114"/>
        <v>0</v>
      </c>
      <c r="P201" s="7">
        <f t="shared" ca="1" si="114"/>
        <v>0</v>
      </c>
      <c r="Q201" s="7">
        <f t="shared" ca="1" si="114"/>
        <v>0</v>
      </c>
      <c r="R201" s="7">
        <f t="shared" ca="1" si="114"/>
        <v>0</v>
      </c>
      <c r="S201" s="7">
        <f t="shared" ca="1" si="114"/>
        <v>0</v>
      </c>
      <c r="T201" s="7">
        <f t="shared" ca="1" si="114"/>
        <v>0</v>
      </c>
      <c r="U201" s="7">
        <f t="shared" ca="1" si="114"/>
        <v>0</v>
      </c>
      <c r="V201" s="7">
        <f t="shared" ca="1" si="114"/>
        <v>0</v>
      </c>
      <c r="W201" s="7">
        <f t="shared" ca="1" si="114"/>
        <v>0</v>
      </c>
      <c r="X201" s="7">
        <f t="shared" ca="1" si="114"/>
        <v>0</v>
      </c>
      <c r="Y201" s="7">
        <f t="shared" ca="1" si="114"/>
        <v>0</v>
      </c>
      <c r="Z201" s="7">
        <f t="shared" ca="1" si="114"/>
        <v>0</v>
      </c>
      <c r="AA201" s="7">
        <f t="shared" ca="1" si="114"/>
        <v>0</v>
      </c>
      <c r="AB201" s="7">
        <f t="shared" ca="1" si="114"/>
        <v>0</v>
      </c>
      <c r="AC201" s="7">
        <f t="shared" ca="1" si="114"/>
        <v>0</v>
      </c>
      <c r="AD201" s="7">
        <f t="shared" ca="1" si="114"/>
        <v>0</v>
      </c>
      <c r="AE201" s="7">
        <f t="shared" ca="1" si="114"/>
        <v>0</v>
      </c>
      <c r="AF201" s="7">
        <f t="shared" ca="1" si="114"/>
        <v>0</v>
      </c>
      <c r="AG201" s="7">
        <f t="shared" ca="1" si="114"/>
        <v>0</v>
      </c>
      <c r="AH201" s="7">
        <f t="shared" ca="1" si="114"/>
        <v>0</v>
      </c>
      <c r="AI201" s="7">
        <f t="shared" ca="1" si="114"/>
        <v>0</v>
      </c>
      <c r="AJ201" s="7">
        <f t="shared" ca="1" si="114"/>
        <v>0</v>
      </c>
      <c r="AK201" s="7">
        <f t="shared" ca="1" si="114"/>
        <v>0</v>
      </c>
      <c r="AL201" s="7">
        <f t="shared" ca="1" si="114"/>
        <v>0</v>
      </c>
      <c r="AM201" s="7">
        <f t="shared" ca="1" si="114"/>
        <v>0</v>
      </c>
    </row>
    <row r="202" spans="1:39" x14ac:dyDescent="0.2">
      <c r="A202" s="3" t="s">
        <v>26</v>
      </c>
      <c r="C202" s="7">
        <f t="shared" ref="C202:AM202" ca="1" si="115">C199*VLOOKUP($A197,AssVar,3,FALSE)</f>
        <v>0</v>
      </c>
      <c r="D202" s="7">
        <f t="shared" ca="1" si="115"/>
        <v>0</v>
      </c>
      <c r="E202" s="7">
        <f t="shared" ca="1" si="115"/>
        <v>0</v>
      </c>
      <c r="F202" s="7">
        <f t="shared" ca="1" si="115"/>
        <v>0</v>
      </c>
      <c r="G202" s="7">
        <f t="shared" ca="1" si="115"/>
        <v>0</v>
      </c>
      <c r="H202" s="7">
        <f t="shared" ca="1" si="115"/>
        <v>0</v>
      </c>
      <c r="I202" s="7">
        <f t="shared" ca="1" si="115"/>
        <v>0</v>
      </c>
      <c r="J202" s="7">
        <f t="shared" ca="1" si="115"/>
        <v>0</v>
      </c>
      <c r="K202" s="7">
        <f t="shared" ca="1" si="115"/>
        <v>0</v>
      </c>
      <c r="L202" s="7">
        <f t="shared" ca="1" si="115"/>
        <v>-23370.499246467716</v>
      </c>
      <c r="M202" s="7">
        <f t="shared" ca="1" si="115"/>
        <v>0</v>
      </c>
      <c r="N202" s="7">
        <f t="shared" ca="1" si="115"/>
        <v>0</v>
      </c>
      <c r="O202" s="7">
        <f t="shared" ca="1" si="115"/>
        <v>0</v>
      </c>
      <c r="P202" s="7">
        <f t="shared" ca="1" si="115"/>
        <v>0</v>
      </c>
      <c r="Q202" s="7">
        <f t="shared" ca="1" si="115"/>
        <v>0</v>
      </c>
      <c r="R202" s="7">
        <f t="shared" ca="1" si="115"/>
        <v>0</v>
      </c>
      <c r="S202" s="7">
        <f t="shared" ca="1" si="115"/>
        <v>0</v>
      </c>
      <c r="T202" s="7">
        <f t="shared" ca="1" si="115"/>
        <v>0</v>
      </c>
      <c r="U202" s="7">
        <f t="shared" ca="1" si="115"/>
        <v>0</v>
      </c>
      <c r="V202" s="7">
        <f t="shared" ca="1" si="115"/>
        <v>0</v>
      </c>
      <c r="W202" s="7">
        <f t="shared" ca="1" si="115"/>
        <v>0</v>
      </c>
      <c r="X202" s="7">
        <f t="shared" ca="1" si="115"/>
        <v>0</v>
      </c>
      <c r="Y202" s="7">
        <f t="shared" ca="1" si="115"/>
        <v>0</v>
      </c>
      <c r="Z202" s="7">
        <f t="shared" ca="1" si="115"/>
        <v>0</v>
      </c>
      <c r="AA202" s="7">
        <f t="shared" ca="1" si="115"/>
        <v>0</v>
      </c>
      <c r="AB202" s="7">
        <f t="shared" ca="1" si="115"/>
        <v>0</v>
      </c>
      <c r="AC202" s="7">
        <f t="shared" ca="1" si="115"/>
        <v>0</v>
      </c>
      <c r="AD202" s="7">
        <f t="shared" ca="1" si="115"/>
        <v>0</v>
      </c>
      <c r="AE202" s="7">
        <f t="shared" ca="1" si="115"/>
        <v>0</v>
      </c>
      <c r="AF202" s="7">
        <f t="shared" ca="1" si="115"/>
        <v>0</v>
      </c>
      <c r="AG202" s="7">
        <f t="shared" ca="1" si="115"/>
        <v>0</v>
      </c>
      <c r="AH202" s="7">
        <f t="shared" ca="1" si="115"/>
        <v>0</v>
      </c>
      <c r="AI202" s="7">
        <f t="shared" ca="1" si="115"/>
        <v>0</v>
      </c>
      <c r="AJ202" s="7">
        <f t="shared" ca="1" si="115"/>
        <v>0</v>
      </c>
      <c r="AK202" s="7">
        <f t="shared" ca="1" si="115"/>
        <v>0</v>
      </c>
      <c r="AL202" s="7">
        <f t="shared" ca="1" si="115"/>
        <v>0</v>
      </c>
      <c r="AM202" s="7">
        <f t="shared" si="115"/>
        <v>0</v>
      </c>
    </row>
    <row r="203" spans="1:39" x14ac:dyDescent="0.2">
      <c r="A203" s="3" t="s">
        <v>31</v>
      </c>
      <c r="C203" s="7">
        <f t="shared" ref="C203:AM203" ca="1" si="116">IFERROR(-IF(C198=0,VLOOKUP($A197,$8:$12,C$1+2,FALSE),0),0)</f>
        <v>0</v>
      </c>
      <c r="D203" s="7">
        <f t="shared" ca="1" si="116"/>
        <v>0</v>
      </c>
      <c r="E203" s="7">
        <f t="shared" ca="1" si="116"/>
        <v>0</v>
      </c>
      <c r="F203" s="7">
        <f t="shared" ca="1" si="116"/>
        <v>0</v>
      </c>
      <c r="G203" s="7">
        <f t="shared" ca="1" si="116"/>
        <v>0</v>
      </c>
      <c r="H203" s="7">
        <f t="shared" ca="1" si="116"/>
        <v>0</v>
      </c>
      <c r="I203" s="7">
        <f t="shared" ca="1" si="116"/>
        <v>0</v>
      </c>
      <c r="J203" s="7">
        <f t="shared" ca="1" si="116"/>
        <v>0</v>
      </c>
      <c r="K203" s="7">
        <f t="shared" ca="1" si="116"/>
        <v>0</v>
      </c>
      <c r="L203" s="7">
        <f t="shared" ca="1" si="116"/>
        <v>0</v>
      </c>
      <c r="M203" s="7">
        <f t="shared" ca="1" si="116"/>
        <v>-7279.5470547806617</v>
      </c>
      <c r="N203" s="7">
        <f t="shared" ca="1" si="116"/>
        <v>-7497.9334664240814</v>
      </c>
      <c r="O203" s="7">
        <f t="shared" ca="1" si="116"/>
        <v>-7722.8714704168042</v>
      </c>
      <c r="P203" s="7">
        <f t="shared" ca="1" si="116"/>
        <v>-7954.5576145293089</v>
      </c>
      <c r="Q203" s="7">
        <f t="shared" ca="1" si="116"/>
        <v>-8193.1943429651892</v>
      </c>
      <c r="R203" s="7">
        <f t="shared" ca="1" si="116"/>
        <v>-8438.9901732541457</v>
      </c>
      <c r="S203" s="7">
        <f t="shared" ca="1" si="116"/>
        <v>-8692.1598784517701</v>
      </c>
      <c r="T203" s="7">
        <f t="shared" ca="1" si="116"/>
        <v>-8952.9246748053229</v>
      </c>
      <c r="U203" s="7">
        <f t="shared" ca="1" si="116"/>
        <v>-9221.512415049483</v>
      </c>
      <c r="V203" s="7">
        <f t="shared" ca="1" si="116"/>
        <v>-9498.157787500968</v>
      </c>
      <c r="W203" s="7">
        <f t="shared" ca="1" si="116"/>
        <v>-9783.1025211259966</v>
      </c>
      <c r="X203" s="7">
        <f t="shared" ca="1" si="116"/>
        <v>-10076.595596759777</v>
      </c>
      <c r="Y203" s="7">
        <f t="shared" ca="1" si="116"/>
        <v>-10378.893464662569</v>
      </c>
      <c r="Z203" s="7">
        <f t="shared" ca="1" si="116"/>
        <v>-10690.260268602447</v>
      </c>
      <c r="AA203" s="7">
        <f t="shared" ca="1" si="116"/>
        <v>-11010.968076660522</v>
      </c>
      <c r="AB203" s="7">
        <f t="shared" ca="1" si="116"/>
        <v>-11341.297118960338</v>
      </c>
      <c r="AC203" s="7">
        <f t="shared" ca="1" si="116"/>
        <v>-11681.536032529148</v>
      </c>
      <c r="AD203" s="7">
        <f t="shared" ca="1" si="116"/>
        <v>-12031.982113505022</v>
      </c>
      <c r="AE203" s="7">
        <f t="shared" ca="1" si="116"/>
        <v>-12392.941576910174</v>
      </c>
      <c r="AF203" s="7">
        <f t="shared" ca="1" si="116"/>
        <v>-12764.72982421748</v>
      </c>
      <c r="AG203" s="7">
        <f t="shared" ca="1" si="116"/>
        <v>-13147.671718944004</v>
      </c>
      <c r="AH203" s="7">
        <f t="shared" ca="1" si="116"/>
        <v>-13542.101870512324</v>
      </c>
      <c r="AI203" s="7">
        <f t="shared" ca="1" si="116"/>
        <v>-13948.364926627693</v>
      </c>
      <c r="AJ203" s="7">
        <f t="shared" ca="1" si="116"/>
        <v>-14366.815874426524</v>
      </c>
      <c r="AK203" s="7">
        <f t="shared" ca="1" si="116"/>
        <v>-14797.82035065932</v>
      </c>
      <c r="AL203" s="7">
        <f t="shared" ca="1" si="116"/>
        <v>-15241.7549611791</v>
      </c>
      <c r="AM203" s="7">
        <f t="shared" ca="1" si="116"/>
        <v>-15699.007610014474</v>
      </c>
    </row>
    <row r="204" spans="1:39" x14ac:dyDescent="0.2">
      <c r="A204" s="3" t="s">
        <v>50</v>
      </c>
      <c r="C204" s="7">
        <f t="shared" ref="C204:AM204" ca="1" si="117">IFERROR(IF(C198=0,VLOOKUP($A197,$45:$49,C$1+2,FALSE),0),0)</f>
        <v>0</v>
      </c>
      <c r="D204" s="7">
        <f t="shared" ca="1" si="117"/>
        <v>0</v>
      </c>
      <c r="E204" s="7">
        <f t="shared" ca="1" si="117"/>
        <v>0</v>
      </c>
      <c r="F204" s="7">
        <f t="shared" ca="1" si="117"/>
        <v>0</v>
      </c>
      <c r="G204" s="7">
        <f t="shared" ca="1" si="117"/>
        <v>0</v>
      </c>
      <c r="H204" s="7">
        <f t="shared" ca="1" si="117"/>
        <v>0</v>
      </c>
      <c r="I204" s="7">
        <f t="shared" ca="1" si="117"/>
        <v>0</v>
      </c>
      <c r="J204" s="7">
        <f t="shared" ca="1" si="117"/>
        <v>0</v>
      </c>
      <c r="K204" s="7">
        <f t="shared" ca="1" si="117"/>
        <v>0</v>
      </c>
      <c r="L204" s="7">
        <f t="shared" ca="1" si="117"/>
        <v>0</v>
      </c>
      <c r="M204" s="7">
        <f t="shared" ca="1" si="117"/>
        <v>1024.0676353570857</v>
      </c>
      <c r="N204" s="7">
        <f t="shared" ca="1" si="117"/>
        <v>1049.6693262410129</v>
      </c>
      <c r="O204" s="7">
        <f t="shared" ca="1" si="117"/>
        <v>1075.9110593970381</v>
      </c>
      <c r="P204" s="7">
        <f t="shared" ca="1" si="117"/>
        <v>1102.8088358819639</v>
      </c>
      <c r="Q204" s="7">
        <f t="shared" ca="1" si="117"/>
        <v>1130.3790567790129</v>
      </c>
      <c r="R204" s="7">
        <f t="shared" ca="1" si="117"/>
        <v>1158.6385331984884</v>
      </c>
      <c r="S204" s="7">
        <f t="shared" ca="1" si="117"/>
        <v>1187.6044965284505</v>
      </c>
      <c r="T204" s="7">
        <f t="shared" ca="1" si="117"/>
        <v>1217.2946089416616</v>
      </c>
      <c r="U204" s="7">
        <f t="shared" ca="1" si="117"/>
        <v>1247.7269741652033</v>
      </c>
      <c r="V204" s="7">
        <f t="shared" ca="1" si="117"/>
        <v>1278.9201485193332</v>
      </c>
      <c r="W204" s="7">
        <f t="shared" ca="1" si="117"/>
        <v>1310.8931522323164</v>
      </c>
      <c r="X204" s="7">
        <f t="shared" ca="1" si="117"/>
        <v>1343.6654810381242</v>
      </c>
      <c r="Y204" s="7">
        <f t="shared" ca="1" si="117"/>
        <v>1377.2571180640773</v>
      </c>
      <c r="Z204" s="7">
        <f t="shared" ca="1" si="117"/>
        <v>1411.6885460156793</v>
      </c>
      <c r="AA204" s="7">
        <f t="shared" ca="1" si="117"/>
        <v>1446.9807596660712</v>
      </c>
      <c r="AB204" s="7">
        <f t="shared" ca="1" si="117"/>
        <v>1483.1552786577226</v>
      </c>
      <c r="AC204" s="7">
        <f t="shared" ca="1" si="117"/>
        <v>1520.2341606241657</v>
      </c>
      <c r="AD204" s="7">
        <f t="shared" ca="1" si="117"/>
        <v>1558.2400146397697</v>
      </c>
      <c r="AE204" s="7">
        <f t="shared" ca="1" si="117"/>
        <v>1597.1960150057639</v>
      </c>
      <c r="AF204" s="7">
        <f t="shared" ca="1" si="117"/>
        <v>1637.1259153809081</v>
      </c>
      <c r="AG204" s="7">
        <f t="shared" ca="1" si="117"/>
        <v>1678.0540632654304</v>
      </c>
      <c r="AH204" s="7">
        <f t="shared" ca="1" si="117"/>
        <v>1720.0054148470667</v>
      </c>
      <c r="AI204" s="7">
        <f t="shared" ca="1" si="117"/>
        <v>1763.0055502182429</v>
      </c>
      <c r="AJ204" s="7">
        <f t="shared" ca="1" si="117"/>
        <v>1807.0806889736989</v>
      </c>
      <c r="AK204" s="7">
        <f t="shared" ca="1" si="117"/>
        <v>1852.2577061980414</v>
      </c>
      <c r="AL204" s="7">
        <f t="shared" ca="1" si="117"/>
        <v>1898.5641488529923</v>
      </c>
      <c r="AM204" s="7">
        <f t="shared" ca="1" si="117"/>
        <v>1946.0282525743171</v>
      </c>
    </row>
    <row r="205" spans="1:39" x14ac:dyDescent="0.2">
      <c r="A205" s="3" t="s">
        <v>36</v>
      </c>
      <c r="B205" s="14" t="str">
        <f>A197</f>
        <v>Marsa</v>
      </c>
      <c r="C205" s="7">
        <f t="shared" ref="C205:AM205" ca="1" si="118">IF(AND(C198&gt;0,C201=0),VLOOKUP($A197,$83:$92,C$1+2,FALSE),0)</f>
        <v>0</v>
      </c>
      <c r="D205" s="7">
        <f t="shared" ca="1" si="118"/>
        <v>0</v>
      </c>
      <c r="E205" s="7">
        <f t="shared" ca="1" si="118"/>
        <v>0</v>
      </c>
      <c r="F205" s="7">
        <f t="shared" ca="1" si="118"/>
        <v>0</v>
      </c>
      <c r="G205" s="7">
        <f t="shared" ca="1" si="118"/>
        <v>0</v>
      </c>
      <c r="H205" s="7">
        <f t="shared" ca="1" si="118"/>
        <v>0</v>
      </c>
      <c r="I205" s="7">
        <f t="shared" ca="1" si="118"/>
        <v>0</v>
      </c>
      <c r="J205" s="7">
        <f t="shared" ca="1" si="118"/>
        <v>0</v>
      </c>
      <c r="K205" s="7">
        <f t="shared" ca="1" si="118"/>
        <v>0</v>
      </c>
      <c r="L205" s="7">
        <f t="shared" ca="1" si="118"/>
        <v>0</v>
      </c>
      <c r="M205" s="7">
        <f t="shared" ca="1" si="118"/>
        <v>0</v>
      </c>
      <c r="N205" s="7">
        <f t="shared" ca="1" si="118"/>
        <v>0</v>
      </c>
      <c r="O205" s="7">
        <f t="shared" ca="1" si="118"/>
        <v>0</v>
      </c>
      <c r="P205" s="7">
        <f t="shared" ca="1" si="118"/>
        <v>0</v>
      </c>
      <c r="Q205" s="7">
        <f t="shared" ca="1" si="118"/>
        <v>0</v>
      </c>
      <c r="R205" s="7">
        <f t="shared" ca="1" si="118"/>
        <v>0</v>
      </c>
      <c r="S205" s="7">
        <f t="shared" ca="1" si="118"/>
        <v>0</v>
      </c>
      <c r="T205" s="7">
        <f t="shared" ca="1" si="118"/>
        <v>0</v>
      </c>
      <c r="U205" s="7">
        <f t="shared" ca="1" si="118"/>
        <v>0</v>
      </c>
      <c r="V205" s="7">
        <f t="shared" ca="1" si="118"/>
        <v>0</v>
      </c>
      <c r="W205" s="7">
        <f t="shared" ca="1" si="118"/>
        <v>0</v>
      </c>
      <c r="X205" s="7">
        <f t="shared" ca="1" si="118"/>
        <v>0</v>
      </c>
      <c r="Y205" s="7">
        <f t="shared" ca="1" si="118"/>
        <v>0</v>
      </c>
      <c r="Z205" s="7">
        <f t="shared" ca="1" si="118"/>
        <v>0</v>
      </c>
      <c r="AA205" s="7">
        <f t="shared" ca="1" si="118"/>
        <v>0</v>
      </c>
      <c r="AB205" s="7">
        <f t="shared" ca="1" si="118"/>
        <v>0</v>
      </c>
      <c r="AC205" s="7">
        <f t="shared" ca="1" si="118"/>
        <v>0</v>
      </c>
      <c r="AD205" s="7">
        <f t="shared" ca="1" si="118"/>
        <v>0</v>
      </c>
      <c r="AE205" s="7">
        <f t="shared" ca="1" si="118"/>
        <v>0</v>
      </c>
      <c r="AF205" s="7">
        <f t="shared" ca="1" si="118"/>
        <v>0</v>
      </c>
      <c r="AG205" s="7">
        <f t="shared" ca="1" si="118"/>
        <v>0</v>
      </c>
      <c r="AH205" s="7">
        <f t="shared" ca="1" si="118"/>
        <v>0</v>
      </c>
      <c r="AI205" s="7">
        <f t="shared" ca="1" si="118"/>
        <v>0</v>
      </c>
      <c r="AJ205" s="7">
        <f t="shared" ca="1" si="118"/>
        <v>0</v>
      </c>
      <c r="AK205" s="7">
        <f t="shared" ca="1" si="118"/>
        <v>0</v>
      </c>
      <c r="AL205" s="7">
        <f t="shared" ca="1" si="118"/>
        <v>0</v>
      </c>
      <c r="AM205" s="7">
        <f t="shared" ca="1" si="118"/>
        <v>0</v>
      </c>
    </row>
    <row r="206" spans="1:39" x14ac:dyDescent="0.2">
      <c r="A206" s="3" t="s">
        <v>37</v>
      </c>
      <c r="C206" s="7">
        <f ca="1">-C199+SUM(C202:C205)</f>
        <v>0</v>
      </c>
      <c r="D206" s="7">
        <f t="shared" ref="D206" ca="1" si="119">-D199+SUM(D202:D205)</f>
        <v>0</v>
      </c>
      <c r="E206" s="7">
        <f t="shared" ref="E206:AM206" ca="1" si="120">-E199+SUM(E202:E205)</f>
        <v>0</v>
      </c>
      <c r="F206" s="7">
        <f t="shared" ca="1" si="120"/>
        <v>0</v>
      </c>
      <c r="G206" s="7">
        <f t="shared" ca="1" si="120"/>
        <v>0</v>
      </c>
      <c r="H206" s="7">
        <f t="shared" ca="1" si="120"/>
        <v>0</v>
      </c>
      <c r="I206" s="7">
        <f t="shared" ca="1" si="120"/>
        <v>0</v>
      </c>
      <c r="J206" s="7">
        <f t="shared" ca="1" si="120"/>
        <v>0</v>
      </c>
      <c r="K206" s="7">
        <f t="shared" ca="1" si="120"/>
        <v>0</v>
      </c>
      <c r="L206" s="7">
        <f t="shared" ca="1" si="120"/>
        <v>132432.82906331707</v>
      </c>
      <c r="M206" s="7">
        <f t="shared" ca="1" si="120"/>
        <v>-6255.4794194235765</v>
      </c>
      <c r="N206" s="7">
        <f t="shared" ca="1" si="120"/>
        <v>-6448.2641401830688</v>
      </c>
      <c r="O206" s="7">
        <f t="shared" ca="1" si="120"/>
        <v>-6646.9604110197661</v>
      </c>
      <c r="P206" s="7">
        <f t="shared" ca="1" si="120"/>
        <v>-6851.7487786473448</v>
      </c>
      <c r="Q206" s="7">
        <f t="shared" ca="1" si="120"/>
        <v>-7062.8152861861763</v>
      </c>
      <c r="R206" s="7">
        <f t="shared" ca="1" si="120"/>
        <v>-7280.3516400556573</v>
      </c>
      <c r="S206" s="7">
        <f t="shared" ca="1" si="120"/>
        <v>-7504.5553819233191</v>
      </c>
      <c r="T206" s="7">
        <f t="shared" ca="1" si="120"/>
        <v>-7735.630065863661</v>
      </c>
      <c r="U206" s="7">
        <f t="shared" ca="1" si="120"/>
        <v>-7973.7854408842795</v>
      </c>
      <c r="V206" s="7">
        <f t="shared" ca="1" si="120"/>
        <v>-8219.2376389816345</v>
      </c>
      <c r="W206" s="7">
        <f t="shared" ca="1" si="120"/>
        <v>-8472.2093688936802</v>
      </c>
      <c r="X206" s="7">
        <f t="shared" ca="1" si="120"/>
        <v>-8732.9301157216523</v>
      </c>
      <c r="Y206" s="7">
        <f t="shared" ca="1" si="120"/>
        <v>-9001.6363465984923</v>
      </c>
      <c r="Z206" s="7">
        <f t="shared" ca="1" si="120"/>
        <v>-9278.5717225867684</v>
      </c>
      <c r="AA206" s="7">
        <f t="shared" ca="1" si="120"/>
        <v>-9563.9873169944512</v>
      </c>
      <c r="AB206" s="7">
        <f t="shared" ca="1" si="120"/>
        <v>-9858.1418403026146</v>
      </c>
      <c r="AC206" s="7">
        <f t="shared" ca="1" si="120"/>
        <v>-10161.301871904981</v>
      </c>
      <c r="AD206" s="7">
        <f t="shared" ca="1" si="120"/>
        <v>-10473.742098865252</v>
      </c>
      <c r="AE206" s="7">
        <f t="shared" ca="1" si="120"/>
        <v>-10795.74556190441</v>
      </c>
      <c r="AF206" s="7">
        <f t="shared" ca="1" si="120"/>
        <v>-11127.603908836572</v>
      </c>
      <c r="AG206" s="7">
        <f t="shared" ca="1" si="120"/>
        <v>-11469.617655678574</v>
      </c>
      <c r="AH206" s="7">
        <f t="shared" ca="1" si="120"/>
        <v>-11822.096455665258</v>
      </c>
      <c r="AI206" s="7">
        <f t="shared" ca="1" si="120"/>
        <v>-12185.359376409451</v>
      </c>
      <c r="AJ206" s="7">
        <f t="shared" ca="1" si="120"/>
        <v>-12559.735185452824</v>
      </c>
      <c r="AK206" s="7">
        <f t="shared" ca="1" si="120"/>
        <v>-12945.562644461279</v>
      </c>
      <c r="AL206" s="7">
        <f t="shared" ca="1" si="120"/>
        <v>-13343.190812326107</v>
      </c>
      <c r="AM206" s="7">
        <f t="shared" ca="1" si="120"/>
        <v>-13752.979357440157</v>
      </c>
    </row>
    <row r="207" spans="1:39" x14ac:dyDescent="0.2">
      <c r="A207" s="3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">
      <c r="A208" s="3" t="s">
        <v>71</v>
      </c>
      <c r="C208" s="7">
        <f ca="1">C194+SUM($C206:C206)</f>
        <v>12809.375000000015</v>
      </c>
      <c r="D208" s="7">
        <f ca="1">D194+SUM($C206:D206)</f>
        <v>24162.215625000026</v>
      </c>
      <c r="E208" s="7">
        <f ca="1">E194+SUM($C206:E206)</f>
        <v>58836.638502582922</v>
      </c>
      <c r="F208" s="7">
        <f ca="1">F194+SUM($C206:F206)</f>
        <v>86558.722373523749</v>
      </c>
      <c r="G208" s="7">
        <f ca="1">G194+SUM($C206:G206)</f>
        <v>105186.23146773443</v>
      </c>
      <c r="H208" s="7">
        <f ca="1">H194+SUM($C206:H206)</f>
        <v>45871.068761315822</v>
      </c>
      <c r="I208" s="7">
        <f ca="1">I194+SUM($C206:I206)</f>
        <v>102650.13853854903</v>
      </c>
      <c r="J208" s="7">
        <f ca="1">J194+SUM($C206:J206)</f>
        <v>67603.976876148823</v>
      </c>
      <c r="K208" s="7">
        <f ca="1">K194+SUM($C206:K206)</f>
        <v>13425.846909304215</v>
      </c>
      <c r="L208" s="7">
        <f ca="1">L194+SUM($C206:L206)</f>
        <v>174290.56534819934</v>
      </c>
      <c r="M208" s="7">
        <f ca="1">M194+SUM($C206:M206)</f>
        <v>100502.49720357076</v>
      </c>
      <c r="N208" s="7">
        <f ca="1">N194+SUM($C206:N206)</f>
        <v>74489.940381263455</v>
      </c>
      <c r="O208" s="7">
        <f ca="1">O194+SUM($C206:O206)</f>
        <v>48000.098872238959</v>
      </c>
      <c r="P208" s="7">
        <f ca="1">P194+SUM($C206:P206)</f>
        <v>21026.231436344766</v>
      </c>
      <c r="Q208" s="7">
        <f ca="1">Q194+SUM($C206:Q206)</f>
        <v>-6438.4159712654073</v>
      </c>
      <c r="R208" s="7">
        <f ca="1">R194+SUM($C206:R206)</f>
        <v>-34400.605848459032</v>
      </c>
      <c r="S208" s="7">
        <f ca="1">S194+SUM($C206:S206)</f>
        <v>-62867.104545507318</v>
      </c>
      <c r="T208" s="7">
        <f ca="1">T194+SUM($C206:T206)</f>
        <v>-73889.581923205027</v>
      </c>
      <c r="U208" s="7">
        <f ca="1">U194+SUM($C206:U206)</f>
        <v>-77182.721692778709</v>
      </c>
      <c r="V208" s="7">
        <f ca="1">V194+SUM($C206:V206)</f>
        <v>-80345.385823936595</v>
      </c>
      <c r="W208" s="7">
        <f ca="1">W194+SUM($C206:W206)</f>
        <v>-83367.928301738895</v>
      </c>
      <c r="X208" s="7">
        <f ca="1">X194+SUM($C206:X206)</f>
        <v>-86240.270437152532</v>
      </c>
      <c r="Y208" s="7">
        <f ca="1">Y194+SUM($C206:Y206)</f>
        <v>-109610.74107544892</v>
      </c>
      <c r="Z208" s="7">
        <f ca="1">Z194+SUM($C206:Z206)</f>
        <v>-133325.96055359524</v>
      </c>
      <c r="AA208" s="7">
        <f ca="1">AA194+SUM($C206:AA206)</f>
        <v>-157387.36220480426</v>
      </c>
      <c r="AB208" s="7">
        <f ca="1">AB194+SUM($C206:AB206)</f>
        <v>-181796.19963398605</v>
      </c>
      <c r="AC208" s="7">
        <f ca="1">AC194+SUM($C206:AC206)</f>
        <v>-206553.53575769049</v>
      </c>
      <c r="AD208" s="7">
        <f ca="1">AD194+SUM($C206:AD206)</f>
        <v>-231660.2313760446</v>
      </c>
      <c r="AE208" s="7">
        <f ca="1">AE194+SUM($C206:AE206)</f>
        <v>-247134.45816537528</v>
      </c>
      <c r="AF208" s="7">
        <f ca="1">AF194+SUM($C206:AF206)</f>
        <v>-262709.54966497206</v>
      </c>
      <c r="AG208" s="7">
        <f ca="1">AG194+SUM($C206:AG206)</f>
        <v>-278379.44776380766</v>
      </c>
      <c r="AH208" s="7">
        <f ca="1">AH194+SUM($C206:AH206)</f>
        <v>-294137.68550621532</v>
      </c>
      <c r="AI208" s="7">
        <f ca="1">AI194+SUM($C206:AI206)</f>
        <v>-309977.36914901761</v>
      </c>
      <c r="AJ208" s="7">
        <f ca="1">AJ194+SUM($C206:AJ206)</f>
        <v>-325891.15953842917</v>
      </c>
      <c r="AK208" s="7">
        <f ca="1">AK194+SUM($C206:AK206)</f>
        <v>-341871.25278278172</v>
      </c>
      <c r="AL208" s="7">
        <f ca="1">AL194+SUM($C206:AL206)</f>
        <v>-357909.36019630462</v>
      </c>
      <c r="AM208" s="7">
        <f ca="1">AM194+SUM($C206:AM206)</f>
        <v>-373996.68748836918</v>
      </c>
    </row>
    <row r="209" spans="1:39" x14ac:dyDescent="0.2">
      <c r="A209" s="3" t="s">
        <v>68</v>
      </c>
      <c r="C209" s="7">
        <f t="shared" ref="C209:AM209" ca="1" si="121">MAX(C208+buffer,0)-MAX(C194+buffer,0)</f>
        <v>0</v>
      </c>
      <c r="D209" s="7">
        <f t="shared" ca="1" si="121"/>
        <v>0</v>
      </c>
      <c r="E209" s="7">
        <f t="shared" ca="1" si="121"/>
        <v>0</v>
      </c>
      <c r="F209" s="7">
        <f t="shared" ca="1" si="121"/>
        <v>0</v>
      </c>
      <c r="G209" s="7">
        <f t="shared" ca="1" si="121"/>
        <v>0</v>
      </c>
      <c r="H209" s="7">
        <f t="shared" ca="1" si="121"/>
        <v>0</v>
      </c>
      <c r="I209" s="7">
        <f t="shared" ca="1" si="121"/>
        <v>0</v>
      </c>
      <c r="J209" s="7">
        <f t="shared" ca="1" si="121"/>
        <v>0</v>
      </c>
      <c r="K209" s="7">
        <f t="shared" ca="1" si="121"/>
        <v>0</v>
      </c>
      <c r="L209" s="7">
        <f t="shared" ca="1" si="121"/>
        <v>132432.82906331707</v>
      </c>
      <c r="M209" s="7">
        <f t="shared" ca="1" si="121"/>
        <v>126177.3496438935</v>
      </c>
      <c r="N209" s="7">
        <f t="shared" ca="1" si="121"/>
        <v>119729.08550371043</v>
      </c>
      <c r="O209" s="7">
        <f t="shared" ca="1" si="121"/>
        <v>98000.098872238959</v>
      </c>
      <c r="P209" s="7">
        <f t="shared" ca="1" si="121"/>
        <v>71026.231436344766</v>
      </c>
      <c r="Q209" s="7">
        <f t="shared" ca="1" si="121"/>
        <v>43561.584028734593</v>
      </c>
      <c r="R209" s="7">
        <f t="shared" ca="1" si="121"/>
        <v>15599.394151540968</v>
      </c>
      <c r="S209" s="7">
        <f t="shared" ca="1" si="121"/>
        <v>0</v>
      </c>
      <c r="T209" s="7">
        <f t="shared" ca="1" si="121"/>
        <v>0</v>
      </c>
      <c r="U209" s="7">
        <f t="shared" ca="1" si="121"/>
        <v>0</v>
      </c>
      <c r="V209" s="7">
        <f t="shared" ca="1" si="121"/>
        <v>0</v>
      </c>
      <c r="W209" s="7">
        <f t="shared" ca="1" si="121"/>
        <v>0</v>
      </c>
      <c r="X209" s="7">
        <f t="shared" ca="1" si="121"/>
        <v>0</v>
      </c>
      <c r="Y209" s="7">
        <f t="shared" ca="1" si="121"/>
        <v>0</v>
      </c>
      <c r="Z209" s="7">
        <f t="shared" ca="1" si="121"/>
        <v>0</v>
      </c>
      <c r="AA209" s="7">
        <f t="shared" ca="1" si="121"/>
        <v>0</v>
      </c>
      <c r="AB209" s="7">
        <f t="shared" ca="1" si="121"/>
        <v>0</v>
      </c>
      <c r="AC209" s="7">
        <f t="shared" ca="1" si="121"/>
        <v>0</v>
      </c>
      <c r="AD209" s="7">
        <f t="shared" ca="1" si="121"/>
        <v>0</v>
      </c>
      <c r="AE209" s="7">
        <f t="shared" ca="1" si="121"/>
        <v>0</v>
      </c>
      <c r="AF209" s="7">
        <f t="shared" ca="1" si="121"/>
        <v>0</v>
      </c>
      <c r="AG209" s="7">
        <f t="shared" ca="1" si="121"/>
        <v>0</v>
      </c>
      <c r="AH209" s="7">
        <f t="shared" ca="1" si="121"/>
        <v>0</v>
      </c>
      <c r="AI209" s="7">
        <f t="shared" ca="1" si="121"/>
        <v>0</v>
      </c>
      <c r="AJ209" s="7">
        <f t="shared" ca="1" si="121"/>
        <v>0</v>
      </c>
      <c r="AK209" s="7">
        <f t="shared" ca="1" si="121"/>
        <v>0</v>
      </c>
      <c r="AL209" s="7">
        <f t="shared" ca="1" si="121"/>
        <v>0</v>
      </c>
      <c r="AM209" s="7">
        <f t="shared" ca="1" si="121"/>
        <v>0</v>
      </c>
    </row>
    <row r="210" spans="1:39" x14ac:dyDescent="0.2">
      <c r="A210" s="3" t="s">
        <v>69</v>
      </c>
      <c r="C210" s="7">
        <f ca="1">C209*Inputs!$B$259</f>
        <v>0</v>
      </c>
      <c r="D210" s="7">
        <f ca="1">D209*Inputs!$B$259</f>
        <v>0</v>
      </c>
      <c r="E210" s="7">
        <f ca="1">E209*Inputs!$B$259</f>
        <v>0</v>
      </c>
      <c r="F210" s="7">
        <f ca="1">F209*Inputs!$B$259</f>
        <v>0</v>
      </c>
      <c r="G210" s="7">
        <f ca="1">G209*Inputs!$B$259</f>
        <v>0</v>
      </c>
      <c r="H210" s="7">
        <f ca="1">H209*Inputs!$B$259</f>
        <v>0</v>
      </c>
      <c r="I210" s="7">
        <f ca="1">I209*Inputs!$B$259</f>
        <v>0</v>
      </c>
      <c r="J210" s="7">
        <f ca="1">J209*Inputs!$B$259</f>
        <v>0</v>
      </c>
      <c r="K210" s="7">
        <f ca="1">K209*Inputs!$B$259</f>
        <v>0</v>
      </c>
      <c r="L210" s="7">
        <f ca="1">L209*Inputs!$B$259</f>
        <v>3310.8207265829269</v>
      </c>
      <c r="M210" s="7">
        <f ca="1">M209*Inputs!$B$259</f>
        <v>3154.4337410973376</v>
      </c>
      <c r="N210" s="7">
        <f ca="1">N209*Inputs!$B$259</f>
        <v>2993.2271375927612</v>
      </c>
      <c r="O210" s="7">
        <f ca="1">O209*Inputs!$B$259</f>
        <v>2450.002471805974</v>
      </c>
      <c r="P210" s="7">
        <f ca="1">P209*Inputs!$B$259</f>
        <v>1775.6557859086192</v>
      </c>
      <c r="Q210" s="7">
        <f ca="1">Q209*Inputs!$B$259</f>
        <v>1089.0396007183649</v>
      </c>
      <c r="R210" s="7">
        <f ca="1">R209*Inputs!$B$259</f>
        <v>389.98485378852422</v>
      </c>
      <c r="S210" s="7">
        <f ca="1">S209*Inputs!$B$259</f>
        <v>0</v>
      </c>
      <c r="T210" s="7">
        <f ca="1">T209*Inputs!$B$259</f>
        <v>0</v>
      </c>
      <c r="U210" s="7">
        <f ca="1">U209*Inputs!$B$259</f>
        <v>0</v>
      </c>
      <c r="V210" s="7">
        <f ca="1">V209*Inputs!$B$259</f>
        <v>0</v>
      </c>
      <c r="W210" s="7">
        <f ca="1">W209*Inputs!$B$259</f>
        <v>0</v>
      </c>
      <c r="X210" s="7">
        <f ca="1">X209*Inputs!$B$259</f>
        <v>0</v>
      </c>
      <c r="Y210" s="7">
        <f ca="1">Y209*Inputs!$B$259</f>
        <v>0</v>
      </c>
      <c r="Z210" s="7">
        <f ca="1">Z209*Inputs!$B$259</f>
        <v>0</v>
      </c>
      <c r="AA210" s="7">
        <f ca="1">AA209*Inputs!$B$259</f>
        <v>0</v>
      </c>
      <c r="AB210" s="7">
        <f ca="1">AB209*Inputs!$B$259</f>
        <v>0</v>
      </c>
      <c r="AC210" s="7">
        <f ca="1">AC209*Inputs!$B$259</f>
        <v>0</v>
      </c>
      <c r="AD210" s="7">
        <f ca="1">AD209*Inputs!$B$259</f>
        <v>0</v>
      </c>
      <c r="AE210" s="7">
        <f ca="1">AE209*Inputs!$B$259</f>
        <v>0</v>
      </c>
      <c r="AF210" s="7">
        <f ca="1">AF209*Inputs!$B$259</f>
        <v>0</v>
      </c>
      <c r="AG210" s="7">
        <f ca="1">AG209*Inputs!$B$259</f>
        <v>0</v>
      </c>
      <c r="AH210" s="7">
        <f ca="1">AH209*Inputs!$B$259</f>
        <v>0</v>
      </c>
      <c r="AI210" s="7">
        <f ca="1">AI209*Inputs!$B$259</f>
        <v>0</v>
      </c>
      <c r="AJ210" s="7">
        <f ca="1">AJ209*Inputs!$B$259</f>
        <v>0</v>
      </c>
      <c r="AK210" s="7">
        <f ca="1">AK209*Inputs!$B$259</f>
        <v>0</v>
      </c>
      <c r="AL210" s="7">
        <f ca="1">AL209*Inputs!$B$259</f>
        <v>0</v>
      </c>
      <c r="AM210" s="7">
        <f ca="1">AM209*Inputs!$B$259</f>
        <v>0</v>
      </c>
    </row>
    <row r="211" spans="1:39" x14ac:dyDescent="0.2">
      <c r="A211" s="3" t="s">
        <v>150</v>
      </c>
      <c r="C211" s="7">
        <f ca="1">C208+SUM($C210:C210)</f>
        <v>12809.375000000015</v>
      </c>
      <c r="D211" s="7">
        <f ca="1">D208+SUM($C210:D210)</f>
        <v>24162.215625000026</v>
      </c>
      <c r="E211" s="7">
        <f ca="1">E208+SUM($C210:E210)</f>
        <v>58836.638502582922</v>
      </c>
      <c r="F211" s="7">
        <f ca="1">F208+SUM($C210:F210)</f>
        <v>86558.722373523749</v>
      </c>
      <c r="G211" s="7">
        <f ca="1">G208+SUM($C210:G210)</f>
        <v>105186.23146773443</v>
      </c>
      <c r="H211" s="7">
        <f ca="1">H208+SUM($C210:H210)</f>
        <v>45871.068761315822</v>
      </c>
      <c r="I211" s="7">
        <f ca="1">I208+SUM($C210:I210)</f>
        <v>102650.13853854903</v>
      </c>
      <c r="J211" s="7">
        <f ca="1">J208+SUM($C210:J210)</f>
        <v>67603.976876148823</v>
      </c>
      <c r="K211" s="7">
        <f ca="1">K208+SUM($C210:K210)</f>
        <v>13425.846909304215</v>
      </c>
      <c r="L211" s="7">
        <f ca="1">L208+SUM($C210:L210)</f>
        <v>177601.38607478226</v>
      </c>
      <c r="M211" s="7">
        <f ca="1">M208+SUM($C210:M210)</f>
        <v>106967.75167125103</v>
      </c>
      <c r="N211" s="7">
        <f ca="1">N208+SUM($C210:N210)</f>
        <v>83948.421986536487</v>
      </c>
      <c r="O211" s="7">
        <f ca="1">O208+SUM($C210:O210)</f>
        <v>59908.582949317963</v>
      </c>
      <c r="P211" s="7">
        <f ca="1">P208+SUM($C210:P210)</f>
        <v>34710.371299332386</v>
      </c>
      <c r="Q211" s="7">
        <f ca="1">Q208+SUM($C210:Q210)</f>
        <v>8334.7634924405756</v>
      </c>
      <c r="R211" s="7">
        <f ca="1">R208+SUM($C210:R210)</f>
        <v>-19237.441530964526</v>
      </c>
      <c r="S211" s="7">
        <f ca="1">S208+SUM($C210:S210)</f>
        <v>-47703.940228012812</v>
      </c>
      <c r="T211" s="7">
        <f ca="1">T208+SUM($C210:T210)</f>
        <v>-58726.417605710521</v>
      </c>
      <c r="U211" s="7">
        <f ca="1">U208+SUM($C210:U210)</f>
        <v>-62019.557375284203</v>
      </c>
      <c r="V211" s="7">
        <f ca="1">V208+SUM($C210:V210)</f>
        <v>-65182.221506442089</v>
      </c>
      <c r="W211" s="7">
        <f ca="1">W208+SUM($C210:W210)</f>
        <v>-68204.76398424439</v>
      </c>
      <c r="X211" s="7">
        <f ca="1">X208+SUM($C210:X210)</f>
        <v>-71077.106119658027</v>
      </c>
      <c r="Y211" s="7">
        <f ca="1">Y208+SUM($C210:Y210)</f>
        <v>-94447.576757954419</v>
      </c>
      <c r="Z211" s="7">
        <f ca="1">Z208+SUM($C210:Z210)</f>
        <v>-118162.79623610074</v>
      </c>
      <c r="AA211" s="7">
        <f ca="1">AA208+SUM($C210:AA210)</f>
        <v>-142224.19788730974</v>
      </c>
      <c r="AB211" s="7">
        <f ca="1">AB208+SUM($C210:AB210)</f>
        <v>-166633.03531649153</v>
      </c>
      <c r="AC211" s="7">
        <f ca="1">AC208+SUM($C210:AC210)</f>
        <v>-191390.37144019597</v>
      </c>
      <c r="AD211" s="7">
        <f ca="1">AD208+SUM($C210:AD210)</f>
        <v>-216497.06705855008</v>
      </c>
      <c r="AE211" s="7">
        <f ca="1">AE208+SUM($C210:AE210)</f>
        <v>-231971.29384788076</v>
      </c>
      <c r="AF211" s="7">
        <f ca="1">AF208+SUM($C210:AF210)</f>
        <v>-247546.38534747754</v>
      </c>
      <c r="AG211" s="7">
        <f ca="1">AG208+SUM($C210:AG210)</f>
        <v>-263216.28344631317</v>
      </c>
      <c r="AH211" s="7">
        <f ca="1">AH208+SUM($C210:AH210)</f>
        <v>-278974.52118872083</v>
      </c>
      <c r="AI211" s="7">
        <f ca="1">AI208+SUM($C210:AI210)</f>
        <v>-294814.20483152312</v>
      </c>
      <c r="AJ211" s="7">
        <f ca="1">AJ208+SUM($C210:AJ210)</f>
        <v>-310727.99522093468</v>
      </c>
      <c r="AK211" s="7">
        <f ca="1">AK208+SUM($C210:AK210)</f>
        <v>-326708.08846528723</v>
      </c>
      <c r="AL211" s="7">
        <f ca="1">AL208+SUM($C210:AL210)</f>
        <v>-342746.19587881013</v>
      </c>
      <c r="AM211" s="7">
        <f ca="1">AM208+SUM($C210:AM210)</f>
        <v>-358833.52317087469</v>
      </c>
    </row>
    <row r="212" spans="1:39" x14ac:dyDescent="0.2">
      <c r="A212" s="3" t="s">
        <v>20</v>
      </c>
      <c r="C212" s="7">
        <f ca="1">IF(C211&lt;0,-C211,0)</f>
        <v>0</v>
      </c>
      <c r="D212" s="7">
        <f ca="1">IF(D211+SUM($C212:C212)&lt;0,-(D211+SUM($C212:C212)),0)</f>
        <v>0</v>
      </c>
      <c r="E212" s="7">
        <f ca="1">IF(E211+SUM($C212:D212)&lt;0,-(E211+SUM($C212:D212)),0)</f>
        <v>0</v>
      </c>
      <c r="F212" s="7">
        <f ca="1">IF(F211+SUM($C212:E212)&lt;0,-(F211+SUM($C212:E212)),0)</f>
        <v>0</v>
      </c>
      <c r="G212" s="7">
        <f ca="1">IF(G211+SUM($C212:F212)&lt;0,-(G211+SUM($C212:F212)),0)</f>
        <v>0</v>
      </c>
      <c r="H212" s="7">
        <f ca="1">IF(H211+SUM($C212:G212)&lt;0,-(H211+SUM($C212:G212)),0)</f>
        <v>0</v>
      </c>
      <c r="I212" s="7">
        <f ca="1">IF(I211+SUM($C212:H212)&lt;0,-(I211+SUM($C212:H212)),0)</f>
        <v>0</v>
      </c>
      <c r="J212" s="7">
        <f ca="1">IF(J211+SUM($C212:I212)&lt;0,-(J211+SUM($C212:I212)),0)</f>
        <v>0</v>
      </c>
      <c r="K212" s="7">
        <f ca="1">IF(K211+SUM($C212:J212)&lt;0,-(K211+SUM($C212:J212)),0)</f>
        <v>0</v>
      </c>
      <c r="L212" s="7">
        <f ca="1">IF(L211+SUM($C212:K212)&lt;0,-(L211+SUM($C212:K212)),0)</f>
        <v>0</v>
      </c>
      <c r="M212" s="7">
        <f ca="1">IF(M211+SUM($C212:L212)&lt;0,-(M211+SUM($C212:L212)),0)</f>
        <v>0</v>
      </c>
      <c r="N212" s="7">
        <f ca="1">IF(N211+SUM($C212:M212)&lt;0,-(N211+SUM($C212:M212)),0)</f>
        <v>0</v>
      </c>
      <c r="O212" s="7">
        <f ca="1">IF(O211+SUM($C212:N212)&lt;0,-(O211+SUM($C212:N212)),0)</f>
        <v>0</v>
      </c>
      <c r="P212" s="7">
        <f ca="1">IF(P211+SUM($C212:O212)&lt;0,-(P211+SUM($C212:O212)),0)</f>
        <v>0</v>
      </c>
      <c r="Q212" s="7">
        <f ca="1">IF(Q211+SUM($C212:P212)&lt;0,-(Q211+SUM($C212:P212)),0)</f>
        <v>0</v>
      </c>
      <c r="R212" s="7">
        <f ca="1">IF(R211+SUM($C212:Q212)&lt;0,-(R211+SUM($C212:Q212)),0)</f>
        <v>19237.441530964526</v>
      </c>
      <c r="S212" s="7">
        <f ca="1">IF(S211+SUM($C212:R212)&lt;0,-(S211+SUM($C212:R212)),0)</f>
        <v>28466.498697048286</v>
      </c>
      <c r="T212" s="7">
        <f ca="1">IF(T211+SUM($C212:S212)&lt;0,-(T211+SUM($C212:S212)),0)</f>
        <v>11022.477377697709</v>
      </c>
      <c r="U212" s="7">
        <f ca="1">IF(U211+SUM($C212:T212)&lt;0,-(U211+SUM($C212:T212)),0)</f>
        <v>3293.1397695736814</v>
      </c>
      <c r="V212" s="7">
        <f ca="1">IF(V211+SUM($C212:U212)&lt;0,-(V211+SUM($C212:U212)),0)</f>
        <v>3162.664131157886</v>
      </c>
      <c r="W212" s="7">
        <f ca="1">IF(W211+SUM($C212:V212)&lt;0,-(W211+SUM($C212:V212)),0)</f>
        <v>3022.5424778023007</v>
      </c>
      <c r="X212" s="7">
        <f ca="1">IF(X211+SUM($C212:W212)&lt;0,-(X211+SUM($C212:W212)),0)</f>
        <v>2872.3421354136372</v>
      </c>
      <c r="Y212" s="7">
        <f ca="1">IF(Y211+SUM($C212:X212)&lt;0,-(Y211+SUM($C212:X212)),0)</f>
        <v>23370.470638296392</v>
      </c>
      <c r="Z212" s="7">
        <f ca="1">IF(Z211+SUM($C212:Y212)&lt;0,-(Z211+SUM($C212:Y212)),0)</f>
        <v>23715.219478146319</v>
      </c>
      <c r="AA212" s="7">
        <f ca="1">IF(AA211+SUM($C212:Z212)&lt;0,-(AA211+SUM($C212:Z212)),0)</f>
        <v>24061.401651209002</v>
      </c>
      <c r="AB212" s="7">
        <f ca="1">IF(AB211+SUM($C212:AA212)&lt;0,-(AB211+SUM($C212:AA212)),0)</f>
        <v>24408.837429181789</v>
      </c>
      <c r="AC212" s="7">
        <f ca="1">IF(AC211+SUM($C212:AB212)&lt;0,-(AC211+SUM($C212:AB212)),0)</f>
        <v>24757.336123704445</v>
      </c>
      <c r="AD212" s="7">
        <f ca="1">IF(AD211+SUM($C212:AC212)&lt;0,-(AD211+SUM($C212:AC212)),0)</f>
        <v>25106.695618354104</v>
      </c>
      <c r="AE212" s="7">
        <f ca="1">IF(AE211+SUM($C212:AD212)&lt;0,-(AE211+SUM($C212:AD212)),0)</f>
        <v>15474.226789330685</v>
      </c>
      <c r="AF212" s="7">
        <f ca="1">IF(AF211+SUM($C212:AE212)&lt;0,-(AF211+SUM($C212:AE212)),0)</f>
        <v>15575.091499596776</v>
      </c>
      <c r="AG212" s="7">
        <f ca="1">IF(AG211+SUM($C212:AF212)&lt;0,-(AG211+SUM($C212:AF212)),0)</f>
        <v>15669.898098835634</v>
      </c>
      <c r="AH212" s="7">
        <f ca="1">IF(AH211+SUM($C212:AG212)&lt;0,-(AH211+SUM($C212:AG212)),0)</f>
        <v>15758.237742407655</v>
      </c>
      <c r="AI212" s="7">
        <f ca="1">IF(AI211+SUM($C212:AH212)&lt;0,-(AI211+SUM($C212:AH212)),0)</f>
        <v>15839.683642802294</v>
      </c>
      <c r="AJ212" s="7">
        <f ca="1">IF(AJ211+SUM($C212:AI212)&lt;0,-(AJ211+SUM($C212:AI212)),0)</f>
        <v>15913.790389411559</v>
      </c>
      <c r="AK212" s="7">
        <f ca="1">IF(AK211+SUM($C212:AJ212)&lt;0,-(AK211+SUM($C212:AJ212)),0)</f>
        <v>15980.093244352553</v>
      </c>
      <c r="AL212" s="7">
        <f ca="1">IF(AL211+SUM($C212:AK212)&lt;0,-(AL211+SUM($C212:AK212)),0)</f>
        <v>16038.107413522899</v>
      </c>
      <c r="AM212" s="7">
        <f ca="1">IF(AM211+SUM($C212:AL212)&lt;0,-(AM211+SUM($C212:AL212)),0)</f>
        <v>16087.327292064554</v>
      </c>
    </row>
    <row r="213" spans="1:39" x14ac:dyDescent="0.2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x14ac:dyDescent="0.2">
      <c r="A214" s="24" t="str">
        <f>IF(Inputs!$B$279=6,IFERROR(_xlfn.XLOOKUP($B214,Inputs!$B$280:$B$289,Inputs!$A$280:$A$289,,0,1),""),IFERROR(_xlfn.XLOOKUP($B214,Inputs!$C$280:$C$289,Inputs!$A$280:$A$289,,0,1),""))</f>
        <v>Gzira</v>
      </c>
      <c r="B214" s="26">
        <v>7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x14ac:dyDescent="0.2">
      <c r="A215" s="3" t="s">
        <v>22</v>
      </c>
      <c r="C215" s="7">
        <f ca="1">IFERROR(VLOOKUP($A214,$A$65:$H$94,C$1+2,FALSE),0)</f>
        <v>153740.73263073748</v>
      </c>
      <c r="D215" s="7">
        <f ca="1">C218</f>
        <v>153740.73263073748</v>
      </c>
      <c r="E215" s="7">
        <f t="shared" ref="E215:AM215" ca="1" si="122">D218</f>
        <v>158352.95460965959</v>
      </c>
      <c r="F215" s="7">
        <f t="shared" ca="1" si="122"/>
        <v>163103.54324794936</v>
      </c>
      <c r="G215" s="7">
        <f t="shared" ca="1" si="122"/>
        <v>167996.64954538783</v>
      </c>
      <c r="H215" s="7">
        <f t="shared" ca="1" si="122"/>
        <v>173036.54903174946</v>
      </c>
      <c r="I215" s="7">
        <f t="shared" ca="1" si="122"/>
        <v>178227.64550270193</v>
      </c>
      <c r="J215" s="7">
        <f t="shared" ca="1" si="122"/>
        <v>183574.47486778299</v>
      </c>
      <c r="K215" s="7">
        <f t="shared" ca="1" si="122"/>
        <v>189081.70911381647</v>
      </c>
      <c r="L215" s="7">
        <f t="shared" ca="1" si="122"/>
        <v>194754.16038723095</v>
      </c>
      <c r="M215" s="7">
        <f t="shared" ca="1" si="122"/>
        <v>200596.78519884788</v>
      </c>
      <c r="N215" s="7">
        <f t="shared" ca="1" si="122"/>
        <v>206614.68875481331</v>
      </c>
      <c r="O215" s="7">
        <f t="shared" ca="1" si="122"/>
        <v>212813.12941745771</v>
      </c>
      <c r="P215" s="7">
        <f t="shared" ca="1" si="122"/>
        <v>219197.52329998143</v>
      </c>
      <c r="Q215" s="7">
        <f t="shared" ca="1" si="122"/>
        <v>225773.44899898086</v>
      </c>
      <c r="R215" s="7">
        <f t="shared" ca="1" si="122"/>
        <v>0</v>
      </c>
      <c r="S215" s="7">
        <f t="shared" ca="1" si="122"/>
        <v>0</v>
      </c>
      <c r="T215" s="7">
        <f t="shared" ca="1" si="122"/>
        <v>0</v>
      </c>
      <c r="U215" s="7">
        <f t="shared" ca="1" si="122"/>
        <v>0</v>
      </c>
      <c r="V215" s="7">
        <f t="shared" ca="1" si="122"/>
        <v>0</v>
      </c>
      <c r="W215" s="7">
        <f t="shared" ca="1" si="122"/>
        <v>0</v>
      </c>
      <c r="X215" s="7">
        <f t="shared" ca="1" si="122"/>
        <v>0</v>
      </c>
      <c r="Y215" s="7">
        <f t="shared" ca="1" si="122"/>
        <v>0</v>
      </c>
      <c r="Z215" s="7">
        <f t="shared" ca="1" si="122"/>
        <v>0</v>
      </c>
      <c r="AA215" s="7">
        <f t="shared" ca="1" si="122"/>
        <v>0</v>
      </c>
      <c r="AB215" s="7">
        <f t="shared" ca="1" si="122"/>
        <v>0</v>
      </c>
      <c r="AC215" s="7">
        <f t="shared" ca="1" si="122"/>
        <v>0</v>
      </c>
      <c r="AD215" s="7">
        <f t="shared" ca="1" si="122"/>
        <v>0</v>
      </c>
      <c r="AE215" s="7">
        <f t="shared" ca="1" si="122"/>
        <v>0</v>
      </c>
      <c r="AF215" s="7">
        <f t="shared" ca="1" si="122"/>
        <v>0</v>
      </c>
      <c r="AG215" s="7">
        <f t="shared" ca="1" si="122"/>
        <v>0</v>
      </c>
      <c r="AH215" s="7">
        <f t="shared" ca="1" si="122"/>
        <v>0</v>
      </c>
      <c r="AI215" s="7">
        <f t="shared" ca="1" si="122"/>
        <v>0</v>
      </c>
      <c r="AJ215" s="7">
        <f t="shared" ca="1" si="122"/>
        <v>0</v>
      </c>
      <c r="AK215" s="7">
        <f t="shared" ca="1" si="122"/>
        <v>0</v>
      </c>
      <c r="AL215" s="7">
        <f t="shared" ca="1" si="122"/>
        <v>0</v>
      </c>
      <c r="AM215" s="7">
        <f t="shared" ca="1" si="122"/>
        <v>0</v>
      </c>
    </row>
    <row r="216" spans="1:39" x14ac:dyDescent="0.2">
      <c r="A216" s="3" t="s">
        <v>23</v>
      </c>
      <c r="C216" s="7">
        <f ca="1">-IF(D212&gt;0,C215,0)</f>
        <v>0</v>
      </c>
      <c r="D216" s="7">
        <f ca="1">-IF(E212&gt;0,D215,0)</f>
        <v>0</v>
      </c>
      <c r="E216" s="7">
        <f ca="1">-IF(F212&gt;0,E215,0)</f>
        <v>0</v>
      </c>
      <c r="F216" s="7">
        <f ca="1">-IF(G212&gt;0,F215,0)</f>
        <v>0</v>
      </c>
      <c r="G216" s="7">
        <f t="shared" ref="G216:AM216" ca="1" si="123">-IF(H212&gt;0,G215,0)</f>
        <v>0</v>
      </c>
      <c r="H216" s="7">
        <f t="shared" ca="1" si="123"/>
        <v>0</v>
      </c>
      <c r="I216" s="7">
        <f t="shared" ca="1" si="123"/>
        <v>0</v>
      </c>
      <c r="J216" s="7">
        <f t="shared" ca="1" si="123"/>
        <v>0</v>
      </c>
      <c r="K216" s="7">
        <f t="shared" ca="1" si="123"/>
        <v>0</v>
      </c>
      <c r="L216" s="7">
        <f t="shared" ca="1" si="123"/>
        <v>0</v>
      </c>
      <c r="M216" s="7">
        <f t="shared" ca="1" si="123"/>
        <v>0</v>
      </c>
      <c r="N216" s="7">
        <f t="shared" ca="1" si="123"/>
        <v>0</v>
      </c>
      <c r="O216" s="7">
        <f t="shared" ca="1" si="123"/>
        <v>0</v>
      </c>
      <c r="P216" s="7">
        <f t="shared" ca="1" si="123"/>
        <v>0</v>
      </c>
      <c r="Q216" s="7">
        <f t="shared" ca="1" si="123"/>
        <v>-225773.44899898086</v>
      </c>
      <c r="R216" s="7">
        <f t="shared" ca="1" si="123"/>
        <v>0</v>
      </c>
      <c r="S216" s="7">
        <f t="shared" ca="1" si="123"/>
        <v>0</v>
      </c>
      <c r="T216" s="7">
        <f t="shared" ca="1" si="123"/>
        <v>0</v>
      </c>
      <c r="U216" s="7">
        <f t="shared" ca="1" si="123"/>
        <v>0</v>
      </c>
      <c r="V216" s="7">
        <f t="shared" ca="1" si="123"/>
        <v>0</v>
      </c>
      <c r="W216" s="7">
        <f t="shared" ca="1" si="123"/>
        <v>0</v>
      </c>
      <c r="X216" s="7">
        <f t="shared" ca="1" si="123"/>
        <v>0</v>
      </c>
      <c r="Y216" s="7">
        <f t="shared" ca="1" si="123"/>
        <v>0</v>
      </c>
      <c r="Z216" s="7">
        <f t="shared" ca="1" si="123"/>
        <v>0</v>
      </c>
      <c r="AA216" s="7">
        <f t="shared" ca="1" si="123"/>
        <v>0</v>
      </c>
      <c r="AB216" s="7">
        <f t="shared" ca="1" si="123"/>
        <v>0</v>
      </c>
      <c r="AC216" s="7">
        <f t="shared" ca="1" si="123"/>
        <v>0</v>
      </c>
      <c r="AD216" s="7">
        <f t="shared" ca="1" si="123"/>
        <v>0</v>
      </c>
      <c r="AE216" s="7">
        <f t="shared" ca="1" si="123"/>
        <v>0</v>
      </c>
      <c r="AF216" s="7">
        <f t="shared" ca="1" si="123"/>
        <v>0</v>
      </c>
      <c r="AG216" s="7">
        <f t="shared" ca="1" si="123"/>
        <v>0</v>
      </c>
      <c r="AH216" s="7">
        <f t="shared" ca="1" si="123"/>
        <v>0</v>
      </c>
      <c r="AI216" s="7">
        <f t="shared" ca="1" si="123"/>
        <v>0</v>
      </c>
      <c r="AJ216" s="7">
        <f t="shared" ca="1" si="123"/>
        <v>0</v>
      </c>
      <c r="AK216" s="7">
        <f t="shared" ca="1" si="123"/>
        <v>0</v>
      </c>
      <c r="AL216" s="7">
        <f t="shared" ca="1" si="123"/>
        <v>0</v>
      </c>
      <c r="AM216" s="7">
        <f t="shared" si="123"/>
        <v>0</v>
      </c>
    </row>
    <row r="217" spans="1:39" x14ac:dyDescent="0.2">
      <c r="A217" s="3" t="s">
        <v>24</v>
      </c>
      <c r="C217" s="7">
        <v>0</v>
      </c>
      <c r="D217" s="7">
        <f t="shared" ref="D217:AM217" ca="1" si="124">SUM(D215:D216)*VLOOKUP($A214,AssVar,2,FALSE)</f>
        <v>4612.2219789221244</v>
      </c>
      <c r="E217" s="7">
        <f t="shared" ca="1" si="124"/>
        <v>4750.588638289787</v>
      </c>
      <c r="F217" s="7">
        <f t="shared" ca="1" si="124"/>
        <v>4893.1062974384804</v>
      </c>
      <c r="G217" s="7">
        <f t="shared" ca="1" si="124"/>
        <v>5039.8994863616344</v>
      </c>
      <c r="H217" s="7">
        <f t="shared" ca="1" si="124"/>
        <v>5191.0964709524833</v>
      </c>
      <c r="I217" s="7">
        <f t="shared" ca="1" si="124"/>
        <v>5346.8293650810574</v>
      </c>
      <c r="J217" s="7">
        <f t="shared" ca="1" si="124"/>
        <v>5507.2342460334894</v>
      </c>
      <c r="K217" s="7">
        <f t="shared" ca="1" si="124"/>
        <v>5672.4512734144937</v>
      </c>
      <c r="L217" s="7">
        <f t="shared" ca="1" si="124"/>
        <v>5842.6248116169281</v>
      </c>
      <c r="M217" s="7">
        <f t="shared" ca="1" si="124"/>
        <v>6017.9035559654358</v>
      </c>
      <c r="N217" s="7">
        <f t="shared" ca="1" si="124"/>
        <v>6198.4406626443988</v>
      </c>
      <c r="O217" s="7">
        <f t="shared" ca="1" si="124"/>
        <v>6384.393882523731</v>
      </c>
      <c r="P217" s="7">
        <f t="shared" ca="1" si="124"/>
        <v>6575.9256989994428</v>
      </c>
      <c r="Q217" s="7">
        <f t="shared" ca="1" si="124"/>
        <v>0</v>
      </c>
      <c r="R217" s="7">
        <f t="shared" ca="1" si="124"/>
        <v>0</v>
      </c>
      <c r="S217" s="7">
        <f t="shared" ca="1" si="124"/>
        <v>0</v>
      </c>
      <c r="T217" s="7">
        <f t="shared" ca="1" si="124"/>
        <v>0</v>
      </c>
      <c r="U217" s="7">
        <f t="shared" ca="1" si="124"/>
        <v>0</v>
      </c>
      <c r="V217" s="7">
        <f t="shared" ca="1" si="124"/>
        <v>0</v>
      </c>
      <c r="W217" s="7">
        <f t="shared" ca="1" si="124"/>
        <v>0</v>
      </c>
      <c r="X217" s="7">
        <f t="shared" ca="1" si="124"/>
        <v>0</v>
      </c>
      <c r="Y217" s="7">
        <f t="shared" ca="1" si="124"/>
        <v>0</v>
      </c>
      <c r="Z217" s="7">
        <f t="shared" ca="1" si="124"/>
        <v>0</v>
      </c>
      <c r="AA217" s="7">
        <f t="shared" ca="1" si="124"/>
        <v>0</v>
      </c>
      <c r="AB217" s="7">
        <f t="shared" ca="1" si="124"/>
        <v>0</v>
      </c>
      <c r="AC217" s="7">
        <f t="shared" ca="1" si="124"/>
        <v>0</v>
      </c>
      <c r="AD217" s="7">
        <f t="shared" ca="1" si="124"/>
        <v>0</v>
      </c>
      <c r="AE217" s="7">
        <f t="shared" ca="1" si="124"/>
        <v>0</v>
      </c>
      <c r="AF217" s="7">
        <f t="shared" ca="1" si="124"/>
        <v>0</v>
      </c>
      <c r="AG217" s="7">
        <f t="shared" ca="1" si="124"/>
        <v>0</v>
      </c>
      <c r="AH217" s="7">
        <f t="shared" ca="1" si="124"/>
        <v>0</v>
      </c>
      <c r="AI217" s="7">
        <f t="shared" ca="1" si="124"/>
        <v>0</v>
      </c>
      <c r="AJ217" s="7">
        <f t="shared" ca="1" si="124"/>
        <v>0</v>
      </c>
      <c r="AK217" s="7">
        <f t="shared" ca="1" si="124"/>
        <v>0</v>
      </c>
      <c r="AL217" s="7">
        <f t="shared" ca="1" si="124"/>
        <v>0</v>
      </c>
      <c r="AM217" s="7">
        <f t="shared" ca="1" si="124"/>
        <v>0</v>
      </c>
    </row>
    <row r="218" spans="1:39" x14ac:dyDescent="0.2">
      <c r="A218" s="3" t="s">
        <v>25</v>
      </c>
      <c r="C218" s="7">
        <f ca="1">SUM(C215:C217)</f>
        <v>153740.73263073748</v>
      </c>
      <c r="D218" s="7">
        <f t="shared" ref="D218:AM218" ca="1" si="125">SUM(D215:D217)</f>
        <v>158352.95460965959</v>
      </c>
      <c r="E218" s="7">
        <f t="shared" ca="1" si="125"/>
        <v>163103.54324794936</v>
      </c>
      <c r="F218" s="7">
        <f t="shared" ca="1" si="125"/>
        <v>167996.64954538783</v>
      </c>
      <c r="G218" s="7">
        <f t="shared" ca="1" si="125"/>
        <v>173036.54903174946</v>
      </c>
      <c r="H218" s="7">
        <f t="shared" ca="1" si="125"/>
        <v>178227.64550270193</v>
      </c>
      <c r="I218" s="7">
        <f t="shared" ca="1" si="125"/>
        <v>183574.47486778299</v>
      </c>
      <c r="J218" s="7">
        <f t="shared" ca="1" si="125"/>
        <v>189081.70911381647</v>
      </c>
      <c r="K218" s="7">
        <f t="shared" ca="1" si="125"/>
        <v>194754.16038723095</v>
      </c>
      <c r="L218" s="7">
        <f t="shared" ca="1" si="125"/>
        <v>200596.78519884788</v>
      </c>
      <c r="M218" s="7">
        <f t="shared" ca="1" si="125"/>
        <v>206614.68875481331</v>
      </c>
      <c r="N218" s="7">
        <f t="shared" ca="1" si="125"/>
        <v>212813.12941745771</v>
      </c>
      <c r="O218" s="7">
        <f t="shared" ca="1" si="125"/>
        <v>219197.52329998143</v>
      </c>
      <c r="P218" s="7">
        <f t="shared" ca="1" si="125"/>
        <v>225773.44899898086</v>
      </c>
      <c r="Q218" s="7">
        <f t="shared" ca="1" si="125"/>
        <v>0</v>
      </c>
      <c r="R218" s="7">
        <f t="shared" ca="1" si="125"/>
        <v>0</v>
      </c>
      <c r="S218" s="7">
        <f t="shared" ca="1" si="125"/>
        <v>0</v>
      </c>
      <c r="T218" s="7">
        <f t="shared" ca="1" si="125"/>
        <v>0</v>
      </c>
      <c r="U218" s="7">
        <f t="shared" ca="1" si="125"/>
        <v>0</v>
      </c>
      <c r="V218" s="7">
        <f t="shared" ca="1" si="125"/>
        <v>0</v>
      </c>
      <c r="W218" s="7">
        <f t="shared" ca="1" si="125"/>
        <v>0</v>
      </c>
      <c r="X218" s="7">
        <f t="shared" ca="1" si="125"/>
        <v>0</v>
      </c>
      <c r="Y218" s="7">
        <f t="shared" ca="1" si="125"/>
        <v>0</v>
      </c>
      <c r="Z218" s="7">
        <f t="shared" ca="1" si="125"/>
        <v>0</v>
      </c>
      <c r="AA218" s="7">
        <f t="shared" ca="1" si="125"/>
        <v>0</v>
      </c>
      <c r="AB218" s="7">
        <f t="shared" ca="1" si="125"/>
        <v>0</v>
      </c>
      <c r="AC218" s="7">
        <f t="shared" ca="1" si="125"/>
        <v>0</v>
      </c>
      <c r="AD218" s="7">
        <f t="shared" ca="1" si="125"/>
        <v>0</v>
      </c>
      <c r="AE218" s="7">
        <f t="shared" ca="1" si="125"/>
        <v>0</v>
      </c>
      <c r="AF218" s="7">
        <f t="shared" ca="1" si="125"/>
        <v>0</v>
      </c>
      <c r="AG218" s="7">
        <f t="shared" ca="1" si="125"/>
        <v>0</v>
      </c>
      <c r="AH218" s="7">
        <f t="shared" ca="1" si="125"/>
        <v>0</v>
      </c>
      <c r="AI218" s="7">
        <f t="shared" ca="1" si="125"/>
        <v>0</v>
      </c>
      <c r="AJ218" s="7">
        <f t="shared" ca="1" si="125"/>
        <v>0</v>
      </c>
      <c r="AK218" s="7">
        <f t="shared" ca="1" si="125"/>
        <v>0</v>
      </c>
      <c r="AL218" s="7">
        <f t="shared" ca="1" si="125"/>
        <v>0</v>
      </c>
      <c r="AM218" s="7">
        <f t="shared" ca="1" si="125"/>
        <v>0</v>
      </c>
    </row>
    <row r="219" spans="1:39" x14ac:dyDescent="0.2">
      <c r="A219" s="3" t="s">
        <v>26</v>
      </c>
      <c r="C219" s="7">
        <f t="shared" ref="C219:AM219" ca="1" si="126">C216*VLOOKUP($A214,AssVar,3,FALSE)</f>
        <v>0</v>
      </c>
      <c r="D219" s="7">
        <f t="shared" ca="1" si="126"/>
        <v>0</v>
      </c>
      <c r="E219" s="7">
        <f t="shared" ca="1" si="126"/>
        <v>0</v>
      </c>
      <c r="F219" s="7">
        <f t="shared" ca="1" si="126"/>
        <v>0</v>
      </c>
      <c r="G219" s="7">
        <f t="shared" ca="1" si="126"/>
        <v>0</v>
      </c>
      <c r="H219" s="7">
        <f t="shared" ca="1" si="126"/>
        <v>0</v>
      </c>
      <c r="I219" s="7">
        <f t="shared" ca="1" si="126"/>
        <v>0</v>
      </c>
      <c r="J219" s="7">
        <f t="shared" ca="1" si="126"/>
        <v>0</v>
      </c>
      <c r="K219" s="7">
        <f t="shared" ca="1" si="126"/>
        <v>0</v>
      </c>
      <c r="L219" s="7">
        <f t="shared" ca="1" si="126"/>
        <v>0</v>
      </c>
      <c r="M219" s="7">
        <f t="shared" ca="1" si="126"/>
        <v>0</v>
      </c>
      <c r="N219" s="7">
        <f t="shared" ca="1" si="126"/>
        <v>0</v>
      </c>
      <c r="O219" s="7">
        <f t="shared" ca="1" si="126"/>
        <v>0</v>
      </c>
      <c r="P219" s="7">
        <f t="shared" ca="1" si="126"/>
        <v>0</v>
      </c>
      <c r="Q219" s="7">
        <f t="shared" ca="1" si="126"/>
        <v>-33866.017349847127</v>
      </c>
      <c r="R219" s="7">
        <f t="shared" ca="1" si="126"/>
        <v>0</v>
      </c>
      <c r="S219" s="7">
        <f t="shared" ca="1" si="126"/>
        <v>0</v>
      </c>
      <c r="T219" s="7">
        <f t="shared" ca="1" si="126"/>
        <v>0</v>
      </c>
      <c r="U219" s="7">
        <f t="shared" ca="1" si="126"/>
        <v>0</v>
      </c>
      <c r="V219" s="7">
        <f t="shared" ca="1" si="126"/>
        <v>0</v>
      </c>
      <c r="W219" s="7">
        <f t="shared" ca="1" si="126"/>
        <v>0</v>
      </c>
      <c r="X219" s="7">
        <f t="shared" ca="1" si="126"/>
        <v>0</v>
      </c>
      <c r="Y219" s="7">
        <f t="shared" ca="1" si="126"/>
        <v>0</v>
      </c>
      <c r="Z219" s="7">
        <f t="shared" ca="1" si="126"/>
        <v>0</v>
      </c>
      <c r="AA219" s="7">
        <f t="shared" ca="1" si="126"/>
        <v>0</v>
      </c>
      <c r="AB219" s="7">
        <f t="shared" ca="1" si="126"/>
        <v>0</v>
      </c>
      <c r="AC219" s="7">
        <f t="shared" ca="1" si="126"/>
        <v>0</v>
      </c>
      <c r="AD219" s="7">
        <f t="shared" ca="1" si="126"/>
        <v>0</v>
      </c>
      <c r="AE219" s="7">
        <f t="shared" ca="1" si="126"/>
        <v>0</v>
      </c>
      <c r="AF219" s="7">
        <f t="shared" ca="1" si="126"/>
        <v>0</v>
      </c>
      <c r="AG219" s="7">
        <f t="shared" ca="1" si="126"/>
        <v>0</v>
      </c>
      <c r="AH219" s="7">
        <f t="shared" ca="1" si="126"/>
        <v>0</v>
      </c>
      <c r="AI219" s="7">
        <f t="shared" ca="1" si="126"/>
        <v>0</v>
      </c>
      <c r="AJ219" s="7">
        <f t="shared" ca="1" si="126"/>
        <v>0</v>
      </c>
      <c r="AK219" s="7">
        <f t="shared" ca="1" si="126"/>
        <v>0</v>
      </c>
      <c r="AL219" s="7">
        <f t="shared" ca="1" si="126"/>
        <v>0</v>
      </c>
      <c r="AM219" s="7">
        <f t="shared" si="126"/>
        <v>0</v>
      </c>
    </row>
    <row r="220" spans="1:39" x14ac:dyDescent="0.2">
      <c r="A220" s="3" t="s">
        <v>31</v>
      </c>
      <c r="C220" s="7">
        <f t="shared" ref="C220:AM220" ca="1" si="127">IFERROR(-IF(C215=0,VLOOKUP($A214,$8:$12,C$1+2,FALSE),0),0)</f>
        <v>0</v>
      </c>
      <c r="D220" s="7">
        <f t="shared" ca="1" si="127"/>
        <v>0</v>
      </c>
      <c r="E220" s="7">
        <f t="shared" ca="1" si="127"/>
        <v>0</v>
      </c>
      <c r="F220" s="7">
        <f t="shared" ca="1" si="127"/>
        <v>0</v>
      </c>
      <c r="G220" s="7">
        <f t="shared" ca="1" si="127"/>
        <v>0</v>
      </c>
      <c r="H220" s="7">
        <f t="shared" ca="1" si="127"/>
        <v>0</v>
      </c>
      <c r="I220" s="7">
        <f t="shared" ca="1" si="127"/>
        <v>0</v>
      </c>
      <c r="J220" s="7">
        <f t="shared" ca="1" si="127"/>
        <v>0</v>
      </c>
      <c r="K220" s="7">
        <f t="shared" ca="1" si="127"/>
        <v>0</v>
      </c>
      <c r="L220" s="7">
        <f t="shared" ca="1" si="127"/>
        <v>0</v>
      </c>
      <c r="M220" s="7">
        <f t="shared" ca="1" si="127"/>
        <v>0</v>
      </c>
      <c r="N220" s="7">
        <f t="shared" ca="1" si="127"/>
        <v>0</v>
      </c>
      <c r="O220" s="7">
        <f t="shared" ca="1" si="127"/>
        <v>0</v>
      </c>
      <c r="P220" s="7">
        <f t="shared" ca="1" si="127"/>
        <v>0</v>
      </c>
      <c r="Q220" s="7">
        <f t="shared" ca="1" si="127"/>
        <v>0</v>
      </c>
      <c r="R220" s="7">
        <f t="shared" ca="1" si="127"/>
        <v>-12983.061805006377</v>
      </c>
      <c r="S220" s="7">
        <f t="shared" ca="1" si="127"/>
        <v>-13372.553659156569</v>
      </c>
      <c r="T220" s="7">
        <f t="shared" ca="1" si="127"/>
        <v>-13773.730268931266</v>
      </c>
      <c r="U220" s="7">
        <f t="shared" ca="1" si="127"/>
        <v>-14186.942176999204</v>
      </c>
      <c r="V220" s="7">
        <f t="shared" ca="1" si="127"/>
        <v>-14612.550442309181</v>
      </c>
      <c r="W220" s="7">
        <f t="shared" ca="1" si="127"/>
        <v>-15050.926955578456</v>
      </c>
      <c r="X220" s="7">
        <f t="shared" ca="1" si="127"/>
        <v>-15502.454764245809</v>
      </c>
      <c r="Y220" s="7">
        <f t="shared" ca="1" si="127"/>
        <v>-15967.528407173184</v>
      </c>
      <c r="Z220" s="7">
        <f t="shared" ca="1" si="127"/>
        <v>-16446.55425938838</v>
      </c>
      <c r="AA220" s="7">
        <f t="shared" ca="1" si="127"/>
        <v>-16939.950887170031</v>
      </c>
      <c r="AB220" s="7">
        <f t="shared" ca="1" si="127"/>
        <v>-17448.149413785133</v>
      </c>
      <c r="AC220" s="7">
        <f t="shared" ca="1" si="127"/>
        <v>-17971.593896198687</v>
      </c>
      <c r="AD220" s="7">
        <f t="shared" ca="1" si="127"/>
        <v>-18510.741713084648</v>
      </c>
      <c r="AE220" s="7">
        <f t="shared" ca="1" si="127"/>
        <v>-19066.063964477187</v>
      </c>
      <c r="AF220" s="7">
        <f t="shared" ca="1" si="127"/>
        <v>-19638.045883411502</v>
      </c>
      <c r="AG220" s="7">
        <f t="shared" ca="1" si="127"/>
        <v>-20227.187259913848</v>
      </c>
      <c r="AH220" s="7">
        <f t="shared" ca="1" si="127"/>
        <v>-20834.002877711264</v>
      </c>
      <c r="AI220" s="7">
        <f t="shared" ca="1" si="127"/>
        <v>-21459.022964042604</v>
      </c>
      <c r="AJ220" s="7">
        <f t="shared" ca="1" si="127"/>
        <v>-22102.793652963883</v>
      </c>
      <c r="AK220" s="7">
        <f t="shared" ca="1" si="127"/>
        <v>-22765.877462552799</v>
      </c>
      <c r="AL220" s="7">
        <f t="shared" ca="1" si="127"/>
        <v>-23448.853786429383</v>
      </c>
      <c r="AM220" s="7">
        <f t="shared" ca="1" si="127"/>
        <v>-24152.319400022265</v>
      </c>
    </row>
    <row r="221" spans="1:39" x14ac:dyDescent="0.2">
      <c r="A221" s="3" t="s">
        <v>50</v>
      </c>
      <c r="C221" s="7">
        <f t="shared" ref="C221:AM221" ca="1" si="128">IFERROR(IF(C215=0,VLOOKUP($A214,$45:$49,C$1+2,FALSE),0),0)</f>
        <v>0</v>
      </c>
      <c r="D221" s="7">
        <f t="shared" ca="1" si="128"/>
        <v>0</v>
      </c>
      <c r="E221" s="7">
        <f t="shared" ca="1" si="128"/>
        <v>0</v>
      </c>
      <c r="F221" s="7">
        <f t="shared" ca="1" si="128"/>
        <v>0</v>
      </c>
      <c r="G221" s="7">
        <f t="shared" ca="1" si="128"/>
        <v>0</v>
      </c>
      <c r="H221" s="7">
        <f t="shared" ca="1" si="128"/>
        <v>0</v>
      </c>
      <c r="I221" s="7">
        <f t="shared" ca="1" si="128"/>
        <v>0</v>
      </c>
      <c r="J221" s="7">
        <f t="shared" ca="1" si="128"/>
        <v>0</v>
      </c>
      <c r="K221" s="7">
        <f t="shared" ca="1" si="128"/>
        <v>0</v>
      </c>
      <c r="L221" s="7">
        <f t="shared" ca="1" si="128"/>
        <v>0</v>
      </c>
      <c r="M221" s="7">
        <f t="shared" ca="1" si="128"/>
        <v>0</v>
      </c>
      <c r="N221" s="7">
        <f t="shared" ca="1" si="128"/>
        <v>0</v>
      </c>
      <c r="O221" s="7">
        <f t="shared" ca="1" si="128"/>
        <v>0</v>
      </c>
      <c r="P221" s="7">
        <f t="shared" ca="1" si="128"/>
        <v>0</v>
      </c>
      <c r="Q221" s="7">
        <f t="shared" ca="1" si="128"/>
        <v>0</v>
      </c>
      <c r="R221" s="7">
        <f t="shared" ca="1" si="128"/>
        <v>2896.596332996221</v>
      </c>
      <c r="S221" s="7">
        <f t="shared" ca="1" si="128"/>
        <v>2969.0112413211264</v>
      </c>
      <c r="T221" s="7">
        <f t="shared" ca="1" si="128"/>
        <v>3043.2365223541542</v>
      </c>
      <c r="U221" s="7">
        <f t="shared" ca="1" si="128"/>
        <v>3119.3174354130078</v>
      </c>
      <c r="V221" s="7">
        <f t="shared" ca="1" si="128"/>
        <v>3197.3003712983332</v>
      </c>
      <c r="W221" s="7">
        <f t="shared" ca="1" si="128"/>
        <v>3277.2328805807911</v>
      </c>
      <c r="X221" s="7">
        <f t="shared" ca="1" si="128"/>
        <v>3359.1637025953105</v>
      </c>
      <c r="Y221" s="7">
        <f t="shared" ca="1" si="128"/>
        <v>3443.1427951601931</v>
      </c>
      <c r="Z221" s="7">
        <f t="shared" ca="1" si="128"/>
        <v>3529.2213650391982</v>
      </c>
      <c r="AA221" s="7">
        <f t="shared" ca="1" si="128"/>
        <v>3617.451899165178</v>
      </c>
      <c r="AB221" s="7">
        <f t="shared" ca="1" si="128"/>
        <v>3707.8881966443068</v>
      </c>
      <c r="AC221" s="7">
        <f t="shared" ca="1" si="128"/>
        <v>3800.5854015604141</v>
      </c>
      <c r="AD221" s="7">
        <f t="shared" ca="1" si="128"/>
        <v>3895.6000365994241</v>
      </c>
      <c r="AE221" s="7">
        <f t="shared" ca="1" si="128"/>
        <v>3992.9900375144098</v>
      </c>
      <c r="AF221" s="7">
        <f t="shared" ca="1" si="128"/>
        <v>4092.8147884522705</v>
      </c>
      <c r="AG221" s="7">
        <f t="shared" ca="1" si="128"/>
        <v>4195.1351581635763</v>
      </c>
      <c r="AH221" s="7">
        <f t="shared" ca="1" si="128"/>
        <v>4300.0135371176666</v>
      </c>
      <c r="AI221" s="7">
        <f t="shared" ca="1" si="128"/>
        <v>4407.5138755456073</v>
      </c>
      <c r="AJ221" s="7">
        <f t="shared" ca="1" si="128"/>
        <v>4517.7017224342471</v>
      </c>
      <c r="AK221" s="7">
        <f t="shared" ca="1" si="128"/>
        <v>4630.6442654951034</v>
      </c>
      <c r="AL221" s="7">
        <f t="shared" ca="1" si="128"/>
        <v>4746.41037213248</v>
      </c>
      <c r="AM221" s="7">
        <f t="shared" ca="1" si="128"/>
        <v>4865.0706314357931</v>
      </c>
    </row>
    <row r="222" spans="1:39" x14ac:dyDescent="0.2">
      <c r="A222" s="3" t="s">
        <v>36</v>
      </c>
      <c r="B222" s="14" t="str">
        <f>A214</f>
        <v>Gzira</v>
      </c>
      <c r="C222" s="7">
        <f t="shared" ref="C222:AM222" ca="1" si="129">IF(AND(C215&gt;0,C218=0),VLOOKUP($A214,$83:$92,C$1+2,FALSE),0)</f>
        <v>0</v>
      </c>
      <c r="D222" s="7">
        <f t="shared" ca="1" si="129"/>
        <v>0</v>
      </c>
      <c r="E222" s="7">
        <f t="shared" ca="1" si="129"/>
        <v>0</v>
      </c>
      <c r="F222" s="7">
        <f t="shared" ca="1" si="129"/>
        <v>0</v>
      </c>
      <c r="G222" s="7">
        <f t="shared" ca="1" si="129"/>
        <v>0</v>
      </c>
      <c r="H222" s="7">
        <f t="shared" ca="1" si="129"/>
        <v>0</v>
      </c>
      <c r="I222" s="7">
        <f t="shared" ca="1" si="129"/>
        <v>0</v>
      </c>
      <c r="J222" s="7">
        <f t="shared" ca="1" si="129"/>
        <v>0</v>
      </c>
      <c r="K222" s="7">
        <f t="shared" ca="1" si="129"/>
        <v>0</v>
      </c>
      <c r="L222" s="7">
        <f t="shared" ca="1" si="129"/>
        <v>0</v>
      </c>
      <c r="M222" s="7">
        <f t="shared" ca="1" si="129"/>
        <v>0</v>
      </c>
      <c r="N222" s="7">
        <f t="shared" ca="1" si="129"/>
        <v>0</v>
      </c>
      <c r="O222" s="7">
        <f t="shared" ca="1" si="129"/>
        <v>0</v>
      </c>
      <c r="P222" s="7">
        <f t="shared" ca="1" si="129"/>
        <v>0</v>
      </c>
      <c r="Q222" s="7">
        <f t="shared" ca="1" si="129"/>
        <v>0</v>
      </c>
      <c r="R222" s="7">
        <f t="shared" ca="1" si="129"/>
        <v>0</v>
      </c>
      <c r="S222" s="7">
        <f t="shared" ca="1" si="129"/>
        <v>0</v>
      </c>
      <c r="T222" s="7">
        <f t="shared" ca="1" si="129"/>
        <v>0</v>
      </c>
      <c r="U222" s="7">
        <f t="shared" ca="1" si="129"/>
        <v>0</v>
      </c>
      <c r="V222" s="7">
        <f t="shared" ca="1" si="129"/>
        <v>0</v>
      </c>
      <c r="W222" s="7">
        <f t="shared" ca="1" si="129"/>
        <v>0</v>
      </c>
      <c r="X222" s="7">
        <f t="shared" ca="1" si="129"/>
        <v>0</v>
      </c>
      <c r="Y222" s="7">
        <f t="shared" ca="1" si="129"/>
        <v>0</v>
      </c>
      <c r="Z222" s="7">
        <f t="shared" ca="1" si="129"/>
        <v>0</v>
      </c>
      <c r="AA222" s="7">
        <f t="shared" ca="1" si="129"/>
        <v>0</v>
      </c>
      <c r="AB222" s="7">
        <f t="shared" ca="1" si="129"/>
        <v>0</v>
      </c>
      <c r="AC222" s="7">
        <f t="shared" ca="1" si="129"/>
        <v>0</v>
      </c>
      <c r="AD222" s="7">
        <f t="shared" ca="1" si="129"/>
        <v>0</v>
      </c>
      <c r="AE222" s="7">
        <f t="shared" ca="1" si="129"/>
        <v>0</v>
      </c>
      <c r="AF222" s="7">
        <f t="shared" ca="1" si="129"/>
        <v>0</v>
      </c>
      <c r="AG222" s="7">
        <f t="shared" ca="1" si="129"/>
        <v>0</v>
      </c>
      <c r="AH222" s="7">
        <f t="shared" ca="1" si="129"/>
        <v>0</v>
      </c>
      <c r="AI222" s="7">
        <f t="shared" ca="1" si="129"/>
        <v>0</v>
      </c>
      <c r="AJ222" s="7">
        <f t="shared" ca="1" si="129"/>
        <v>0</v>
      </c>
      <c r="AK222" s="7">
        <f t="shared" ca="1" si="129"/>
        <v>0</v>
      </c>
      <c r="AL222" s="7">
        <f t="shared" ca="1" si="129"/>
        <v>0</v>
      </c>
      <c r="AM222" s="7">
        <f t="shared" ca="1" si="129"/>
        <v>0</v>
      </c>
    </row>
    <row r="223" spans="1:39" x14ac:dyDescent="0.2">
      <c r="A223" s="3" t="s">
        <v>37</v>
      </c>
      <c r="C223" s="7">
        <f ca="1">-C216+SUM(C219:C222)</f>
        <v>0</v>
      </c>
      <c r="D223" s="7">
        <f t="shared" ref="D223" ca="1" si="130">-D216+SUM(D219:D222)</f>
        <v>0</v>
      </c>
      <c r="E223" s="7">
        <f t="shared" ref="E223:AM223" ca="1" si="131">-E216+SUM(E219:E222)</f>
        <v>0</v>
      </c>
      <c r="F223" s="7">
        <f t="shared" ca="1" si="131"/>
        <v>0</v>
      </c>
      <c r="G223" s="7">
        <f t="shared" ca="1" si="131"/>
        <v>0</v>
      </c>
      <c r="H223" s="7">
        <f t="shared" ca="1" si="131"/>
        <v>0</v>
      </c>
      <c r="I223" s="7">
        <f t="shared" ca="1" si="131"/>
        <v>0</v>
      </c>
      <c r="J223" s="7">
        <f t="shared" ca="1" si="131"/>
        <v>0</v>
      </c>
      <c r="K223" s="7">
        <f t="shared" ca="1" si="131"/>
        <v>0</v>
      </c>
      <c r="L223" s="7">
        <f t="shared" ca="1" si="131"/>
        <v>0</v>
      </c>
      <c r="M223" s="7">
        <f t="shared" ca="1" si="131"/>
        <v>0</v>
      </c>
      <c r="N223" s="7">
        <f t="shared" ca="1" si="131"/>
        <v>0</v>
      </c>
      <c r="O223" s="7">
        <f t="shared" ca="1" si="131"/>
        <v>0</v>
      </c>
      <c r="P223" s="7">
        <f t="shared" ca="1" si="131"/>
        <v>0</v>
      </c>
      <c r="Q223" s="7">
        <f t="shared" ca="1" si="131"/>
        <v>191907.43164913374</v>
      </c>
      <c r="R223" s="7">
        <f t="shared" ca="1" si="131"/>
        <v>-10086.465472010155</v>
      </c>
      <c r="S223" s="7">
        <f t="shared" ca="1" si="131"/>
        <v>-10403.542417835442</v>
      </c>
      <c r="T223" s="7">
        <f t="shared" ca="1" si="131"/>
        <v>-10730.493746577111</v>
      </c>
      <c r="U223" s="7">
        <f t="shared" ca="1" si="131"/>
        <v>-11067.624741586196</v>
      </c>
      <c r="V223" s="7">
        <f t="shared" ca="1" si="131"/>
        <v>-11415.250071010847</v>
      </c>
      <c r="W223" s="7">
        <f t="shared" ca="1" si="131"/>
        <v>-11773.694074997664</v>
      </c>
      <c r="X223" s="7">
        <f t="shared" ca="1" si="131"/>
        <v>-12143.2910616505</v>
      </c>
      <c r="Y223" s="7">
        <f t="shared" ca="1" si="131"/>
        <v>-12524.385612012991</v>
      </c>
      <c r="Z223" s="7">
        <f t="shared" ca="1" si="131"/>
        <v>-12917.332894349182</v>
      </c>
      <c r="AA223" s="7">
        <f t="shared" ca="1" si="131"/>
        <v>-13322.498988004852</v>
      </c>
      <c r="AB223" s="7">
        <f t="shared" ca="1" si="131"/>
        <v>-13740.261217140825</v>
      </c>
      <c r="AC223" s="7">
        <f t="shared" ca="1" si="131"/>
        <v>-14171.008494638272</v>
      </c>
      <c r="AD223" s="7">
        <f t="shared" ca="1" si="131"/>
        <v>-14615.141676485224</v>
      </c>
      <c r="AE223" s="7">
        <f t="shared" ca="1" si="131"/>
        <v>-15073.073926962777</v>
      </c>
      <c r="AF223" s="7">
        <f t="shared" ca="1" si="131"/>
        <v>-15545.231094959232</v>
      </c>
      <c r="AG223" s="7">
        <f t="shared" ca="1" si="131"/>
        <v>-16032.052101750272</v>
      </c>
      <c r="AH223" s="7">
        <f t="shared" ca="1" si="131"/>
        <v>-16533.989340593598</v>
      </c>
      <c r="AI223" s="7">
        <f t="shared" ca="1" si="131"/>
        <v>-17051.509088496998</v>
      </c>
      <c r="AJ223" s="7">
        <f t="shared" ca="1" si="131"/>
        <v>-17585.091930529634</v>
      </c>
      <c r="AK223" s="7">
        <f t="shared" ca="1" si="131"/>
        <v>-18135.233197057696</v>
      </c>
      <c r="AL223" s="7">
        <f t="shared" ca="1" si="131"/>
        <v>-18702.443414296904</v>
      </c>
      <c r="AM223" s="7">
        <f t="shared" ca="1" si="131"/>
        <v>-19287.248768586473</v>
      </c>
    </row>
    <row r="224" spans="1:39" x14ac:dyDescent="0.2">
      <c r="A224" s="3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x14ac:dyDescent="0.2">
      <c r="A225" s="3" t="s">
        <v>71</v>
      </c>
      <c r="C225" s="7">
        <f ca="1">C211+SUM($C223:C223)</f>
        <v>12809.375000000015</v>
      </c>
      <c r="D225" s="7">
        <f ca="1">D211+SUM($C223:D223)</f>
        <v>24162.215625000026</v>
      </c>
      <c r="E225" s="7">
        <f ca="1">E211+SUM($C223:E223)</f>
        <v>58836.638502582922</v>
      </c>
      <c r="F225" s="7">
        <f ca="1">F211+SUM($C223:F223)</f>
        <v>86558.722373523749</v>
      </c>
      <c r="G225" s="7">
        <f ca="1">G211+SUM($C223:G223)</f>
        <v>105186.23146773443</v>
      </c>
      <c r="H225" s="7">
        <f ca="1">H211+SUM($C223:H223)</f>
        <v>45871.068761315822</v>
      </c>
      <c r="I225" s="7">
        <f ca="1">I211+SUM($C223:I223)</f>
        <v>102650.13853854903</v>
      </c>
      <c r="J225" s="7">
        <f ca="1">J211+SUM($C223:J223)</f>
        <v>67603.976876148823</v>
      </c>
      <c r="K225" s="7">
        <f ca="1">K211+SUM($C223:K223)</f>
        <v>13425.846909304215</v>
      </c>
      <c r="L225" s="7">
        <f ca="1">L211+SUM($C223:L223)</f>
        <v>177601.38607478226</v>
      </c>
      <c r="M225" s="7">
        <f ca="1">M211+SUM($C223:M223)</f>
        <v>106967.75167125103</v>
      </c>
      <c r="N225" s="7">
        <f ca="1">N211+SUM($C223:N223)</f>
        <v>83948.421986536487</v>
      </c>
      <c r="O225" s="7">
        <f ca="1">O211+SUM($C223:O223)</f>
        <v>59908.582949317963</v>
      </c>
      <c r="P225" s="7">
        <f ca="1">P211+SUM($C223:P223)</f>
        <v>34710.371299332386</v>
      </c>
      <c r="Q225" s="7">
        <f ca="1">Q211+SUM($C223:Q223)</f>
        <v>200242.19514157431</v>
      </c>
      <c r="R225" s="7">
        <f ca="1">R211+SUM($C223:R223)</f>
        <v>162583.52464615903</v>
      </c>
      <c r="S225" s="7">
        <f ca="1">S211+SUM($C223:S223)</f>
        <v>123713.48353127531</v>
      </c>
      <c r="T225" s="7">
        <f ca="1">T211+SUM($C223:T223)</f>
        <v>101960.51240700048</v>
      </c>
      <c r="U225" s="7">
        <f ca="1">U211+SUM($C223:U223)</f>
        <v>87599.747895840614</v>
      </c>
      <c r="V225" s="7">
        <f ca="1">V211+SUM($C223:V223)</f>
        <v>73021.833693671884</v>
      </c>
      <c r="W225" s="7">
        <f ca="1">W211+SUM($C223:W223)</f>
        <v>58225.59714087192</v>
      </c>
      <c r="X225" s="7">
        <f ca="1">X211+SUM($C223:X223)</f>
        <v>43209.963943807787</v>
      </c>
      <c r="Y225" s="7">
        <f ca="1">Y211+SUM($C223:Y223)</f>
        <v>7315.1076934984012</v>
      </c>
      <c r="Z225" s="7">
        <f ca="1">Z211+SUM($C223:Z223)</f>
        <v>-29317.444678997097</v>
      </c>
      <c r="AA225" s="7">
        <f ca="1">AA211+SUM($C223:AA223)</f>
        <v>-66701.345318210952</v>
      </c>
      <c r="AB225" s="7">
        <f ca="1">AB211+SUM($C223:AB223)</f>
        <v>-104850.44396453357</v>
      </c>
      <c r="AC225" s="7">
        <f ca="1">AC211+SUM($C223:AC223)</f>
        <v>-143778.78858287627</v>
      </c>
      <c r="AD225" s="7">
        <f ca="1">AD211+SUM($C223:AD223)</f>
        <v>-183500.62587771562</v>
      </c>
      <c r="AE225" s="7">
        <f ca="1">AE211+SUM($C223:AE223)</f>
        <v>-214047.92659400907</v>
      </c>
      <c r="AF225" s="7">
        <f ca="1">AF211+SUM($C223:AF223)</f>
        <v>-245168.24918856507</v>
      </c>
      <c r="AG225" s="7">
        <f ca="1">AG211+SUM($C223:AG223)</f>
        <v>-276870.19938915101</v>
      </c>
      <c r="AH225" s="7">
        <f ca="1">AH211+SUM($C223:AH223)</f>
        <v>-309162.42647215223</v>
      </c>
      <c r="AI225" s="7">
        <f ca="1">AI211+SUM($C223:AI223)</f>
        <v>-342053.61920345156</v>
      </c>
      <c r="AJ225" s="7">
        <f ca="1">AJ211+SUM($C223:AJ223)</f>
        <v>-375552.50152339274</v>
      </c>
      <c r="AK225" s="7">
        <f ca="1">AK211+SUM($C223:AK223)</f>
        <v>-409667.82796480297</v>
      </c>
      <c r="AL225" s="7">
        <f ca="1">AL211+SUM($C223:AL223)</f>
        <v>-444408.37879262277</v>
      </c>
      <c r="AM225" s="7">
        <f ca="1">AM211+SUM($C223:AM223)</f>
        <v>-479782.95485327381</v>
      </c>
    </row>
    <row r="226" spans="1:39" x14ac:dyDescent="0.2">
      <c r="A226" s="3" t="s">
        <v>68</v>
      </c>
      <c r="C226" s="7">
        <f t="shared" ref="C226:AM226" ca="1" si="132">MAX(C225+buffer,0)-MAX(C211+buffer,0)</f>
        <v>0</v>
      </c>
      <c r="D226" s="7">
        <f t="shared" ca="1" si="132"/>
        <v>0</v>
      </c>
      <c r="E226" s="7">
        <f t="shared" ca="1" si="132"/>
        <v>0</v>
      </c>
      <c r="F226" s="7">
        <f t="shared" ca="1" si="132"/>
        <v>0</v>
      </c>
      <c r="G226" s="7">
        <f t="shared" ca="1" si="132"/>
        <v>0</v>
      </c>
      <c r="H226" s="7">
        <f t="shared" ca="1" si="132"/>
        <v>0</v>
      </c>
      <c r="I226" s="7">
        <f t="shared" ca="1" si="132"/>
        <v>0</v>
      </c>
      <c r="J226" s="7">
        <f t="shared" ca="1" si="132"/>
        <v>0</v>
      </c>
      <c r="K226" s="7">
        <f t="shared" ca="1" si="132"/>
        <v>0</v>
      </c>
      <c r="L226" s="7">
        <f t="shared" ca="1" si="132"/>
        <v>0</v>
      </c>
      <c r="M226" s="7">
        <f t="shared" ca="1" si="132"/>
        <v>0</v>
      </c>
      <c r="N226" s="7">
        <f t="shared" ca="1" si="132"/>
        <v>0</v>
      </c>
      <c r="O226" s="7">
        <f t="shared" ca="1" si="132"/>
        <v>0</v>
      </c>
      <c r="P226" s="7">
        <f t="shared" ca="1" si="132"/>
        <v>0</v>
      </c>
      <c r="Q226" s="7">
        <f t="shared" ca="1" si="132"/>
        <v>191907.43164913374</v>
      </c>
      <c r="R226" s="7">
        <f t="shared" ca="1" si="132"/>
        <v>181820.96617712354</v>
      </c>
      <c r="S226" s="7">
        <f t="shared" ca="1" si="132"/>
        <v>171417.4237592881</v>
      </c>
      <c r="T226" s="7">
        <f t="shared" ca="1" si="132"/>
        <v>151960.51240700047</v>
      </c>
      <c r="U226" s="7">
        <f t="shared" ca="1" si="132"/>
        <v>137599.74789584061</v>
      </c>
      <c r="V226" s="7">
        <f t="shared" ca="1" si="132"/>
        <v>123021.83369367188</v>
      </c>
      <c r="W226" s="7">
        <f t="shared" ca="1" si="132"/>
        <v>108225.59714087192</v>
      </c>
      <c r="X226" s="7">
        <f t="shared" ca="1" si="132"/>
        <v>93209.963943807787</v>
      </c>
      <c r="Y226" s="7">
        <f t="shared" ca="1" si="132"/>
        <v>57315.107693498401</v>
      </c>
      <c r="Z226" s="7">
        <f t="shared" ca="1" si="132"/>
        <v>20682.555321002903</v>
      </c>
      <c r="AA226" s="7">
        <f t="shared" ca="1" si="132"/>
        <v>0</v>
      </c>
      <c r="AB226" s="7">
        <f t="shared" ca="1" si="132"/>
        <v>0</v>
      </c>
      <c r="AC226" s="7">
        <f t="shared" ca="1" si="132"/>
        <v>0</v>
      </c>
      <c r="AD226" s="7">
        <f t="shared" ca="1" si="132"/>
        <v>0</v>
      </c>
      <c r="AE226" s="7">
        <f t="shared" ca="1" si="132"/>
        <v>0</v>
      </c>
      <c r="AF226" s="7">
        <f t="shared" ca="1" si="132"/>
        <v>0</v>
      </c>
      <c r="AG226" s="7">
        <f t="shared" ca="1" si="132"/>
        <v>0</v>
      </c>
      <c r="AH226" s="7">
        <f t="shared" ca="1" si="132"/>
        <v>0</v>
      </c>
      <c r="AI226" s="7">
        <f t="shared" ca="1" si="132"/>
        <v>0</v>
      </c>
      <c r="AJ226" s="7">
        <f t="shared" ca="1" si="132"/>
        <v>0</v>
      </c>
      <c r="AK226" s="7">
        <f t="shared" ca="1" si="132"/>
        <v>0</v>
      </c>
      <c r="AL226" s="7">
        <f t="shared" ca="1" si="132"/>
        <v>0</v>
      </c>
      <c r="AM226" s="7">
        <f t="shared" ca="1" si="132"/>
        <v>0</v>
      </c>
    </row>
    <row r="227" spans="1:39" x14ac:dyDescent="0.2">
      <c r="A227" s="3" t="s">
        <v>69</v>
      </c>
      <c r="C227" s="7">
        <f ca="1">C226*Inputs!$B$259</f>
        <v>0</v>
      </c>
      <c r="D227" s="7">
        <f ca="1">D226*Inputs!$B$259</f>
        <v>0</v>
      </c>
      <c r="E227" s="7">
        <f ca="1">E226*Inputs!$B$259</f>
        <v>0</v>
      </c>
      <c r="F227" s="7">
        <f ca="1">F226*Inputs!$B$259</f>
        <v>0</v>
      </c>
      <c r="G227" s="7">
        <f ca="1">G226*Inputs!$B$259</f>
        <v>0</v>
      </c>
      <c r="H227" s="7">
        <f ca="1">H226*Inputs!$B$259</f>
        <v>0</v>
      </c>
      <c r="I227" s="7">
        <f ca="1">I226*Inputs!$B$259</f>
        <v>0</v>
      </c>
      <c r="J227" s="7">
        <f ca="1">J226*Inputs!$B$259</f>
        <v>0</v>
      </c>
      <c r="K227" s="7">
        <f ca="1">K226*Inputs!$B$259</f>
        <v>0</v>
      </c>
      <c r="L227" s="7">
        <f ca="1">L226*Inputs!$B$259</f>
        <v>0</v>
      </c>
      <c r="M227" s="7">
        <f ca="1">M226*Inputs!$B$259</f>
        <v>0</v>
      </c>
      <c r="N227" s="7">
        <f ca="1">N226*Inputs!$B$259</f>
        <v>0</v>
      </c>
      <c r="O227" s="7">
        <f ca="1">O226*Inputs!$B$259</f>
        <v>0</v>
      </c>
      <c r="P227" s="7">
        <f ca="1">P226*Inputs!$B$259</f>
        <v>0</v>
      </c>
      <c r="Q227" s="7">
        <f ca="1">Q226*Inputs!$B$259</f>
        <v>4797.685791228344</v>
      </c>
      <c r="R227" s="7">
        <f ca="1">R226*Inputs!$B$259</f>
        <v>4545.5241544280889</v>
      </c>
      <c r="S227" s="7">
        <f ca="1">S226*Inputs!$B$259</f>
        <v>4285.4355939822026</v>
      </c>
      <c r="T227" s="7">
        <f ca="1">T226*Inputs!$B$259</f>
        <v>3799.012810175012</v>
      </c>
      <c r="U227" s="7">
        <f ca="1">U226*Inputs!$B$259</f>
        <v>3439.9936973960157</v>
      </c>
      <c r="V227" s="7">
        <f ca="1">V226*Inputs!$B$259</f>
        <v>3075.5458423417972</v>
      </c>
      <c r="W227" s="7">
        <f ca="1">W226*Inputs!$B$259</f>
        <v>2705.6399285217981</v>
      </c>
      <c r="X227" s="7">
        <f ca="1">X226*Inputs!$B$259</f>
        <v>2330.2490985951949</v>
      </c>
      <c r="Y227" s="7">
        <f ca="1">Y226*Inputs!$B$259</f>
        <v>1432.8776923374601</v>
      </c>
      <c r="Z227" s="7">
        <f ca="1">Z226*Inputs!$B$259</f>
        <v>517.06388302507264</v>
      </c>
      <c r="AA227" s="7">
        <f ca="1">AA226*Inputs!$B$259</f>
        <v>0</v>
      </c>
      <c r="AB227" s="7">
        <f ca="1">AB226*Inputs!$B$259</f>
        <v>0</v>
      </c>
      <c r="AC227" s="7">
        <f ca="1">AC226*Inputs!$B$259</f>
        <v>0</v>
      </c>
      <c r="AD227" s="7">
        <f ca="1">AD226*Inputs!$B$259</f>
        <v>0</v>
      </c>
      <c r="AE227" s="7">
        <f ca="1">AE226*Inputs!$B$259</f>
        <v>0</v>
      </c>
      <c r="AF227" s="7">
        <f ca="1">AF226*Inputs!$B$259</f>
        <v>0</v>
      </c>
      <c r="AG227" s="7">
        <f ca="1">AG226*Inputs!$B$259</f>
        <v>0</v>
      </c>
      <c r="AH227" s="7">
        <f ca="1">AH226*Inputs!$B$259</f>
        <v>0</v>
      </c>
      <c r="AI227" s="7">
        <f ca="1">AI226*Inputs!$B$259</f>
        <v>0</v>
      </c>
      <c r="AJ227" s="7">
        <f ca="1">AJ226*Inputs!$B$259</f>
        <v>0</v>
      </c>
      <c r="AK227" s="7">
        <f ca="1">AK226*Inputs!$B$259</f>
        <v>0</v>
      </c>
      <c r="AL227" s="7">
        <f ca="1">AL226*Inputs!$B$259</f>
        <v>0</v>
      </c>
      <c r="AM227" s="7">
        <f ca="1">AM226*Inputs!$B$259</f>
        <v>0</v>
      </c>
    </row>
    <row r="228" spans="1:39" x14ac:dyDescent="0.2">
      <c r="A228" s="3" t="s">
        <v>150</v>
      </c>
      <c r="C228" s="7">
        <f ca="1">C225+SUM($C227:C227)</f>
        <v>12809.375000000015</v>
      </c>
      <c r="D228" s="7">
        <f ca="1">D225+SUM($C227:D227)</f>
        <v>24162.215625000026</v>
      </c>
      <c r="E228" s="7">
        <f ca="1">E225+SUM($C227:E227)</f>
        <v>58836.638502582922</v>
      </c>
      <c r="F228" s="7">
        <f ca="1">F225+SUM($C227:F227)</f>
        <v>86558.722373523749</v>
      </c>
      <c r="G228" s="7">
        <f ca="1">G225+SUM($C227:G227)</f>
        <v>105186.23146773443</v>
      </c>
      <c r="H228" s="7">
        <f ca="1">H225+SUM($C227:H227)</f>
        <v>45871.068761315822</v>
      </c>
      <c r="I228" s="7">
        <f ca="1">I225+SUM($C227:I227)</f>
        <v>102650.13853854903</v>
      </c>
      <c r="J228" s="7">
        <f ca="1">J225+SUM($C227:J227)</f>
        <v>67603.976876148823</v>
      </c>
      <c r="K228" s="7">
        <f ca="1">K225+SUM($C227:K227)</f>
        <v>13425.846909304215</v>
      </c>
      <c r="L228" s="7">
        <f ca="1">L225+SUM($C227:L227)</f>
        <v>177601.38607478226</v>
      </c>
      <c r="M228" s="7">
        <f ca="1">M225+SUM($C227:M227)</f>
        <v>106967.75167125103</v>
      </c>
      <c r="N228" s="7">
        <f ca="1">N225+SUM($C227:N227)</f>
        <v>83948.421986536487</v>
      </c>
      <c r="O228" s="7">
        <f ca="1">O225+SUM($C227:O227)</f>
        <v>59908.582949317963</v>
      </c>
      <c r="P228" s="7">
        <f ca="1">P225+SUM($C227:P227)</f>
        <v>34710.371299332386</v>
      </c>
      <c r="Q228" s="7">
        <f ca="1">Q225+SUM($C227:Q227)</f>
        <v>205039.88093280265</v>
      </c>
      <c r="R228" s="7">
        <f ca="1">R225+SUM($C227:R227)</f>
        <v>171926.73459181545</v>
      </c>
      <c r="S228" s="7">
        <f ca="1">S225+SUM($C227:S227)</f>
        <v>137342.12907091394</v>
      </c>
      <c r="T228" s="7">
        <f ca="1">T225+SUM($C227:T227)</f>
        <v>119388.17075681413</v>
      </c>
      <c r="U228" s="7">
        <f ca="1">U225+SUM($C227:U227)</f>
        <v>108467.39994305027</v>
      </c>
      <c r="V228" s="7">
        <f ca="1">V225+SUM($C227:V227)</f>
        <v>96965.031583223346</v>
      </c>
      <c r="W228" s="7">
        <f ca="1">W225+SUM($C227:W227)</f>
        <v>84874.434958945174</v>
      </c>
      <c r="X228" s="7">
        <f ca="1">X225+SUM($C227:X227)</f>
        <v>72189.050860476244</v>
      </c>
      <c r="Y228" s="7">
        <f ca="1">Y225+SUM($C227:Y227)</f>
        <v>37727.072302504312</v>
      </c>
      <c r="Z228" s="7">
        <f ca="1">Z225+SUM($C227:Z227)</f>
        <v>1611.5838130338889</v>
      </c>
      <c r="AA228" s="7">
        <f ca="1">AA225+SUM($C227:AA227)</f>
        <v>-35772.316826179966</v>
      </c>
      <c r="AB228" s="7">
        <f ca="1">AB225+SUM($C227:AB227)</f>
        <v>-73921.415472502587</v>
      </c>
      <c r="AC228" s="7">
        <f ca="1">AC225+SUM($C227:AC227)</f>
        <v>-112849.76009084529</v>
      </c>
      <c r="AD228" s="7">
        <f ca="1">AD225+SUM($C227:AD227)</f>
        <v>-152571.59738568464</v>
      </c>
      <c r="AE228" s="7">
        <f ca="1">AE225+SUM($C227:AE227)</f>
        <v>-183118.89810197809</v>
      </c>
      <c r="AF228" s="7">
        <f ca="1">AF225+SUM($C227:AF227)</f>
        <v>-214239.22069653409</v>
      </c>
      <c r="AG228" s="7">
        <f ca="1">AG225+SUM($C227:AG227)</f>
        <v>-245941.17089712003</v>
      </c>
      <c r="AH228" s="7">
        <f ca="1">AH225+SUM($C227:AH227)</f>
        <v>-278233.39798012126</v>
      </c>
      <c r="AI228" s="7">
        <f ca="1">AI225+SUM($C227:AI227)</f>
        <v>-311124.59071142058</v>
      </c>
      <c r="AJ228" s="7">
        <f ca="1">AJ225+SUM($C227:AJ227)</f>
        <v>-344623.47303136176</v>
      </c>
      <c r="AK228" s="7">
        <f ca="1">AK225+SUM($C227:AK227)</f>
        <v>-378738.79947277199</v>
      </c>
      <c r="AL228" s="7">
        <f ca="1">AL225+SUM($C227:AL227)</f>
        <v>-413479.35030059179</v>
      </c>
      <c r="AM228" s="7">
        <f ca="1">AM225+SUM($C227:AM227)</f>
        <v>-448853.92636124283</v>
      </c>
    </row>
    <row r="229" spans="1:39" x14ac:dyDescent="0.2">
      <c r="A229" s="3" t="s">
        <v>20</v>
      </c>
      <c r="C229" s="7">
        <f ca="1">IF(C228&lt;0,-C228,0)</f>
        <v>0</v>
      </c>
      <c r="D229" s="7">
        <f ca="1">IF(D228+SUM($C229:C229)&lt;0,-(D228+SUM($C229:C229)),0)</f>
        <v>0</v>
      </c>
      <c r="E229" s="7">
        <f ca="1">IF(E228+SUM($C229:D229)&lt;0,-(E228+SUM($C229:D229)),0)</f>
        <v>0</v>
      </c>
      <c r="F229" s="7">
        <f ca="1">IF(F228+SUM($C229:E229)&lt;0,-(F228+SUM($C229:E229)),0)</f>
        <v>0</v>
      </c>
      <c r="G229" s="7">
        <f ca="1">IF(G228+SUM($C229:F229)&lt;0,-(G228+SUM($C229:F229)),0)</f>
        <v>0</v>
      </c>
      <c r="H229" s="7">
        <f ca="1">IF(H228+SUM($C229:G229)&lt;0,-(H228+SUM($C229:G229)),0)</f>
        <v>0</v>
      </c>
      <c r="I229" s="7">
        <f ca="1">IF(I228+SUM($C229:H229)&lt;0,-(I228+SUM($C229:H229)),0)</f>
        <v>0</v>
      </c>
      <c r="J229" s="7">
        <f ca="1">IF(J228+SUM($C229:I229)&lt;0,-(J228+SUM($C229:I229)),0)</f>
        <v>0</v>
      </c>
      <c r="K229" s="7">
        <f ca="1">IF(K228+SUM($C229:J229)&lt;0,-(K228+SUM($C229:J229)),0)</f>
        <v>0</v>
      </c>
      <c r="L229" s="7">
        <f ca="1">IF(L228+SUM($C229:K229)&lt;0,-(L228+SUM($C229:K229)),0)</f>
        <v>0</v>
      </c>
      <c r="M229" s="7">
        <f ca="1">IF(M228+SUM($C229:L229)&lt;0,-(M228+SUM($C229:L229)),0)</f>
        <v>0</v>
      </c>
      <c r="N229" s="7">
        <f ca="1">IF(N228+SUM($C229:M229)&lt;0,-(N228+SUM($C229:M229)),0)</f>
        <v>0</v>
      </c>
      <c r="O229" s="7">
        <f ca="1">IF(O228+SUM($C229:N229)&lt;0,-(O228+SUM($C229:N229)),0)</f>
        <v>0</v>
      </c>
      <c r="P229" s="7">
        <f ca="1">IF(P228+SUM($C229:O229)&lt;0,-(P228+SUM($C229:O229)),0)</f>
        <v>0</v>
      </c>
      <c r="Q229" s="7">
        <f ca="1">IF(Q228+SUM($C229:P229)&lt;0,-(Q228+SUM($C229:P229)),0)</f>
        <v>0</v>
      </c>
      <c r="R229" s="7">
        <f ca="1">IF(R228+SUM($C229:Q229)&lt;0,-(R228+SUM($C229:Q229)),0)</f>
        <v>0</v>
      </c>
      <c r="S229" s="7">
        <f ca="1">IF(S228+SUM($C229:R229)&lt;0,-(S228+SUM($C229:R229)),0)</f>
        <v>0</v>
      </c>
      <c r="T229" s="7">
        <f ca="1">IF(T228+SUM($C229:S229)&lt;0,-(T228+SUM($C229:S229)),0)</f>
        <v>0</v>
      </c>
      <c r="U229" s="7">
        <f ca="1">IF(U228+SUM($C229:T229)&lt;0,-(U228+SUM($C229:T229)),0)</f>
        <v>0</v>
      </c>
      <c r="V229" s="7">
        <f ca="1">IF(V228+SUM($C229:U229)&lt;0,-(V228+SUM($C229:U229)),0)</f>
        <v>0</v>
      </c>
      <c r="W229" s="7">
        <f ca="1">IF(W228+SUM($C229:V229)&lt;0,-(W228+SUM($C229:V229)),0)</f>
        <v>0</v>
      </c>
      <c r="X229" s="7">
        <f ca="1">IF(X228+SUM($C229:W229)&lt;0,-(X228+SUM($C229:W229)),0)</f>
        <v>0</v>
      </c>
      <c r="Y229" s="7">
        <f ca="1">IF(Y228+SUM($C229:X229)&lt;0,-(Y228+SUM($C229:X229)),0)</f>
        <v>0</v>
      </c>
      <c r="Z229" s="7">
        <f ca="1">IF(Z228+SUM($C229:Y229)&lt;0,-(Z228+SUM($C229:Y229)),0)</f>
        <v>0</v>
      </c>
      <c r="AA229" s="7">
        <f ca="1">IF(AA228+SUM($C229:Z229)&lt;0,-(AA228+SUM($C229:Z229)),0)</f>
        <v>35772.316826179966</v>
      </c>
      <c r="AB229" s="7">
        <f ca="1">IF(AB228+SUM($C229:AA229)&lt;0,-(AB228+SUM($C229:AA229)),0)</f>
        <v>38149.098646322622</v>
      </c>
      <c r="AC229" s="7">
        <f ca="1">IF(AC228+SUM($C229:AB229)&lt;0,-(AC228+SUM($C229:AB229)),0)</f>
        <v>38928.3446183427</v>
      </c>
      <c r="AD229" s="7">
        <f ca="1">IF(AD228+SUM($C229:AC229)&lt;0,-(AD228+SUM($C229:AC229)),0)</f>
        <v>39721.837294839352</v>
      </c>
      <c r="AE229" s="7">
        <f ca="1">IF(AE228+SUM($C229:AD229)&lt;0,-(AE228+SUM($C229:AD229)),0)</f>
        <v>30547.300716293452</v>
      </c>
      <c r="AF229" s="7">
        <f ca="1">IF(AF228+SUM($C229:AE229)&lt;0,-(AF228+SUM($C229:AE229)),0)</f>
        <v>31120.322594555997</v>
      </c>
      <c r="AG229" s="7">
        <f ca="1">IF(AG228+SUM($C229:AF229)&lt;0,-(AG228+SUM($C229:AF229)),0)</f>
        <v>31701.950200585939</v>
      </c>
      <c r="AH229" s="7">
        <f ca="1">IF(AH228+SUM($C229:AG229)&lt;0,-(AH228+SUM($C229:AG229)),0)</f>
        <v>32292.227083001228</v>
      </c>
      <c r="AI229" s="7">
        <f ca="1">IF(AI228+SUM($C229:AH229)&lt;0,-(AI228+SUM($C229:AH229)),0)</f>
        <v>32891.192731299321</v>
      </c>
      <c r="AJ229" s="7">
        <f ca="1">IF(AJ228+SUM($C229:AI229)&lt;0,-(AJ228+SUM($C229:AI229)),0)</f>
        <v>33498.882319941185</v>
      </c>
      <c r="AK229" s="7">
        <f ca="1">IF(AK228+SUM($C229:AJ229)&lt;0,-(AK228+SUM($C229:AJ229)),0)</f>
        <v>34115.32644141023</v>
      </c>
      <c r="AL229" s="7">
        <f ca="1">IF(AL228+SUM($C229:AK229)&lt;0,-(AL228+SUM($C229:AK229)),0)</f>
        <v>34740.550827819796</v>
      </c>
      <c r="AM229" s="7">
        <f ca="1">IF(AM228+SUM($C229:AL229)&lt;0,-(AM228+SUM($C229:AL229)),0)</f>
        <v>35374.576060651045</v>
      </c>
    </row>
    <row r="230" spans="1:39" x14ac:dyDescent="0.2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">
      <c r="A231" s="24" t="str">
        <f>IF(Inputs!$B$279=6,IFERROR(_xlfn.XLOOKUP($B231,Inputs!$B$280:$B$289,Inputs!$A$280:$A$289,,0,1),""),IFERROR(_xlfn.XLOOKUP($B231,Inputs!$C$280:$C$289,Inputs!$A$280:$A$289,,0,1),""))</f>
        <v>Boat</v>
      </c>
      <c r="B231" s="26">
        <v>8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x14ac:dyDescent="0.2">
      <c r="A232" s="3" t="s">
        <v>22</v>
      </c>
      <c r="C232" s="7">
        <f ca="1">IFERROR(VLOOKUP($A231,$A$65:$H$94,C$1+2,FALSE),0)</f>
        <v>172468.12536430024</v>
      </c>
      <c r="D232" s="7">
        <f ca="1">C235</f>
        <v>172468.12536430024</v>
      </c>
      <c r="E232" s="7">
        <f t="shared" ref="E232:AM232" ca="1" si="133">D235</f>
        <v>163844.71909608523</v>
      </c>
      <c r="F232" s="7">
        <f t="shared" ca="1" si="133"/>
        <v>155652.48314128097</v>
      </c>
      <c r="G232" s="7">
        <f t="shared" ca="1" si="133"/>
        <v>147869.85898421693</v>
      </c>
      <c r="H232" s="7">
        <f t="shared" ca="1" si="133"/>
        <v>140476.3660350061</v>
      </c>
      <c r="I232" s="7">
        <f t="shared" ca="1" si="133"/>
        <v>133452.54773325578</v>
      </c>
      <c r="J232" s="7">
        <f t="shared" ca="1" si="133"/>
        <v>126779.92034659299</v>
      </c>
      <c r="K232" s="7">
        <f t="shared" ca="1" si="133"/>
        <v>120440.92432926333</v>
      </c>
      <c r="L232" s="7">
        <f t="shared" ca="1" si="133"/>
        <v>114418.87811280017</v>
      </c>
      <c r="M232" s="7">
        <f t="shared" ca="1" si="133"/>
        <v>108697.93420716016</v>
      </c>
      <c r="N232" s="7">
        <f t="shared" ca="1" si="133"/>
        <v>103263.03749680215</v>
      </c>
      <c r="O232" s="7">
        <f t="shared" ca="1" si="133"/>
        <v>98099.885621962036</v>
      </c>
      <c r="P232" s="7">
        <f t="shared" ca="1" si="133"/>
        <v>93194.891340863935</v>
      </c>
      <c r="Q232" s="7">
        <f t="shared" ca="1" si="133"/>
        <v>88535.146773820743</v>
      </c>
      <c r="R232" s="7">
        <f t="shared" ca="1" si="133"/>
        <v>84108.389435129706</v>
      </c>
      <c r="S232" s="7">
        <f t="shared" ca="1" si="133"/>
        <v>79902.969963373223</v>
      </c>
      <c r="T232" s="7">
        <f t="shared" ca="1" si="133"/>
        <v>75907.821465204557</v>
      </c>
      <c r="U232" s="7">
        <f t="shared" ca="1" si="133"/>
        <v>72112.430391944334</v>
      </c>
      <c r="V232" s="7">
        <f t="shared" ca="1" si="133"/>
        <v>68506.808872347116</v>
      </c>
      <c r="W232" s="7">
        <f t="shared" ca="1" si="133"/>
        <v>65081.468428729757</v>
      </c>
      <c r="X232" s="7">
        <f t="shared" ca="1" si="133"/>
        <v>61827.395007293271</v>
      </c>
      <c r="Y232" s="7">
        <f t="shared" ca="1" si="133"/>
        <v>58736.025256928609</v>
      </c>
      <c r="Z232" s="7">
        <f t="shared" ca="1" si="133"/>
        <v>55799.223994082182</v>
      </c>
      <c r="AA232" s="7">
        <f t="shared" ca="1" si="133"/>
        <v>0</v>
      </c>
      <c r="AB232" s="7">
        <f t="shared" ca="1" si="133"/>
        <v>0</v>
      </c>
      <c r="AC232" s="7">
        <f t="shared" ca="1" si="133"/>
        <v>0</v>
      </c>
      <c r="AD232" s="7">
        <f t="shared" ca="1" si="133"/>
        <v>0</v>
      </c>
      <c r="AE232" s="7">
        <f t="shared" ca="1" si="133"/>
        <v>0</v>
      </c>
      <c r="AF232" s="7">
        <f t="shared" ca="1" si="133"/>
        <v>0</v>
      </c>
      <c r="AG232" s="7">
        <f t="shared" ca="1" si="133"/>
        <v>0</v>
      </c>
      <c r="AH232" s="7">
        <f t="shared" ca="1" si="133"/>
        <v>0</v>
      </c>
      <c r="AI232" s="7">
        <f t="shared" ca="1" si="133"/>
        <v>0</v>
      </c>
      <c r="AJ232" s="7">
        <f t="shared" ca="1" si="133"/>
        <v>0</v>
      </c>
      <c r="AK232" s="7">
        <f t="shared" ca="1" si="133"/>
        <v>0</v>
      </c>
      <c r="AL232" s="7">
        <f t="shared" ca="1" si="133"/>
        <v>0</v>
      </c>
      <c r="AM232" s="7">
        <f t="shared" ca="1" si="133"/>
        <v>0</v>
      </c>
    </row>
    <row r="233" spans="1:39" x14ac:dyDescent="0.2">
      <c r="A233" s="3" t="s">
        <v>23</v>
      </c>
      <c r="C233" s="7">
        <f ca="1">-IF(D229&gt;0,C232,0)</f>
        <v>0</v>
      </c>
      <c r="D233" s="7">
        <f ca="1">-IF(E229&gt;0,D232,0)</f>
        <v>0</v>
      </c>
      <c r="E233" s="7">
        <f ca="1">-IF(F229&gt;0,E232,0)</f>
        <v>0</v>
      </c>
      <c r="F233" s="7">
        <f ca="1">-IF(G229&gt;0,F232,0)</f>
        <v>0</v>
      </c>
      <c r="G233" s="7">
        <f t="shared" ref="G233:AM233" ca="1" si="134">-IF(H229&gt;0,G232,0)</f>
        <v>0</v>
      </c>
      <c r="H233" s="7">
        <f t="shared" ca="1" si="134"/>
        <v>0</v>
      </c>
      <c r="I233" s="7">
        <f t="shared" ca="1" si="134"/>
        <v>0</v>
      </c>
      <c r="J233" s="7">
        <f t="shared" ca="1" si="134"/>
        <v>0</v>
      </c>
      <c r="K233" s="7">
        <f t="shared" ca="1" si="134"/>
        <v>0</v>
      </c>
      <c r="L233" s="7">
        <f t="shared" ca="1" si="134"/>
        <v>0</v>
      </c>
      <c r="M233" s="7">
        <f t="shared" ca="1" si="134"/>
        <v>0</v>
      </c>
      <c r="N233" s="7">
        <f t="shared" ca="1" si="134"/>
        <v>0</v>
      </c>
      <c r="O233" s="7">
        <f t="shared" ca="1" si="134"/>
        <v>0</v>
      </c>
      <c r="P233" s="7">
        <f t="shared" ca="1" si="134"/>
        <v>0</v>
      </c>
      <c r="Q233" s="7">
        <f t="shared" ca="1" si="134"/>
        <v>0</v>
      </c>
      <c r="R233" s="7">
        <f t="shared" ca="1" si="134"/>
        <v>0</v>
      </c>
      <c r="S233" s="7">
        <f t="shared" ca="1" si="134"/>
        <v>0</v>
      </c>
      <c r="T233" s="7">
        <f t="shared" ca="1" si="134"/>
        <v>0</v>
      </c>
      <c r="U233" s="7">
        <f t="shared" ca="1" si="134"/>
        <v>0</v>
      </c>
      <c r="V233" s="7">
        <f t="shared" ca="1" si="134"/>
        <v>0</v>
      </c>
      <c r="W233" s="7">
        <f t="shared" ca="1" si="134"/>
        <v>0</v>
      </c>
      <c r="X233" s="7">
        <f t="shared" ca="1" si="134"/>
        <v>0</v>
      </c>
      <c r="Y233" s="7">
        <f t="shared" ca="1" si="134"/>
        <v>0</v>
      </c>
      <c r="Z233" s="7">
        <f t="shared" ca="1" si="134"/>
        <v>-55799.223994082182</v>
      </c>
      <c r="AA233" s="7">
        <f t="shared" ca="1" si="134"/>
        <v>0</v>
      </c>
      <c r="AB233" s="7">
        <f t="shared" ca="1" si="134"/>
        <v>0</v>
      </c>
      <c r="AC233" s="7">
        <f t="shared" ca="1" si="134"/>
        <v>0</v>
      </c>
      <c r="AD233" s="7">
        <f t="shared" ca="1" si="134"/>
        <v>0</v>
      </c>
      <c r="AE233" s="7">
        <f t="shared" ca="1" si="134"/>
        <v>0</v>
      </c>
      <c r="AF233" s="7">
        <f t="shared" ca="1" si="134"/>
        <v>0</v>
      </c>
      <c r="AG233" s="7">
        <f t="shared" ca="1" si="134"/>
        <v>0</v>
      </c>
      <c r="AH233" s="7">
        <f t="shared" ca="1" si="134"/>
        <v>0</v>
      </c>
      <c r="AI233" s="7">
        <f t="shared" ca="1" si="134"/>
        <v>0</v>
      </c>
      <c r="AJ233" s="7">
        <f t="shared" ca="1" si="134"/>
        <v>0</v>
      </c>
      <c r="AK233" s="7">
        <f t="shared" ca="1" si="134"/>
        <v>0</v>
      </c>
      <c r="AL233" s="7">
        <f t="shared" ca="1" si="134"/>
        <v>0</v>
      </c>
      <c r="AM233" s="7">
        <f t="shared" si="134"/>
        <v>0</v>
      </c>
    </row>
    <row r="234" spans="1:39" x14ac:dyDescent="0.2">
      <c r="A234" s="3" t="s">
        <v>24</v>
      </c>
      <c r="C234" s="7">
        <v>0</v>
      </c>
      <c r="D234" s="7">
        <f t="shared" ref="D234:AM234" ca="1" si="135">SUM(D232:D233)*VLOOKUP($A231,AssVar,2,FALSE)</f>
        <v>-8623.4062682150125</v>
      </c>
      <c r="E234" s="7">
        <f t="shared" ca="1" si="135"/>
        <v>-8192.2359548042623</v>
      </c>
      <c r="F234" s="7">
        <f t="shared" ca="1" si="135"/>
        <v>-7782.6241570640486</v>
      </c>
      <c r="G234" s="7">
        <f t="shared" ca="1" si="135"/>
        <v>-7393.4929492108467</v>
      </c>
      <c r="H234" s="7">
        <f t="shared" ca="1" si="135"/>
        <v>-7023.8183017503052</v>
      </c>
      <c r="I234" s="7">
        <f t="shared" ca="1" si="135"/>
        <v>-6672.6273866627889</v>
      </c>
      <c r="J234" s="7">
        <f t="shared" ca="1" si="135"/>
        <v>-6338.9960173296495</v>
      </c>
      <c r="K234" s="7">
        <f t="shared" ca="1" si="135"/>
        <v>-6022.0462164631672</v>
      </c>
      <c r="L234" s="7">
        <f t="shared" ca="1" si="135"/>
        <v>-5720.9439056400088</v>
      </c>
      <c r="M234" s="7">
        <f t="shared" ca="1" si="135"/>
        <v>-5434.896710358008</v>
      </c>
      <c r="N234" s="7">
        <f t="shared" ca="1" si="135"/>
        <v>-5163.1518748401077</v>
      </c>
      <c r="O234" s="7">
        <f t="shared" ca="1" si="135"/>
        <v>-4904.994281098102</v>
      </c>
      <c r="P234" s="7">
        <f t="shared" ca="1" si="135"/>
        <v>-4659.7445670431971</v>
      </c>
      <c r="Q234" s="7">
        <f t="shared" ca="1" si="135"/>
        <v>-4426.7573386910371</v>
      </c>
      <c r="R234" s="7">
        <f t="shared" ca="1" si="135"/>
        <v>-4205.4194717564851</v>
      </c>
      <c r="S234" s="7">
        <f t="shared" ca="1" si="135"/>
        <v>-3995.1484981686613</v>
      </c>
      <c r="T234" s="7">
        <f t="shared" ca="1" si="135"/>
        <v>-3795.391073260228</v>
      </c>
      <c r="U234" s="7">
        <f t="shared" ca="1" si="135"/>
        <v>-3605.6215195972168</v>
      </c>
      <c r="V234" s="7">
        <f t="shared" ca="1" si="135"/>
        <v>-3425.340443617356</v>
      </c>
      <c r="W234" s="7">
        <f t="shared" ca="1" si="135"/>
        <v>-3254.0734214364879</v>
      </c>
      <c r="X234" s="7">
        <f t="shared" ca="1" si="135"/>
        <v>-3091.3697503646636</v>
      </c>
      <c r="Y234" s="7">
        <f t="shared" ca="1" si="135"/>
        <v>-2936.8012628464307</v>
      </c>
      <c r="Z234" s="7">
        <f t="shared" ca="1" si="135"/>
        <v>0</v>
      </c>
      <c r="AA234" s="7">
        <f t="shared" ca="1" si="135"/>
        <v>0</v>
      </c>
      <c r="AB234" s="7">
        <f t="shared" ca="1" si="135"/>
        <v>0</v>
      </c>
      <c r="AC234" s="7">
        <f t="shared" ca="1" si="135"/>
        <v>0</v>
      </c>
      <c r="AD234" s="7">
        <f t="shared" ca="1" si="135"/>
        <v>0</v>
      </c>
      <c r="AE234" s="7">
        <f t="shared" ca="1" si="135"/>
        <v>0</v>
      </c>
      <c r="AF234" s="7">
        <f t="shared" ca="1" si="135"/>
        <v>0</v>
      </c>
      <c r="AG234" s="7">
        <f t="shared" ca="1" si="135"/>
        <v>0</v>
      </c>
      <c r="AH234" s="7">
        <f t="shared" ca="1" si="135"/>
        <v>0</v>
      </c>
      <c r="AI234" s="7">
        <f t="shared" ca="1" si="135"/>
        <v>0</v>
      </c>
      <c r="AJ234" s="7">
        <f t="shared" ca="1" si="135"/>
        <v>0</v>
      </c>
      <c r="AK234" s="7">
        <f t="shared" ca="1" si="135"/>
        <v>0</v>
      </c>
      <c r="AL234" s="7">
        <f t="shared" ca="1" si="135"/>
        <v>0</v>
      </c>
      <c r="AM234" s="7">
        <f t="shared" ca="1" si="135"/>
        <v>0</v>
      </c>
    </row>
    <row r="235" spans="1:39" x14ac:dyDescent="0.2">
      <c r="A235" s="3" t="s">
        <v>25</v>
      </c>
      <c r="C235" s="7">
        <f ca="1">SUM(C232:C234)</f>
        <v>172468.12536430024</v>
      </c>
      <c r="D235" s="7">
        <f t="shared" ref="D235:AM235" ca="1" si="136">SUM(D232:D234)</f>
        <v>163844.71909608523</v>
      </c>
      <c r="E235" s="7">
        <f t="shared" ca="1" si="136"/>
        <v>155652.48314128097</v>
      </c>
      <c r="F235" s="7">
        <f t="shared" ca="1" si="136"/>
        <v>147869.85898421693</v>
      </c>
      <c r="G235" s="7">
        <f t="shared" ca="1" si="136"/>
        <v>140476.3660350061</v>
      </c>
      <c r="H235" s="7">
        <f t="shared" ca="1" si="136"/>
        <v>133452.54773325578</v>
      </c>
      <c r="I235" s="7">
        <f t="shared" ca="1" si="136"/>
        <v>126779.92034659299</v>
      </c>
      <c r="J235" s="7">
        <f t="shared" ca="1" si="136"/>
        <v>120440.92432926333</v>
      </c>
      <c r="K235" s="7">
        <f t="shared" ca="1" si="136"/>
        <v>114418.87811280017</v>
      </c>
      <c r="L235" s="7">
        <f t="shared" ca="1" si="136"/>
        <v>108697.93420716016</v>
      </c>
      <c r="M235" s="7">
        <f t="shared" ca="1" si="136"/>
        <v>103263.03749680215</v>
      </c>
      <c r="N235" s="7">
        <f t="shared" ca="1" si="136"/>
        <v>98099.885621962036</v>
      </c>
      <c r="O235" s="7">
        <f t="shared" ca="1" si="136"/>
        <v>93194.891340863935</v>
      </c>
      <c r="P235" s="7">
        <f t="shared" ca="1" si="136"/>
        <v>88535.146773820743</v>
      </c>
      <c r="Q235" s="7">
        <f t="shared" ca="1" si="136"/>
        <v>84108.389435129706</v>
      </c>
      <c r="R235" s="7">
        <f t="shared" ca="1" si="136"/>
        <v>79902.969963373223</v>
      </c>
      <c r="S235" s="7">
        <f t="shared" ca="1" si="136"/>
        <v>75907.821465204557</v>
      </c>
      <c r="T235" s="7">
        <f t="shared" ca="1" si="136"/>
        <v>72112.430391944334</v>
      </c>
      <c r="U235" s="7">
        <f t="shared" ca="1" si="136"/>
        <v>68506.808872347116</v>
      </c>
      <c r="V235" s="7">
        <f t="shared" ca="1" si="136"/>
        <v>65081.468428729757</v>
      </c>
      <c r="W235" s="7">
        <f t="shared" ca="1" si="136"/>
        <v>61827.395007293271</v>
      </c>
      <c r="X235" s="7">
        <f t="shared" ca="1" si="136"/>
        <v>58736.025256928609</v>
      </c>
      <c r="Y235" s="7">
        <f t="shared" ca="1" si="136"/>
        <v>55799.223994082182</v>
      </c>
      <c r="Z235" s="7">
        <f t="shared" ca="1" si="136"/>
        <v>0</v>
      </c>
      <c r="AA235" s="7">
        <f t="shared" ca="1" si="136"/>
        <v>0</v>
      </c>
      <c r="AB235" s="7">
        <f t="shared" ca="1" si="136"/>
        <v>0</v>
      </c>
      <c r="AC235" s="7">
        <f t="shared" ca="1" si="136"/>
        <v>0</v>
      </c>
      <c r="AD235" s="7">
        <f t="shared" ca="1" si="136"/>
        <v>0</v>
      </c>
      <c r="AE235" s="7">
        <f t="shared" ca="1" si="136"/>
        <v>0</v>
      </c>
      <c r="AF235" s="7">
        <f t="shared" ca="1" si="136"/>
        <v>0</v>
      </c>
      <c r="AG235" s="7">
        <f t="shared" ca="1" si="136"/>
        <v>0</v>
      </c>
      <c r="AH235" s="7">
        <f t="shared" ca="1" si="136"/>
        <v>0</v>
      </c>
      <c r="AI235" s="7">
        <f t="shared" ca="1" si="136"/>
        <v>0</v>
      </c>
      <c r="AJ235" s="7">
        <f t="shared" ca="1" si="136"/>
        <v>0</v>
      </c>
      <c r="AK235" s="7">
        <f t="shared" ca="1" si="136"/>
        <v>0</v>
      </c>
      <c r="AL235" s="7">
        <f t="shared" ca="1" si="136"/>
        <v>0</v>
      </c>
      <c r="AM235" s="7">
        <f t="shared" ca="1" si="136"/>
        <v>0</v>
      </c>
    </row>
    <row r="236" spans="1:39" x14ac:dyDescent="0.2">
      <c r="A236" s="3" t="s">
        <v>26</v>
      </c>
      <c r="C236" s="7">
        <f t="shared" ref="C236:AM236" ca="1" si="137">C233*VLOOKUP($A231,AssVar,3,FALSE)</f>
        <v>0</v>
      </c>
      <c r="D236" s="7">
        <f t="shared" ca="1" si="137"/>
        <v>0</v>
      </c>
      <c r="E236" s="7">
        <f t="shared" ca="1" si="137"/>
        <v>0</v>
      </c>
      <c r="F236" s="7">
        <f t="shared" ca="1" si="137"/>
        <v>0</v>
      </c>
      <c r="G236" s="7">
        <f t="shared" ca="1" si="137"/>
        <v>0</v>
      </c>
      <c r="H236" s="7">
        <f t="shared" ca="1" si="137"/>
        <v>0</v>
      </c>
      <c r="I236" s="7">
        <f t="shared" ca="1" si="137"/>
        <v>0</v>
      </c>
      <c r="J236" s="7">
        <f t="shared" ca="1" si="137"/>
        <v>0</v>
      </c>
      <c r="K236" s="7">
        <f t="shared" ca="1" si="137"/>
        <v>0</v>
      </c>
      <c r="L236" s="7">
        <f t="shared" ca="1" si="137"/>
        <v>0</v>
      </c>
      <c r="M236" s="7">
        <f t="shared" ca="1" si="137"/>
        <v>0</v>
      </c>
      <c r="N236" s="7">
        <f t="shared" ca="1" si="137"/>
        <v>0</v>
      </c>
      <c r="O236" s="7">
        <f t="shared" ca="1" si="137"/>
        <v>0</v>
      </c>
      <c r="P236" s="7">
        <f t="shared" ca="1" si="137"/>
        <v>0</v>
      </c>
      <c r="Q236" s="7">
        <f t="shared" ca="1" si="137"/>
        <v>0</v>
      </c>
      <c r="R236" s="7">
        <f t="shared" ca="1" si="137"/>
        <v>0</v>
      </c>
      <c r="S236" s="7">
        <f t="shared" ca="1" si="137"/>
        <v>0</v>
      </c>
      <c r="T236" s="7">
        <f t="shared" ca="1" si="137"/>
        <v>0</v>
      </c>
      <c r="U236" s="7">
        <f t="shared" ca="1" si="137"/>
        <v>0</v>
      </c>
      <c r="V236" s="7">
        <f t="shared" ca="1" si="137"/>
        <v>0</v>
      </c>
      <c r="W236" s="7">
        <f t="shared" ca="1" si="137"/>
        <v>0</v>
      </c>
      <c r="X236" s="7">
        <f t="shared" ca="1" si="137"/>
        <v>0</v>
      </c>
      <c r="Y236" s="7">
        <f t="shared" ca="1" si="137"/>
        <v>0</v>
      </c>
      <c r="Z236" s="7">
        <f t="shared" ca="1" si="137"/>
        <v>-1115.9844798816437</v>
      </c>
      <c r="AA236" s="7">
        <f t="shared" ca="1" si="137"/>
        <v>0</v>
      </c>
      <c r="AB236" s="7">
        <f t="shared" ca="1" si="137"/>
        <v>0</v>
      </c>
      <c r="AC236" s="7">
        <f t="shared" ca="1" si="137"/>
        <v>0</v>
      </c>
      <c r="AD236" s="7">
        <f t="shared" ca="1" si="137"/>
        <v>0</v>
      </c>
      <c r="AE236" s="7">
        <f t="shared" ca="1" si="137"/>
        <v>0</v>
      </c>
      <c r="AF236" s="7">
        <f t="shared" ca="1" si="137"/>
        <v>0</v>
      </c>
      <c r="AG236" s="7">
        <f t="shared" ca="1" si="137"/>
        <v>0</v>
      </c>
      <c r="AH236" s="7">
        <f t="shared" ca="1" si="137"/>
        <v>0</v>
      </c>
      <c r="AI236" s="7">
        <f t="shared" ca="1" si="137"/>
        <v>0</v>
      </c>
      <c r="AJ236" s="7">
        <f t="shared" ca="1" si="137"/>
        <v>0</v>
      </c>
      <c r="AK236" s="7">
        <f t="shared" ca="1" si="137"/>
        <v>0</v>
      </c>
      <c r="AL236" s="7">
        <f t="shared" ca="1" si="137"/>
        <v>0</v>
      </c>
      <c r="AM236" s="7">
        <f t="shared" si="137"/>
        <v>0</v>
      </c>
    </row>
    <row r="237" spans="1:39" x14ac:dyDescent="0.2">
      <c r="A237" s="3" t="s">
        <v>31</v>
      </c>
      <c r="C237" s="7">
        <f t="shared" ref="C237:AM237" ca="1" si="138">IFERROR(-IF(C232=0,VLOOKUP($A231,$8:$12,C$1+2,FALSE),0),0)</f>
        <v>0</v>
      </c>
      <c r="D237" s="7">
        <f t="shared" ca="1" si="138"/>
        <v>0</v>
      </c>
      <c r="E237" s="7">
        <f t="shared" ca="1" si="138"/>
        <v>0</v>
      </c>
      <c r="F237" s="7">
        <f t="shared" ca="1" si="138"/>
        <v>0</v>
      </c>
      <c r="G237" s="7">
        <f t="shared" ca="1" si="138"/>
        <v>0</v>
      </c>
      <c r="H237" s="7">
        <f t="shared" ca="1" si="138"/>
        <v>0</v>
      </c>
      <c r="I237" s="7">
        <f t="shared" ca="1" si="138"/>
        <v>0</v>
      </c>
      <c r="J237" s="7">
        <f t="shared" ca="1" si="138"/>
        <v>0</v>
      </c>
      <c r="K237" s="7">
        <f t="shared" ca="1" si="138"/>
        <v>0</v>
      </c>
      <c r="L237" s="7">
        <f t="shared" ca="1" si="138"/>
        <v>0</v>
      </c>
      <c r="M237" s="7">
        <f t="shared" ca="1" si="138"/>
        <v>0</v>
      </c>
      <c r="N237" s="7">
        <f t="shared" ca="1" si="138"/>
        <v>0</v>
      </c>
      <c r="O237" s="7">
        <f t="shared" ca="1" si="138"/>
        <v>0</v>
      </c>
      <c r="P237" s="7">
        <f t="shared" ca="1" si="138"/>
        <v>0</v>
      </c>
      <c r="Q237" s="7">
        <f t="shared" ca="1" si="138"/>
        <v>0</v>
      </c>
      <c r="R237" s="7">
        <f t="shared" ca="1" si="138"/>
        <v>0</v>
      </c>
      <c r="S237" s="7">
        <f t="shared" ca="1" si="138"/>
        <v>0</v>
      </c>
      <c r="T237" s="7">
        <f t="shared" ca="1" si="138"/>
        <v>0</v>
      </c>
      <c r="U237" s="7">
        <f t="shared" ca="1" si="138"/>
        <v>0</v>
      </c>
      <c r="V237" s="7">
        <f t="shared" ca="1" si="138"/>
        <v>0</v>
      </c>
      <c r="W237" s="7">
        <f t="shared" ca="1" si="138"/>
        <v>0</v>
      </c>
      <c r="X237" s="7">
        <f t="shared" ca="1" si="138"/>
        <v>0</v>
      </c>
      <c r="Y237" s="7">
        <f t="shared" ca="1" si="138"/>
        <v>0</v>
      </c>
      <c r="Z237" s="7">
        <f t="shared" ca="1" si="138"/>
        <v>0</v>
      </c>
      <c r="AA237" s="7">
        <f t="shared" ca="1" si="138"/>
        <v>0</v>
      </c>
      <c r="AB237" s="7">
        <f t="shared" ca="1" si="138"/>
        <v>0</v>
      </c>
      <c r="AC237" s="7">
        <f t="shared" ca="1" si="138"/>
        <v>0</v>
      </c>
      <c r="AD237" s="7">
        <f t="shared" ca="1" si="138"/>
        <v>0</v>
      </c>
      <c r="AE237" s="7">
        <f t="shared" ca="1" si="138"/>
        <v>0</v>
      </c>
      <c r="AF237" s="7">
        <f t="shared" ca="1" si="138"/>
        <v>0</v>
      </c>
      <c r="AG237" s="7">
        <f t="shared" ca="1" si="138"/>
        <v>0</v>
      </c>
      <c r="AH237" s="7">
        <f t="shared" ca="1" si="138"/>
        <v>0</v>
      </c>
      <c r="AI237" s="7">
        <f t="shared" ca="1" si="138"/>
        <v>0</v>
      </c>
      <c r="AJ237" s="7">
        <f t="shared" ca="1" si="138"/>
        <v>0</v>
      </c>
      <c r="AK237" s="7">
        <f t="shared" ca="1" si="138"/>
        <v>0</v>
      </c>
      <c r="AL237" s="7">
        <f t="shared" ca="1" si="138"/>
        <v>0</v>
      </c>
      <c r="AM237" s="7">
        <f t="shared" ca="1" si="138"/>
        <v>0</v>
      </c>
    </row>
    <row r="238" spans="1:39" x14ac:dyDescent="0.2">
      <c r="A238" s="3" t="s">
        <v>50</v>
      </c>
      <c r="C238" s="7">
        <f t="shared" ref="C238:AM238" ca="1" si="139">IFERROR(IF(C232=0,VLOOKUP($A231,$45:$49,C$1+2,FALSE),0),0)</f>
        <v>0</v>
      </c>
      <c r="D238" s="7">
        <f t="shared" ca="1" si="139"/>
        <v>0</v>
      </c>
      <c r="E238" s="7">
        <f t="shared" ca="1" si="139"/>
        <v>0</v>
      </c>
      <c r="F238" s="7">
        <f t="shared" ca="1" si="139"/>
        <v>0</v>
      </c>
      <c r="G238" s="7">
        <f t="shared" ca="1" si="139"/>
        <v>0</v>
      </c>
      <c r="H238" s="7">
        <f t="shared" ca="1" si="139"/>
        <v>0</v>
      </c>
      <c r="I238" s="7">
        <f t="shared" ca="1" si="139"/>
        <v>0</v>
      </c>
      <c r="J238" s="7">
        <f t="shared" ca="1" si="139"/>
        <v>0</v>
      </c>
      <c r="K238" s="7">
        <f t="shared" ca="1" si="139"/>
        <v>0</v>
      </c>
      <c r="L238" s="7">
        <f t="shared" ca="1" si="139"/>
        <v>0</v>
      </c>
      <c r="M238" s="7">
        <f t="shared" ca="1" si="139"/>
        <v>0</v>
      </c>
      <c r="N238" s="7">
        <f t="shared" ca="1" si="139"/>
        <v>0</v>
      </c>
      <c r="O238" s="7">
        <f t="shared" ca="1" si="139"/>
        <v>0</v>
      </c>
      <c r="P238" s="7">
        <f t="shared" ca="1" si="139"/>
        <v>0</v>
      </c>
      <c r="Q238" s="7">
        <f t="shared" ca="1" si="139"/>
        <v>0</v>
      </c>
      <c r="R238" s="7">
        <f t="shared" ca="1" si="139"/>
        <v>0</v>
      </c>
      <c r="S238" s="7">
        <f t="shared" ca="1" si="139"/>
        <v>0</v>
      </c>
      <c r="T238" s="7">
        <f t="shared" ca="1" si="139"/>
        <v>0</v>
      </c>
      <c r="U238" s="7">
        <f t="shared" ca="1" si="139"/>
        <v>0</v>
      </c>
      <c r="V238" s="7">
        <f t="shared" ca="1" si="139"/>
        <v>0</v>
      </c>
      <c r="W238" s="7">
        <f t="shared" ca="1" si="139"/>
        <v>0</v>
      </c>
      <c r="X238" s="7">
        <f t="shared" ca="1" si="139"/>
        <v>0</v>
      </c>
      <c r="Y238" s="7">
        <f t="shared" ca="1" si="139"/>
        <v>0</v>
      </c>
      <c r="Z238" s="7">
        <f t="shared" ca="1" si="139"/>
        <v>0</v>
      </c>
      <c r="AA238" s="7">
        <f t="shared" ca="1" si="139"/>
        <v>0</v>
      </c>
      <c r="AB238" s="7">
        <f t="shared" ca="1" si="139"/>
        <v>0</v>
      </c>
      <c r="AC238" s="7">
        <f t="shared" ca="1" si="139"/>
        <v>0</v>
      </c>
      <c r="AD238" s="7">
        <f t="shared" ca="1" si="139"/>
        <v>0</v>
      </c>
      <c r="AE238" s="7">
        <f t="shared" ca="1" si="139"/>
        <v>0</v>
      </c>
      <c r="AF238" s="7">
        <f t="shared" ca="1" si="139"/>
        <v>0</v>
      </c>
      <c r="AG238" s="7">
        <f t="shared" ca="1" si="139"/>
        <v>0</v>
      </c>
      <c r="AH238" s="7">
        <f t="shared" ca="1" si="139"/>
        <v>0</v>
      </c>
      <c r="AI238" s="7">
        <f t="shared" ca="1" si="139"/>
        <v>0</v>
      </c>
      <c r="AJ238" s="7">
        <f t="shared" ca="1" si="139"/>
        <v>0</v>
      </c>
      <c r="AK238" s="7">
        <f t="shared" ca="1" si="139"/>
        <v>0</v>
      </c>
      <c r="AL238" s="7">
        <f t="shared" ca="1" si="139"/>
        <v>0</v>
      </c>
      <c r="AM238" s="7">
        <f t="shared" ca="1" si="139"/>
        <v>0</v>
      </c>
    </row>
    <row r="239" spans="1:39" x14ac:dyDescent="0.2">
      <c r="A239" s="3" t="s">
        <v>36</v>
      </c>
      <c r="B239" s="14" t="str">
        <f>A231</f>
        <v>Boat</v>
      </c>
      <c r="C239" s="7">
        <f t="shared" ref="C239:AM239" ca="1" si="140">IF(AND(C232&gt;0,C235=0),VLOOKUP($A231,$83:$92,C$1+2,FALSE),0)</f>
        <v>0</v>
      </c>
      <c r="D239" s="7">
        <f t="shared" ca="1" si="140"/>
        <v>0</v>
      </c>
      <c r="E239" s="7">
        <f t="shared" ca="1" si="140"/>
        <v>0</v>
      </c>
      <c r="F239" s="7">
        <f t="shared" ca="1" si="140"/>
        <v>0</v>
      </c>
      <c r="G239" s="7">
        <f t="shared" ca="1" si="140"/>
        <v>0</v>
      </c>
      <c r="H239" s="7">
        <f t="shared" ca="1" si="140"/>
        <v>0</v>
      </c>
      <c r="I239" s="7">
        <f t="shared" ca="1" si="140"/>
        <v>0</v>
      </c>
      <c r="J239" s="7">
        <f t="shared" ca="1" si="140"/>
        <v>0</v>
      </c>
      <c r="K239" s="7">
        <f t="shared" ca="1" si="140"/>
        <v>0</v>
      </c>
      <c r="L239" s="7">
        <f t="shared" ca="1" si="140"/>
        <v>0</v>
      </c>
      <c r="M239" s="7">
        <f t="shared" ca="1" si="140"/>
        <v>0</v>
      </c>
      <c r="N239" s="7">
        <f t="shared" ca="1" si="140"/>
        <v>0</v>
      </c>
      <c r="O239" s="7">
        <f t="shared" ca="1" si="140"/>
        <v>0</v>
      </c>
      <c r="P239" s="7">
        <f t="shared" ca="1" si="140"/>
        <v>0</v>
      </c>
      <c r="Q239" s="7">
        <f t="shared" ca="1" si="140"/>
        <v>0</v>
      </c>
      <c r="R239" s="7">
        <f t="shared" ca="1" si="140"/>
        <v>0</v>
      </c>
      <c r="S239" s="7">
        <f t="shared" ca="1" si="140"/>
        <v>0</v>
      </c>
      <c r="T239" s="7">
        <f t="shared" ca="1" si="140"/>
        <v>0</v>
      </c>
      <c r="U239" s="7">
        <f t="shared" ca="1" si="140"/>
        <v>0</v>
      </c>
      <c r="V239" s="7">
        <f t="shared" ca="1" si="140"/>
        <v>0</v>
      </c>
      <c r="W239" s="7">
        <f t="shared" ca="1" si="140"/>
        <v>0</v>
      </c>
      <c r="X239" s="7">
        <f t="shared" ca="1" si="140"/>
        <v>0</v>
      </c>
      <c r="Y239" s="7">
        <f t="shared" ca="1" si="140"/>
        <v>0</v>
      </c>
      <c r="Z239" s="7">
        <f t="shared" ca="1" si="140"/>
        <v>0</v>
      </c>
      <c r="AA239" s="7">
        <f t="shared" ca="1" si="140"/>
        <v>0</v>
      </c>
      <c r="AB239" s="7">
        <f t="shared" ca="1" si="140"/>
        <v>0</v>
      </c>
      <c r="AC239" s="7">
        <f t="shared" ca="1" si="140"/>
        <v>0</v>
      </c>
      <c r="AD239" s="7">
        <f t="shared" ca="1" si="140"/>
        <v>0</v>
      </c>
      <c r="AE239" s="7">
        <f t="shared" ca="1" si="140"/>
        <v>0</v>
      </c>
      <c r="AF239" s="7">
        <f t="shared" ca="1" si="140"/>
        <v>0</v>
      </c>
      <c r="AG239" s="7">
        <f t="shared" ca="1" si="140"/>
        <v>0</v>
      </c>
      <c r="AH239" s="7">
        <f t="shared" ca="1" si="140"/>
        <v>0</v>
      </c>
      <c r="AI239" s="7">
        <f t="shared" ca="1" si="140"/>
        <v>0</v>
      </c>
      <c r="AJ239" s="7">
        <f t="shared" ca="1" si="140"/>
        <v>0</v>
      </c>
      <c r="AK239" s="7">
        <f t="shared" ca="1" si="140"/>
        <v>0</v>
      </c>
      <c r="AL239" s="7">
        <f t="shared" ca="1" si="140"/>
        <v>0</v>
      </c>
      <c r="AM239" s="7">
        <f t="shared" ca="1" si="140"/>
        <v>0</v>
      </c>
    </row>
    <row r="240" spans="1:39" x14ac:dyDescent="0.2">
      <c r="A240" s="3" t="s">
        <v>37</v>
      </c>
      <c r="C240" s="7">
        <f ca="1">-C233+SUM(C236:C239)</f>
        <v>0</v>
      </c>
      <c r="D240" s="7">
        <f t="shared" ref="D240" ca="1" si="141">-D233+SUM(D236:D239)</f>
        <v>0</v>
      </c>
      <c r="E240" s="7">
        <f t="shared" ref="E240:AM240" ca="1" si="142">-E233+SUM(E236:E239)</f>
        <v>0</v>
      </c>
      <c r="F240" s="7">
        <f t="shared" ca="1" si="142"/>
        <v>0</v>
      </c>
      <c r="G240" s="7">
        <f t="shared" ca="1" si="142"/>
        <v>0</v>
      </c>
      <c r="H240" s="7">
        <f t="shared" ca="1" si="142"/>
        <v>0</v>
      </c>
      <c r="I240" s="7">
        <f t="shared" ca="1" si="142"/>
        <v>0</v>
      </c>
      <c r="J240" s="7">
        <f t="shared" ca="1" si="142"/>
        <v>0</v>
      </c>
      <c r="K240" s="7">
        <f t="shared" ca="1" si="142"/>
        <v>0</v>
      </c>
      <c r="L240" s="7">
        <f t="shared" ca="1" si="142"/>
        <v>0</v>
      </c>
      <c r="M240" s="7">
        <f t="shared" ca="1" si="142"/>
        <v>0</v>
      </c>
      <c r="N240" s="7">
        <f t="shared" ca="1" si="142"/>
        <v>0</v>
      </c>
      <c r="O240" s="7">
        <f t="shared" ca="1" si="142"/>
        <v>0</v>
      </c>
      <c r="P240" s="7">
        <f t="shared" ca="1" si="142"/>
        <v>0</v>
      </c>
      <c r="Q240" s="7">
        <f t="shared" ca="1" si="142"/>
        <v>0</v>
      </c>
      <c r="R240" s="7">
        <f t="shared" ca="1" si="142"/>
        <v>0</v>
      </c>
      <c r="S240" s="7">
        <f t="shared" ca="1" si="142"/>
        <v>0</v>
      </c>
      <c r="T240" s="7">
        <f t="shared" ca="1" si="142"/>
        <v>0</v>
      </c>
      <c r="U240" s="7">
        <f t="shared" ca="1" si="142"/>
        <v>0</v>
      </c>
      <c r="V240" s="7">
        <f t="shared" ca="1" si="142"/>
        <v>0</v>
      </c>
      <c r="W240" s="7">
        <f t="shared" ca="1" si="142"/>
        <v>0</v>
      </c>
      <c r="X240" s="7">
        <f t="shared" ca="1" si="142"/>
        <v>0</v>
      </c>
      <c r="Y240" s="7">
        <f t="shared" ca="1" si="142"/>
        <v>0</v>
      </c>
      <c r="Z240" s="7">
        <f t="shared" ca="1" si="142"/>
        <v>54683.239514200541</v>
      </c>
      <c r="AA240" s="7">
        <f t="shared" ca="1" si="142"/>
        <v>0</v>
      </c>
      <c r="AB240" s="7">
        <f t="shared" ca="1" si="142"/>
        <v>0</v>
      </c>
      <c r="AC240" s="7">
        <f t="shared" ca="1" si="142"/>
        <v>0</v>
      </c>
      <c r="AD240" s="7">
        <f t="shared" ca="1" si="142"/>
        <v>0</v>
      </c>
      <c r="AE240" s="7">
        <f t="shared" ca="1" si="142"/>
        <v>0</v>
      </c>
      <c r="AF240" s="7">
        <f t="shared" ca="1" si="142"/>
        <v>0</v>
      </c>
      <c r="AG240" s="7">
        <f t="shared" ca="1" si="142"/>
        <v>0</v>
      </c>
      <c r="AH240" s="7">
        <f t="shared" ca="1" si="142"/>
        <v>0</v>
      </c>
      <c r="AI240" s="7">
        <f t="shared" ca="1" si="142"/>
        <v>0</v>
      </c>
      <c r="AJ240" s="7">
        <f t="shared" ca="1" si="142"/>
        <v>0</v>
      </c>
      <c r="AK240" s="7">
        <f t="shared" ca="1" si="142"/>
        <v>0</v>
      </c>
      <c r="AL240" s="7">
        <f t="shared" ca="1" si="142"/>
        <v>0</v>
      </c>
      <c r="AM240" s="7">
        <f t="shared" ca="1" si="142"/>
        <v>0</v>
      </c>
    </row>
    <row r="241" spans="1:39" x14ac:dyDescent="0.2">
      <c r="A241" s="3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">
      <c r="A242" s="3" t="s">
        <v>71</v>
      </c>
      <c r="C242" s="7">
        <f ca="1">C228+SUM($C240:C240)</f>
        <v>12809.375000000015</v>
      </c>
      <c r="D242" s="7">
        <f ca="1">D228+SUM($C240:D240)</f>
        <v>24162.215625000026</v>
      </c>
      <c r="E242" s="7">
        <f ca="1">E228+SUM($C240:E240)</f>
        <v>58836.638502582922</v>
      </c>
      <c r="F242" s="7">
        <f ca="1">F228+SUM($C240:F240)</f>
        <v>86558.722373523749</v>
      </c>
      <c r="G242" s="7">
        <f ca="1">G228+SUM($C240:G240)</f>
        <v>105186.23146773443</v>
      </c>
      <c r="H242" s="7">
        <f ca="1">H228+SUM($C240:H240)</f>
        <v>45871.068761315822</v>
      </c>
      <c r="I242" s="7">
        <f ca="1">I228+SUM($C240:I240)</f>
        <v>102650.13853854903</v>
      </c>
      <c r="J242" s="7">
        <f ca="1">J228+SUM($C240:J240)</f>
        <v>67603.976876148823</v>
      </c>
      <c r="K242" s="7">
        <f ca="1">K228+SUM($C240:K240)</f>
        <v>13425.846909304215</v>
      </c>
      <c r="L242" s="7">
        <f ca="1">L228+SUM($C240:L240)</f>
        <v>177601.38607478226</v>
      </c>
      <c r="M242" s="7">
        <f ca="1">M228+SUM($C240:M240)</f>
        <v>106967.75167125103</v>
      </c>
      <c r="N242" s="7">
        <f ca="1">N228+SUM($C240:N240)</f>
        <v>83948.421986536487</v>
      </c>
      <c r="O242" s="7">
        <f ca="1">O228+SUM($C240:O240)</f>
        <v>59908.582949317963</v>
      </c>
      <c r="P242" s="7">
        <f ca="1">P228+SUM($C240:P240)</f>
        <v>34710.371299332386</v>
      </c>
      <c r="Q242" s="7">
        <f ca="1">Q228+SUM($C240:Q240)</f>
        <v>205039.88093280265</v>
      </c>
      <c r="R242" s="7">
        <f ca="1">R228+SUM($C240:R240)</f>
        <v>171926.73459181545</v>
      </c>
      <c r="S242" s="7">
        <f ca="1">S228+SUM($C240:S240)</f>
        <v>137342.12907091394</v>
      </c>
      <c r="T242" s="7">
        <f ca="1">T228+SUM($C240:T240)</f>
        <v>119388.17075681413</v>
      </c>
      <c r="U242" s="7">
        <f ca="1">U228+SUM($C240:U240)</f>
        <v>108467.39994305027</v>
      </c>
      <c r="V242" s="7">
        <f ca="1">V228+SUM($C240:V240)</f>
        <v>96965.031583223346</v>
      </c>
      <c r="W242" s="7">
        <f ca="1">W228+SUM($C240:W240)</f>
        <v>84874.434958945174</v>
      </c>
      <c r="X242" s="7">
        <f ca="1">X228+SUM($C240:X240)</f>
        <v>72189.050860476244</v>
      </c>
      <c r="Y242" s="7">
        <f ca="1">Y228+SUM($C240:Y240)</f>
        <v>37727.072302504312</v>
      </c>
      <c r="Z242" s="7">
        <f ca="1">Z228+SUM($C240:Z240)</f>
        <v>56294.82332723443</v>
      </c>
      <c r="AA242" s="7">
        <f ca="1">AA228+SUM($C240:AA240)</f>
        <v>18910.922688020575</v>
      </c>
      <c r="AB242" s="7">
        <f ca="1">AB228+SUM($C240:AB240)</f>
        <v>-19238.175958302047</v>
      </c>
      <c r="AC242" s="7">
        <f ca="1">AC228+SUM($C240:AC240)</f>
        <v>-58166.520576644747</v>
      </c>
      <c r="AD242" s="7">
        <f ca="1">AD228+SUM($C240:AD240)</f>
        <v>-97888.357871484099</v>
      </c>
      <c r="AE242" s="7">
        <f ca="1">AE228+SUM($C240:AE240)</f>
        <v>-128435.65858777755</v>
      </c>
      <c r="AF242" s="7">
        <f ca="1">AF228+SUM($C240:AF240)</f>
        <v>-159555.98118233355</v>
      </c>
      <c r="AG242" s="7">
        <f ca="1">AG228+SUM($C240:AG240)</f>
        <v>-191257.93138291949</v>
      </c>
      <c r="AH242" s="7">
        <f ca="1">AH228+SUM($C240:AH240)</f>
        <v>-223550.15846592071</v>
      </c>
      <c r="AI242" s="7">
        <f ca="1">AI228+SUM($C240:AI240)</f>
        <v>-256441.35119722004</v>
      </c>
      <c r="AJ242" s="7">
        <f ca="1">AJ228+SUM($C240:AJ240)</f>
        <v>-289940.23351716122</v>
      </c>
      <c r="AK242" s="7">
        <f ca="1">AK228+SUM($C240:AK240)</f>
        <v>-324055.55995857145</v>
      </c>
      <c r="AL242" s="7">
        <f ca="1">AL228+SUM($C240:AL240)</f>
        <v>-358796.11078639125</v>
      </c>
      <c r="AM242" s="7">
        <f ca="1">AM228+SUM($C240:AM240)</f>
        <v>-394170.68684704229</v>
      </c>
    </row>
    <row r="243" spans="1:39" x14ac:dyDescent="0.2">
      <c r="A243" s="3" t="s">
        <v>68</v>
      </c>
      <c r="C243" s="7">
        <f t="shared" ref="C243:AM243" ca="1" si="143">MAX(C242+buffer,0)-MAX(C228+buffer,0)</f>
        <v>0</v>
      </c>
      <c r="D243" s="7">
        <f t="shared" ca="1" si="143"/>
        <v>0</v>
      </c>
      <c r="E243" s="7">
        <f t="shared" ca="1" si="143"/>
        <v>0</v>
      </c>
      <c r="F243" s="7">
        <f t="shared" ca="1" si="143"/>
        <v>0</v>
      </c>
      <c r="G243" s="7">
        <f t="shared" ca="1" si="143"/>
        <v>0</v>
      </c>
      <c r="H243" s="7">
        <f t="shared" ca="1" si="143"/>
        <v>0</v>
      </c>
      <c r="I243" s="7">
        <f t="shared" ca="1" si="143"/>
        <v>0</v>
      </c>
      <c r="J243" s="7">
        <f t="shared" ca="1" si="143"/>
        <v>0</v>
      </c>
      <c r="K243" s="7">
        <f t="shared" ca="1" si="143"/>
        <v>0</v>
      </c>
      <c r="L243" s="7">
        <f t="shared" ca="1" si="143"/>
        <v>0</v>
      </c>
      <c r="M243" s="7">
        <f t="shared" ca="1" si="143"/>
        <v>0</v>
      </c>
      <c r="N243" s="7">
        <f t="shared" ca="1" si="143"/>
        <v>0</v>
      </c>
      <c r="O243" s="7">
        <f t="shared" ca="1" si="143"/>
        <v>0</v>
      </c>
      <c r="P243" s="7">
        <f t="shared" ca="1" si="143"/>
        <v>0</v>
      </c>
      <c r="Q243" s="7">
        <f t="shared" ca="1" si="143"/>
        <v>0</v>
      </c>
      <c r="R243" s="7">
        <f t="shared" ca="1" si="143"/>
        <v>0</v>
      </c>
      <c r="S243" s="7">
        <f t="shared" ca="1" si="143"/>
        <v>0</v>
      </c>
      <c r="T243" s="7">
        <f t="shared" ca="1" si="143"/>
        <v>0</v>
      </c>
      <c r="U243" s="7">
        <f t="shared" ca="1" si="143"/>
        <v>0</v>
      </c>
      <c r="V243" s="7">
        <f t="shared" ca="1" si="143"/>
        <v>0</v>
      </c>
      <c r="W243" s="7">
        <f t="shared" ca="1" si="143"/>
        <v>0</v>
      </c>
      <c r="X243" s="7">
        <f t="shared" ca="1" si="143"/>
        <v>0</v>
      </c>
      <c r="Y243" s="7">
        <f t="shared" ca="1" si="143"/>
        <v>0</v>
      </c>
      <c r="Z243" s="7">
        <f t="shared" ca="1" si="143"/>
        <v>54683.239514200533</v>
      </c>
      <c r="AA243" s="7">
        <f t="shared" ca="1" si="143"/>
        <v>54683.239514200533</v>
      </c>
      <c r="AB243" s="7">
        <f t="shared" ca="1" si="143"/>
        <v>30761.824041697953</v>
      </c>
      <c r="AC243" s="7">
        <f t="shared" ca="1" si="143"/>
        <v>0</v>
      </c>
      <c r="AD243" s="7">
        <f t="shared" ca="1" si="143"/>
        <v>0</v>
      </c>
      <c r="AE243" s="7">
        <f t="shared" ca="1" si="143"/>
        <v>0</v>
      </c>
      <c r="AF243" s="7">
        <f t="shared" ca="1" si="143"/>
        <v>0</v>
      </c>
      <c r="AG243" s="7">
        <f t="shared" ca="1" si="143"/>
        <v>0</v>
      </c>
      <c r="AH243" s="7">
        <f t="shared" ca="1" si="143"/>
        <v>0</v>
      </c>
      <c r="AI243" s="7">
        <f t="shared" ca="1" si="143"/>
        <v>0</v>
      </c>
      <c r="AJ243" s="7">
        <f t="shared" ca="1" si="143"/>
        <v>0</v>
      </c>
      <c r="AK243" s="7">
        <f t="shared" ca="1" si="143"/>
        <v>0</v>
      </c>
      <c r="AL243" s="7">
        <f t="shared" ca="1" si="143"/>
        <v>0</v>
      </c>
      <c r="AM243" s="7">
        <f t="shared" ca="1" si="143"/>
        <v>0</v>
      </c>
    </row>
    <row r="244" spans="1:39" x14ac:dyDescent="0.2">
      <c r="A244" s="3" t="s">
        <v>69</v>
      </c>
      <c r="C244" s="7">
        <f ca="1">C243*Inputs!$B$259</f>
        <v>0</v>
      </c>
      <c r="D244" s="7">
        <f ca="1">D243*Inputs!$B$259</f>
        <v>0</v>
      </c>
      <c r="E244" s="7">
        <f ca="1">E243*Inputs!$B$259</f>
        <v>0</v>
      </c>
      <c r="F244" s="7">
        <f ca="1">F243*Inputs!$B$259</f>
        <v>0</v>
      </c>
      <c r="G244" s="7">
        <f ca="1">G243*Inputs!$B$259</f>
        <v>0</v>
      </c>
      <c r="H244" s="7">
        <f ca="1">H243*Inputs!$B$259</f>
        <v>0</v>
      </c>
      <c r="I244" s="7">
        <f ca="1">I243*Inputs!$B$259</f>
        <v>0</v>
      </c>
      <c r="J244" s="7">
        <f ca="1">J243*Inputs!$B$259</f>
        <v>0</v>
      </c>
      <c r="K244" s="7">
        <f ca="1">K243*Inputs!$B$259</f>
        <v>0</v>
      </c>
      <c r="L244" s="7">
        <f ca="1">L243*Inputs!$B$259</f>
        <v>0</v>
      </c>
      <c r="M244" s="7">
        <f ca="1">M243*Inputs!$B$259</f>
        <v>0</v>
      </c>
      <c r="N244" s="7">
        <f ca="1">N243*Inputs!$B$259</f>
        <v>0</v>
      </c>
      <c r="O244" s="7">
        <f ca="1">O243*Inputs!$B$259</f>
        <v>0</v>
      </c>
      <c r="P244" s="7">
        <f ca="1">P243*Inputs!$B$259</f>
        <v>0</v>
      </c>
      <c r="Q244" s="7">
        <f ca="1">Q243*Inputs!$B$259</f>
        <v>0</v>
      </c>
      <c r="R244" s="7">
        <f ca="1">R243*Inputs!$B$259</f>
        <v>0</v>
      </c>
      <c r="S244" s="7">
        <f ca="1">S243*Inputs!$B$259</f>
        <v>0</v>
      </c>
      <c r="T244" s="7">
        <f ca="1">T243*Inputs!$B$259</f>
        <v>0</v>
      </c>
      <c r="U244" s="7">
        <f ca="1">U243*Inputs!$B$259</f>
        <v>0</v>
      </c>
      <c r="V244" s="7">
        <f ca="1">V243*Inputs!$B$259</f>
        <v>0</v>
      </c>
      <c r="W244" s="7">
        <f ca="1">W243*Inputs!$B$259</f>
        <v>0</v>
      </c>
      <c r="X244" s="7">
        <f ca="1">X243*Inputs!$B$259</f>
        <v>0</v>
      </c>
      <c r="Y244" s="7">
        <f ca="1">Y243*Inputs!$B$259</f>
        <v>0</v>
      </c>
      <c r="Z244" s="7">
        <f ca="1">Z243*Inputs!$B$259</f>
        <v>1367.0809878550135</v>
      </c>
      <c r="AA244" s="7">
        <f ca="1">AA243*Inputs!$B$259</f>
        <v>1367.0809878550135</v>
      </c>
      <c r="AB244" s="7">
        <f ca="1">AB243*Inputs!$B$259</f>
        <v>769.04560104244888</v>
      </c>
      <c r="AC244" s="7">
        <f ca="1">AC243*Inputs!$B$259</f>
        <v>0</v>
      </c>
      <c r="AD244" s="7">
        <f ca="1">AD243*Inputs!$B$259</f>
        <v>0</v>
      </c>
      <c r="AE244" s="7">
        <f ca="1">AE243*Inputs!$B$259</f>
        <v>0</v>
      </c>
      <c r="AF244" s="7">
        <f ca="1">AF243*Inputs!$B$259</f>
        <v>0</v>
      </c>
      <c r="AG244" s="7">
        <f ca="1">AG243*Inputs!$B$259</f>
        <v>0</v>
      </c>
      <c r="AH244" s="7">
        <f ca="1">AH243*Inputs!$B$259</f>
        <v>0</v>
      </c>
      <c r="AI244" s="7">
        <f ca="1">AI243*Inputs!$B$259</f>
        <v>0</v>
      </c>
      <c r="AJ244" s="7">
        <f ca="1">AJ243*Inputs!$B$259</f>
        <v>0</v>
      </c>
      <c r="AK244" s="7">
        <f ca="1">AK243*Inputs!$B$259</f>
        <v>0</v>
      </c>
      <c r="AL244" s="7">
        <f ca="1">AL243*Inputs!$B$259</f>
        <v>0</v>
      </c>
      <c r="AM244" s="7">
        <f ca="1">AM243*Inputs!$B$259</f>
        <v>0</v>
      </c>
    </row>
    <row r="245" spans="1:39" x14ac:dyDescent="0.2">
      <c r="A245" s="3" t="s">
        <v>150</v>
      </c>
      <c r="C245" s="7">
        <f ca="1">C242+SUM($C244:C244)</f>
        <v>12809.375000000015</v>
      </c>
      <c r="D245" s="7">
        <f ca="1">D242+SUM($C244:D244)</f>
        <v>24162.215625000026</v>
      </c>
      <c r="E245" s="7">
        <f ca="1">E242+SUM($C244:E244)</f>
        <v>58836.638502582922</v>
      </c>
      <c r="F245" s="7">
        <f ca="1">F242+SUM($C244:F244)</f>
        <v>86558.722373523749</v>
      </c>
      <c r="G245" s="7">
        <f ca="1">G242+SUM($C244:G244)</f>
        <v>105186.23146773443</v>
      </c>
      <c r="H245" s="7">
        <f ca="1">H242+SUM($C244:H244)</f>
        <v>45871.068761315822</v>
      </c>
      <c r="I245" s="7">
        <f ca="1">I242+SUM($C244:I244)</f>
        <v>102650.13853854903</v>
      </c>
      <c r="J245" s="7">
        <f ca="1">J242+SUM($C244:J244)</f>
        <v>67603.976876148823</v>
      </c>
      <c r="K245" s="7">
        <f ca="1">K242+SUM($C244:K244)</f>
        <v>13425.846909304215</v>
      </c>
      <c r="L245" s="7">
        <f ca="1">L242+SUM($C244:L244)</f>
        <v>177601.38607478226</v>
      </c>
      <c r="M245" s="7">
        <f ca="1">M242+SUM($C244:M244)</f>
        <v>106967.75167125103</v>
      </c>
      <c r="N245" s="7">
        <f ca="1">N242+SUM($C244:N244)</f>
        <v>83948.421986536487</v>
      </c>
      <c r="O245" s="7">
        <f ca="1">O242+SUM($C244:O244)</f>
        <v>59908.582949317963</v>
      </c>
      <c r="P245" s="7">
        <f ca="1">P242+SUM($C244:P244)</f>
        <v>34710.371299332386</v>
      </c>
      <c r="Q245" s="7">
        <f ca="1">Q242+SUM($C244:Q244)</f>
        <v>205039.88093280265</v>
      </c>
      <c r="R245" s="7">
        <f ca="1">R242+SUM($C244:R244)</f>
        <v>171926.73459181545</v>
      </c>
      <c r="S245" s="7">
        <f ca="1">S242+SUM($C244:S244)</f>
        <v>137342.12907091394</v>
      </c>
      <c r="T245" s="7">
        <f ca="1">T242+SUM($C244:T244)</f>
        <v>119388.17075681413</v>
      </c>
      <c r="U245" s="7">
        <f ca="1">U242+SUM($C244:U244)</f>
        <v>108467.39994305027</v>
      </c>
      <c r="V245" s="7">
        <f ca="1">V242+SUM($C244:V244)</f>
        <v>96965.031583223346</v>
      </c>
      <c r="W245" s="7">
        <f ca="1">W242+SUM($C244:W244)</f>
        <v>84874.434958945174</v>
      </c>
      <c r="X245" s="7">
        <f ca="1">X242+SUM($C244:X244)</f>
        <v>72189.050860476244</v>
      </c>
      <c r="Y245" s="7">
        <f ca="1">Y242+SUM($C244:Y244)</f>
        <v>37727.072302504312</v>
      </c>
      <c r="Z245" s="7">
        <f ca="1">Z242+SUM($C244:Z244)</f>
        <v>57661.904315089443</v>
      </c>
      <c r="AA245" s="7">
        <f ca="1">AA242+SUM($C244:AA244)</f>
        <v>21645.084663730602</v>
      </c>
      <c r="AB245" s="7">
        <f ca="1">AB242+SUM($C244:AB244)</f>
        <v>-15734.96838154957</v>
      </c>
      <c r="AC245" s="7">
        <f ca="1">AC242+SUM($C244:AC244)</f>
        <v>-54663.312999892274</v>
      </c>
      <c r="AD245" s="7">
        <f ca="1">AD242+SUM($C244:AD244)</f>
        <v>-94385.150294731618</v>
      </c>
      <c r="AE245" s="7">
        <f ca="1">AE242+SUM($C244:AE244)</f>
        <v>-124932.45101102507</v>
      </c>
      <c r="AF245" s="7">
        <f ca="1">AF242+SUM($C244:AF244)</f>
        <v>-156052.77360558108</v>
      </c>
      <c r="AG245" s="7">
        <f ca="1">AG242+SUM($C244:AG244)</f>
        <v>-187754.72380616702</v>
      </c>
      <c r="AH245" s="7">
        <f ca="1">AH242+SUM($C244:AH244)</f>
        <v>-220046.95088916825</v>
      </c>
      <c r="AI245" s="7">
        <f ca="1">AI242+SUM($C244:AI244)</f>
        <v>-252938.14362046757</v>
      </c>
      <c r="AJ245" s="7">
        <f ca="1">AJ242+SUM($C244:AJ244)</f>
        <v>-286437.02594040876</v>
      </c>
      <c r="AK245" s="7">
        <f ca="1">AK242+SUM($C244:AK244)</f>
        <v>-320552.35238181899</v>
      </c>
      <c r="AL245" s="7">
        <f ca="1">AL242+SUM($C244:AL244)</f>
        <v>-355292.90320963878</v>
      </c>
      <c r="AM245" s="7">
        <f ca="1">AM242+SUM($C244:AM244)</f>
        <v>-390667.47927028983</v>
      </c>
    </row>
    <row r="246" spans="1:39" x14ac:dyDescent="0.2">
      <c r="A246" s="3" t="s">
        <v>20</v>
      </c>
      <c r="C246" s="7">
        <f ca="1">IF(C245&lt;0,-C245,0)</f>
        <v>0</v>
      </c>
      <c r="D246" s="7">
        <f ca="1">IF(D245+SUM($C246:C246)&lt;0,-(D245+SUM($C246:C246)),0)</f>
        <v>0</v>
      </c>
      <c r="E246" s="7">
        <f ca="1">IF(E245+SUM($C246:D246)&lt;0,-(E245+SUM($C246:D246)),0)</f>
        <v>0</v>
      </c>
      <c r="F246" s="7">
        <f ca="1">IF(F245+SUM($C246:E246)&lt;0,-(F245+SUM($C246:E246)),0)</f>
        <v>0</v>
      </c>
      <c r="G246" s="7">
        <f ca="1">IF(G245+SUM($C246:F246)&lt;0,-(G245+SUM($C246:F246)),0)</f>
        <v>0</v>
      </c>
      <c r="H246" s="7">
        <f ca="1">IF(H245+SUM($C246:G246)&lt;0,-(H245+SUM($C246:G246)),0)</f>
        <v>0</v>
      </c>
      <c r="I246" s="7">
        <f ca="1">IF(I245+SUM($C246:H246)&lt;0,-(I245+SUM($C246:H246)),0)</f>
        <v>0</v>
      </c>
      <c r="J246" s="7">
        <f ca="1">IF(J245+SUM($C246:I246)&lt;0,-(J245+SUM($C246:I246)),0)</f>
        <v>0</v>
      </c>
      <c r="K246" s="7">
        <f ca="1">IF(K245+SUM($C246:J246)&lt;0,-(K245+SUM($C246:J246)),0)</f>
        <v>0</v>
      </c>
      <c r="L246" s="7">
        <f ca="1">IF(L245+SUM($C246:K246)&lt;0,-(L245+SUM($C246:K246)),0)</f>
        <v>0</v>
      </c>
      <c r="M246" s="7">
        <f ca="1">IF(M245+SUM($C246:L246)&lt;0,-(M245+SUM($C246:L246)),0)</f>
        <v>0</v>
      </c>
      <c r="N246" s="7">
        <f ca="1">IF(N245+SUM($C246:M246)&lt;0,-(N245+SUM($C246:M246)),0)</f>
        <v>0</v>
      </c>
      <c r="O246" s="7">
        <f ca="1">IF(O245+SUM($C246:N246)&lt;0,-(O245+SUM($C246:N246)),0)</f>
        <v>0</v>
      </c>
      <c r="P246" s="7">
        <f ca="1">IF(P245+SUM($C246:O246)&lt;0,-(P245+SUM($C246:O246)),0)</f>
        <v>0</v>
      </c>
      <c r="Q246" s="7">
        <f ca="1">IF(Q245+SUM($C246:P246)&lt;0,-(Q245+SUM($C246:P246)),0)</f>
        <v>0</v>
      </c>
      <c r="R246" s="7">
        <f ca="1">IF(R245+SUM($C246:Q246)&lt;0,-(R245+SUM($C246:Q246)),0)</f>
        <v>0</v>
      </c>
      <c r="S246" s="7">
        <f ca="1">IF(S245+SUM($C246:R246)&lt;0,-(S245+SUM($C246:R246)),0)</f>
        <v>0</v>
      </c>
      <c r="T246" s="7">
        <f ca="1">IF(T245+SUM($C246:S246)&lt;0,-(T245+SUM($C246:S246)),0)</f>
        <v>0</v>
      </c>
      <c r="U246" s="7">
        <f ca="1">IF(U245+SUM($C246:T246)&lt;0,-(U245+SUM($C246:T246)),0)</f>
        <v>0</v>
      </c>
      <c r="V246" s="7">
        <f ca="1">IF(V245+SUM($C246:U246)&lt;0,-(V245+SUM($C246:U246)),0)</f>
        <v>0</v>
      </c>
      <c r="W246" s="7">
        <f ca="1">IF(W245+SUM($C246:V246)&lt;0,-(W245+SUM($C246:V246)),0)</f>
        <v>0</v>
      </c>
      <c r="X246" s="7">
        <f ca="1">IF(X245+SUM($C246:W246)&lt;0,-(X245+SUM($C246:W246)),0)</f>
        <v>0</v>
      </c>
      <c r="Y246" s="7">
        <f ca="1">IF(Y245+SUM($C246:X246)&lt;0,-(Y245+SUM($C246:X246)),0)</f>
        <v>0</v>
      </c>
      <c r="Z246" s="7">
        <f ca="1">IF(Z245+SUM($C246:Y246)&lt;0,-(Z245+SUM($C246:Y246)),0)</f>
        <v>0</v>
      </c>
      <c r="AA246" s="7">
        <f ca="1">IF(AA245+SUM($C246:Z246)&lt;0,-(AA245+SUM($C246:Z246)),0)</f>
        <v>0</v>
      </c>
      <c r="AB246" s="7">
        <f ca="1">IF(AB245+SUM($C246:AA246)&lt;0,-(AB245+SUM($C246:AA246)),0)</f>
        <v>15734.96838154957</v>
      </c>
      <c r="AC246" s="7">
        <f ca="1">IF(AC245+SUM($C246:AB246)&lt;0,-(AC245+SUM($C246:AB246)),0)</f>
        <v>38928.3446183427</v>
      </c>
      <c r="AD246" s="7">
        <f ca="1">IF(AD245+SUM($C246:AC246)&lt;0,-(AD245+SUM($C246:AC246)),0)</f>
        <v>39721.837294839352</v>
      </c>
      <c r="AE246" s="7">
        <f ca="1">IF(AE245+SUM($C246:AD246)&lt;0,-(AE245+SUM($C246:AD246)),0)</f>
        <v>30547.300716293452</v>
      </c>
      <c r="AF246" s="7">
        <f ca="1">IF(AF245+SUM($C246:AE246)&lt;0,-(AF245+SUM($C246:AE246)),0)</f>
        <v>31120.322594556012</v>
      </c>
      <c r="AG246" s="7">
        <f ca="1">IF(AG245+SUM($C246:AF246)&lt;0,-(AG245+SUM($C246:AF246)),0)</f>
        <v>31701.950200585939</v>
      </c>
      <c r="AH246" s="7">
        <f ca="1">IF(AH245+SUM($C246:AG246)&lt;0,-(AH245+SUM($C246:AG246)),0)</f>
        <v>32292.227083001228</v>
      </c>
      <c r="AI246" s="7">
        <f ca="1">IF(AI245+SUM($C246:AH246)&lt;0,-(AI245+SUM($C246:AH246)),0)</f>
        <v>32891.192731299321</v>
      </c>
      <c r="AJ246" s="7">
        <f ca="1">IF(AJ245+SUM($C246:AI246)&lt;0,-(AJ245+SUM($C246:AI246)),0)</f>
        <v>33498.882319941185</v>
      </c>
      <c r="AK246" s="7">
        <f ca="1">IF(AK245+SUM($C246:AJ246)&lt;0,-(AK245+SUM($C246:AJ246)),0)</f>
        <v>34115.32644141023</v>
      </c>
      <c r="AL246" s="7">
        <f ca="1">IF(AL245+SUM($C246:AK246)&lt;0,-(AL245+SUM($C246:AK246)),0)</f>
        <v>34740.550827819796</v>
      </c>
      <c r="AM246" s="7">
        <f ca="1">IF(AM245+SUM($C246:AL246)&lt;0,-(AM245+SUM($C246:AL246)),0)</f>
        <v>35374.576060651045</v>
      </c>
    </row>
    <row r="247" spans="1:39" x14ac:dyDescent="0.2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x14ac:dyDescent="0.2">
      <c r="A248" s="24" t="str">
        <f>IF(Inputs!$B$279=6,IFERROR(_xlfn.XLOOKUP($B248,Inputs!$B$280:$B$289,Inputs!$A$280:$A$289,,0,1),""),IFERROR(_xlfn.XLOOKUP($B248,Inputs!$C$280:$C$289,Inputs!$A$280:$A$289,,0,1),""))</f>
        <v>Qormi</v>
      </c>
      <c r="B248" s="26">
        <v>9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">
      <c r="A249" s="3" t="s">
        <v>22</v>
      </c>
      <c r="C249" s="7">
        <f ca="1">IFERROR(VLOOKUP($A248,$A$65:$H$94,C$1+2,FALSE),0)</f>
        <v>225486.40785841495</v>
      </c>
      <c r="D249" s="7">
        <f ca="1">C252</f>
        <v>225486.40785841495</v>
      </c>
      <c r="E249" s="7">
        <f t="shared" ref="E249:AM249" ca="1" si="144">D252</f>
        <v>232251.00009416739</v>
      </c>
      <c r="F249" s="7">
        <f t="shared" ca="1" si="144"/>
        <v>239218.53009699241</v>
      </c>
      <c r="G249" s="7">
        <f t="shared" ca="1" si="144"/>
        <v>246395.08599990219</v>
      </c>
      <c r="H249" s="7">
        <f t="shared" ca="1" si="144"/>
        <v>253786.93857989926</v>
      </c>
      <c r="I249" s="7">
        <f t="shared" ca="1" si="144"/>
        <v>261400.54673729624</v>
      </c>
      <c r="J249" s="7">
        <f t="shared" ca="1" si="144"/>
        <v>269242.56313941511</v>
      </c>
      <c r="K249" s="7">
        <f t="shared" ca="1" si="144"/>
        <v>277319.84003359755</v>
      </c>
      <c r="L249" s="7">
        <f t="shared" ca="1" si="144"/>
        <v>285639.43523460545</v>
      </c>
      <c r="M249" s="7">
        <f t="shared" ca="1" si="144"/>
        <v>294208.61829164362</v>
      </c>
      <c r="N249" s="7">
        <f t="shared" ca="1" si="144"/>
        <v>303034.87684039294</v>
      </c>
      <c r="O249" s="7">
        <f t="shared" ca="1" si="144"/>
        <v>312125.92314560473</v>
      </c>
      <c r="P249" s="7">
        <f t="shared" ca="1" si="144"/>
        <v>321489.70083997288</v>
      </c>
      <c r="Q249" s="7">
        <f t="shared" ca="1" si="144"/>
        <v>331134.39186517207</v>
      </c>
      <c r="R249" s="7">
        <f t="shared" ca="1" si="144"/>
        <v>341068.42362112727</v>
      </c>
      <c r="S249" s="7">
        <f t="shared" ca="1" si="144"/>
        <v>351300.47632976109</v>
      </c>
      <c r="T249" s="7">
        <f t="shared" ca="1" si="144"/>
        <v>361839.49061965395</v>
      </c>
      <c r="U249" s="7">
        <f t="shared" ca="1" si="144"/>
        <v>372694.6753382436</v>
      </c>
      <c r="V249" s="7">
        <f t="shared" ca="1" si="144"/>
        <v>383875.51559839089</v>
      </c>
      <c r="W249" s="7">
        <f t="shared" ca="1" si="144"/>
        <v>395391.78106634261</v>
      </c>
      <c r="X249" s="7">
        <f t="shared" ca="1" si="144"/>
        <v>407253.53449833288</v>
      </c>
      <c r="Y249" s="7">
        <f t="shared" ca="1" si="144"/>
        <v>419471.14053328289</v>
      </c>
      <c r="Z249" s="7">
        <f t="shared" ca="1" si="144"/>
        <v>432055.27474928135</v>
      </c>
      <c r="AA249" s="7">
        <f t="shared" ca="1" si="144"/>
        <v>445016.93299175979</v>
      </c>
      <c r="AB249" s="7">
        <f t="shared" ca="1" si="144"/>
        <v>0</v>
      </c>
      <c r="AC249" s="7">
        <f t="shared" ca="1" si="144"/>
        <v>0</v>
      </c>
      <c r="AD249" s="7">
        <f t="shared" ca="1" si="144"/>
        <v>0</v>
      </c>
      <c r="AE249" s="7">
        <f t="shared" ca="1" si="144"/>
        <v>0</v>
      </c>
      <c r="AF249" s="7">
        <f t="shared" ca="1" si="144"/>
        <v>0</v>
      </c>
      <c r="AG249" s="7">
        <f t="shared" ca="1" si="144"/>
        <v>0</v>
      </c>
      <c r="AH249" s="7">
        <f t="shared" ca="1" si="144"/>
        <v>0</v>
      </c>
      <c r="AI249" s="7">
        <f t="shared" ca="1" si="144"/>
        <v>0</v>
      </c>
      <c r="AJ249" s="7">
        <f t="shared" ca="1" si="144"/>
        <v>0</v>
      </c>
      <c r="AK249" s="7">
        <f t="shared" ca="1" si="144"/>
        <v>0</v>
      </c>
      <c r="AL249" s="7">
        <f t="shared" ca="1" si="144"/>
        <v>0</v>
      </c>
      <c r="AM249" s="7">
        <f t="shared" ca="1" si="144"/>
        <v>0</v>
      </c>
    </row>
    <row r="250" spans="1:39" x14ac:dyDescent="0.2">
      <c r="A250" s="3" t="s">
        <v>23</v>
      </c>
      <c r="C250" s="7">
        <f ca="1">-IF(D246&gt;0,C249,0)</f>
        <v>0</v>
      </c>
      <c r="D250" s="7">
        <f ca="1">-IF(E246&gt;0,D249,0)</f>
        <v>0</v>
      </c>
      <c r="E250" s="7">
        <f ca="1">-IF(F246&gt;0,E249,0)</f>
        <v>0</v>
      </c>
      <c r="F250" s="7">
        <f ca="1">-IF(G246&gt;0,F249,0)</f>
        <v>0</v>
      </c>
      <c r="G250" s="7">
        <f t="shared" ref="G250:AM250" ca="1" si="145">-IF(H246&gt;0,G249,0)</f>
        <v>0</v>
      </c>
      <c r="H250" s="7">
        <f t="shared" ca="1" si="145"/>
        <v>0</v>
      </c>
      <c r="I250" s="7">
        <f t="shared" ca="1" si="145"/>
        <v>0</v>
      </c>
      <c r="J250" s="7">
        <f t="shared" ca="1" si="145"/>
        <v>0</v>
      </c>
      <c r="K250" s="7">
        <f t="shared" ca="1" si="145"/>
        <v>0</v>
      </c>
      <c r="L250" s="7">
        <f t="shared" ca="1" si="145"/>
        <v>0</v>
      </c>
      <c r="M250" s="7">
        <f t="shared" ca="1" si="145"/>
        <v>0</v>
      </c>
      <c r="N250" s="7">
        <f t="shared" ca="1" si="145"/>
        <v>0</v>
      </c>
      <c r="O250" s="7">
        <f t="shared" ca="1" si="145"/>
        <v>0</v>
      </c>
      <c r="P250" s="7">
        <f t="shared" ca="1" si="145"/>
        <v>0</v>
      </c>
      <c r="Q250" s="7">
        <f t="shared" ca="1" si="145"/>
        <v>0</v>
      </c>
      <c r="R250" s="7">
        <f t="shared" ca="1" si="145"/>
        <v>0</v>
      </c>
      <c r="S250" s="7">
        <f t="shared" ca="1" si="145"/>
        <v>0</v>
      </c>
      <c r="T250" s="7">
        <f t="shared" ca="1" si="145"/>
        <v>0</v>
      </c>
      <c r="U250" s="7">
        <f t="shared" ca="1" si="145"/>
        <v>0</v>
      </c>
      <c r="V250" s="7">
        <f t="shared" ca="1" si="145"/>
        <v>0</v>
      </c>
      <c r="W250" s="7">
        <f t="shared" ca="1" si="145"/>
        <v>0</v>
      </c>
      <c r="X250" s="7">
        <f t="shared" ca="1" si="145"/>
        <v>0</v>
      </c>
      <c r="Y250" s="7">
        <f t="shared" ca="1" si="145"/>
        <v>0</v>
      </c>
      <c r="Z250" s="7">
        <f t="shared" ca="1" si="145"/>
        <v>0</v>
      </c>
      <c r="AA250" s="7">
        <f t="shared" ca="1" si="145"/>
        <v>-445016.93299175979</v>
      </c>
      <c r="AB250" s="7">
        <f t="shared" ca="1" si="145"/>
        <v>0</v>
      </c>
      <c r="AC250" s="7">
        <f t="shared" ca="1" si="145"/>
        <v>0</v>
      </c>
      <c r="AD250" s="7">
        <f t="shared" ca="1" si="145"/>
        <v>0</v>
      </c>
      <c r="AE250" s="7">
        <f t="shared" ca="1" si="145"/>
        <v>0</v>
      </c>
      <c r="AF250" s="7">
        <f t="shared" ca="1" si="145"/>
        <v>0</v>
      </c>
      <c r="AG250" s="7">
        <f t="shared" ca="1" si="145"/>
        <v>0</v>
      </c>
      <c r="AH250" s="7">
        <f t="shared" ca="1" si="145"/>
        <v>0</v>
      </c>
      <c r="AI250" s="7">
        <f t="shared" ca="1" si="145"/>
        <v>0</v>
      </c>
      <c r="AJ250" s="7">
        <f t="shared" ca="1" si="145"/>
        <v>0</v>
      </c>
      <c r="AK250" s="7">
        <f t="shared" ca="1" si="145"/>
        <v>0</v>
      </c>
      <c r="AL250" s="7">
        <f t="shared" ca="1" si="145"/>
        <v>0</v>
      </c>
      <c r="AM250" s="7">
        <f t="shared" si="145"/>
        <v>0</v>
      </c>
    </row>
    <row r="251" spans="1:39" x14ac:dyDescent="0.2">
      <c r="A251" s="3" t="s">
        <v>24</v>
      </c>
      <c r="C251" s="7">
        <v>0</v>
      </c>
      <c r="D251" s="7">
        <f t="shared" ref="D251:AM251" ca="1" si="146">SUM(D249:D250)*VLOOKUP($A248,AssVar,2,FALSE)</f>
        <v>6764.5922357524487</v>
      </c>
      <c r="E251" s="7">
        <f t="shared" ca="1" si="146"/>
        <v>6967.5300028250213</v>
      </c>
      <c r="F251" s="7">
        <f t="shared" ca="1" si="146"/>
        <v>7176.5559029097722</v>
      </c>
      <c r="G251" s="7">
        <f t="shared" ca="1" si="146"/>
        <v>7391.8525799970657</v>
      </c>
      <c r="H251" s="7">
        <f t="shared" ca="1" si="146"/>
        <v>7613.6081573969777</v>
      </c>
      <c r="I251" s="7">
        <f t="shared" ca="1" si="146"/>
        <v>7842.0164021188866</v>
      </c>
      <c r="J251" s="7">
        <f t="shared" ca="1" si="146"/>
        <v>8077.2768941824534</v>
      </c>
      <c r="K251" s="7">
        <f t="shared" ca="1" si="146"/>
        <v>8319.5952010079254</v>
      </c>
      <c r="L251" s="7">
        <f t="shared" ca="1" si="146"/>
        <v>8569.1830570381626</v>
      </c>
      <c r="M251" s="7">
        <f t="shared" ca="1" si="146"/>
        <v>8826.2585487493088</v>
      </c>
      <c r="N251" s="7">
        <f t="shared" ca="1" si="146"/>
        <v>9091.0463052117884</v>
      </c>
      <c r="O251" s="7">
        <f t="shared" ca="1" si="146"/>
        <v>9363.777694368142</v>
      </c>
      <c r="P251" s="7">
        <f t="shared" ca="1" si="146"/>
        <v>9644.6910251991867</v>
      </c>
      <c r="Q251" s="7">
        <f t="shared" ca="1" si="146"/>
        <v>9934.0317559551622</v>
      </c>
      <c r="R251" s="7">
        <f t="shared" ca="1" si="146"/>
        <v>10232.052708633817</v>
      </c>
      <c r="S251" s="7">
        <f t="shared" ca="1" si="146"/>
        <v>10539.014289892832</v>
      </c>
      <c r="T251" s="7">
        <f t="shared" ca="1" si="146"/>
        <v>10855.184718589619</v>
      </c>
      <c r="U251" s="7">
        <f t="shared" ca="1" si="146"/>
        <v>11180.840260147308</v>
      </c>
      <c r="V251" s="7">
        <f t="shared" ca="1" si="146"/>
        <v>11516.265467951725</v>
      </c>
      <c r="W251" s="7">
        <f t="shared" ca="1" si="146"/>
        <v>11861.753431990277</v>
      </c>
      <c r="X251" s="7">
        <f t="shared" ca="1" si="146"/>
        <v>12217.606034949986</v>
      </c>
      <c r="Y251" s="7">
        <f t="shared" ca="1" si="146"/>
        <v>12584.134215998487</v>
      </c>
      <c r="Z251" s="7">
        <f t="shared" ca="1" si="146"/>
        <v>12961.658242478439</v>
      </c>
      <c r="AA251" s="7">
        <f t="shared" ca="1" si="146"/>
        <v>0</v>
      </c>
      <c r="AB251" s="7">
        <f t="shared" ca="1" si="146"/>
        <v>0</v>
      </c>
      <c r="AC251" s="7">
        <f t="shared" ca="1" si="146"/>
        <v>0</v>
      </c>
      <c r="AD251" s="7">
        <f t="shared" ca="1" si="146"/>
        <v>0</v>
      </c>
      <c r="AE251" s="7">
        <f t="shared" ca="1" si="146"/>
        <v>0</v>
      </c>
      <c r="AF251" s="7">
        <f t="shared" ca="1" si="146"/>
        <v>0</v>
      </c>
      <c r="AG251" s="7">
        <f t="shared" ca="1" si="146"/>
        <v>0</v>
      </c>
      <c r="AH251" s="7">
        <f t="shared" ca="1" si="146"/>
        <v>0</v>
      </c>
      <c r="AI251" s="7">
        <f t="shared" ca="1" si="146"/>
        <v>0</v>
      </c>
      <c r="AJ251" s="7">
        <f t="shared" ca="1" si="146"/>
        <v>0</v>
      </c>
      <c r="AK251" s="7">
        <f t="shared" ca="1" si="146"/>
        <v>0</v>
      </c>
      <c r="AL251" s="7">
        <f t="shared" ca="1" si="146"/>
        <v>0</v>
      </c>
      <c r="AM251" s="7">
        <f t="shared" ca="1" si="146"/>
        <v>0</v>
      </c>
    </row>
    <row r="252" spans="1:39" x14ac:dyDescent="0.2">
      <c r="A252" s="3" t="s">
        <v>25</v>
      </c>
      <c r="C252" s="7">
        <f ca="1">SUM(C249:C251)</f>
        <v>225486.40785841495</v>
      </c>
      <c r="D252" s="7">
        <f t="shared" ref="D252:AM252" ca="1" si="147">SUM(D249:D251)</f>
        <v>232251.00009416739</v>
      </c>
      <c r="E252" s="7">
        <f t="shared" ca="1" si="147"/>
        <v>239218.53009699241</v>
      </c>
      <c r="F252" s="7">
        <f t="shared" ca="1" si="147"/>
        <v>246395.08599990219</v>
      </c>
      <c r="G252" s="7">
        <f t="shared" ca="1" si="147"/>
        <v>253786.93857989926</v>
      </c>
      <c r="H252" s="7">
        <f t="shared" ca="1" si="147"/>
        <v>261400.54673729624</v>
      </c>
      <c r="I252" s="7">
        <f t="shared" ca="1" si="147"/>
        <v>269242.56313941511</v>
      </c>
      <c r="J252" s="7">
        <f t="shared" ca="1" si="147"/>
        <v>277319.84003359755</v>
      </c>
      <c r="K252" s="7">
        <f t="shared" ca="1" si="147"/>
        <v>285639.43523460545</v>
      </c>
      <c r="L252" s="7">
        <f t="shared" ca="1" si="147"/>
        <v>294208.61829164362</v>
      </c>
      <c r="M252" s="7">
        <f t="shared" ca="1" si="147"/>
        <v>303034.87684039294</v>
      </c>
      <c r="N252" s="7">
        <f t="shared" ca="1" si="147"/>
        <v>312125.92314560473</v>
      </c>
      <c r="O252" s="7">
        <f t="shared" ca="1" si="147"/>
        <v>321489.70083997288</v>
      </c>
      <c r="P252" s="7">
        <f t="shared" ca="1" si="147"/>
        <v>331134.39186517207</v>
      </c>
      <c r="Q252" s="7">
        <f t="shared" ca="1" si="147"/>
        <v>341068.42362112727</v>
      </c>
      <c r="R252" s="7">
        <f t="shared" ca="1" si="147"/>
        <v>351300.47632976109</v>
      </c>
      <c r="S252" s="7">
        <f t="shared" ca="1" si="147"/>
        <v>361839.49061965395</v>
      </c>
      <c r="T252" s="7">
        <f t="shared" ca="1" si="147"/>
        <v>372694.6753382436</v>
      </c>
      <c r="U252" s="7">
        <f t="shared" ca="1" si="147"/>
        <v>383875.51559839089</v>
      </c>
      <c r="V252" s="7">
        <f t="shared" ca="1" si="147"/>
        <v>395391.78106634261</v>
      </c>
      <c r="W252" s="7">
        <f t="shared" ca="1" si="147"/>
        <v>407253.53449833288</v>
      </c>
      <c r="X252" s="7">
        <f t="shared" ca="1" si="147"/>
        <v>419471.14053328289</v>
      </c>
      <c r="Y252" s="7">
        <f t="shared" ca="1" si="147"/>
        <v>432055.27474928135</v>
      </c>
      <c r="Z252" s="7">
        <f t="shared" ca="1" si="147"/>
        <v>445016.93299175979</v>
      </c>
      <c r="AA252" s="7">
        <f t="shared" ca="1" si="147"/>
        <v>0</v>
      </c>
      <c r="AB252" s="7">
        <f t="shared" ca="1" si="147"/>
        <v>0</v>
      </c>
      <c r="AC252" s="7">
        <f t="shared" ca="1" si="147"/>
        <v>0</v>
      </c>
      <c r="AD252" s="7">
        <f t="shared" ca="1" si="147"/>
        <v>0</v>
      </c>
      <c r="AE252" s="7">
        <f t="shared" ca="1" si="147"/>
        <v>0</v>
      </c>
      <c r="AF252" s="7">
        <f t="shared" ca="1" si="147"/>
        <v>0</v>
      </c>
      <c r="AG252" s="7">
        <f t="shared" ca="1" si="147"/>
        <v>0</v>
      </c>
      <c r="AH252" s="7">
        <f t="shared" ca="1" si="147"/>
        <v>0</v>
      </c>
      <c r="AI252" s="7">
        <f t="shared" ca="1" si="147"/>
        <v>0</v>
      </c>
      <c r="AJ252" s="7">
        <f t="shared" ca="1" si="147"/>
        <v>0</v>
      </c>
      <c r="AK252" s="7">
        <f t="shared" ca="1" si="147"/>
        <v>0</v>
      </c>
      <c r="AL252" s="7">
        <f t="shared" ca="1" si="147"/>
        <v>0</v>
      </c>
      <c r="AM252" s="7">
        <f t="shared" ca="1" si="147"/>
        <v>0</v>
      </c>
    </row>
    <row r="253" spans="1:39" x14ac:dyDescent="0.2">
      <c r="A253" s="3" t="s">
        <v>26</v>
      </c>
      <c r="C253" s="7">
        <f t="shared" ref="C253:AM253" ca="1" si="148">C250*VLOOKUP($A248,AssVar,3,FALSE)</f>
        <v>0</v>
      </c>
      <c r="D253" s="7">
        <f t="shared" ca="1" si="148"/>
        <v>0</v>
      </c>
      <c r="E253" s="7">
        <f t="shared" ca="1" si="148"/>
        <v>0</v>
      </c>
      <c r="F253" s="7">
        <f t="shared" ca="1" si="148"/>
        <v>0</v>
      </c>
      <c r="G253" s="7">
        <f t="shared" ca="1" si="148"/>
        <v>0</v>
      </c>
      <c r="H253" s="7">
        <f t="shared" ca="1" si="148"/>
        <v>0</v>
      </c>
      <c r="I253" s="7">
        <f t="shared" ca="1" si="148"/>
        <v>0</v>
      </c>
      <c r="J253" s="7">
        <f t="shared" ca="1" si="148"/>
        <v>0</v>
      </c>
      <c r="K253" s="7">
        <f t="shared" ca="1" si="148"/>
        <v>0</v>
      </c>
      <c r="L253" s="7">
        <f t="shared" ca="1" si="148"/>
        <v>0</v>
      </c>
      <c r="M253" s="7">
        <f t="shared" ca="1" si="148"/>
        <v>0</v>
      </c>
      <c r="N253" s="7">
        <f t="shared" ca="1" si="148"/>
        <v>0</v>
      </c>
      <c r="O253" s="7">
        <f t="shared" ca="1" si="148"/>
        <v>0</v>
      </c>
      <c r="P253" s="7">
        <f t="shared" ca="1" si="148"/>
        <v>0</v>
      </c>
      <c r="Q253" s="7">
        <f t="shared" ca="1" si="148"/>
        <v>0</v>
      </c>
      <c r="R253" s="7">
        <f t="shared" ca="1" si="148"/>
        <v>0</v>
      </c>
      <c r="S253" s="7">
        <f t="shared" ca="1" si="148"/>
        <v>0</v>
      </c>
      <c r="T253" s="7">
        <f t="shared" ca="1" si="148"/>
        <v>0</v>
      </c>
      <c r="U253" s="7">
        <f t="shared" ca="1" si="148"/>
        <v>0</v>
      </c>
      <c r="V253" s="7">
        <f t="shared" ca="1" si="148"/>
        <v>0</v>
      </c>
      <c r="W253" s="7">
        <f t="shared" ca="1" si="148"/>
        <v>0</v>
      </c>
      <c r="X253" s="7">
        <f t="shared" ca="1" si="148"/>
        <v>0</v>
      </c>
      <c r="Y253" s="7">
        <f t="shared" ca="1" si="148"/>
        <v>0</v>
      </c>
      <c r="Z253" s="7">
        <f t="shared" ca="1" si="148"/>
        <v>0</v>
      </c>
      <c r="AA253" s="7">
        <f t="shared" ca="1" si="148"/>
        <v>-66752.539948763966</v>
      </c>
      <c r="AB253" s="7">
        <f t="shared" ca="1" si="148"/>
        <v>0</v>
      </c>
      <c r="AC253" s="7">
        <f t="shared" ca="1" si="148"/>
        <v>0</v>
      </c>
      <c r="AD253" s="7">
        <f t="shared" ca="1" si="148"/>
        <v>0</v>
      </c>
      <c r="AE253" s="7">
        <f t="shared" ca="1" si="148"/>
        <v>0</v>
      </c>
      <c r="AF253" s="7">
        <f t="shared" ca="1" si="148"/>
        <v>0</v>
      </c>
      <c r="AG253" s="7">
        <f t="shared" ca="1" si="148"/>
        <v>0</v>
      </c>
      <c r="AH253" s="7">
        <f t="shared" ca="1" si="148"/>
        <v>0</v>
      </c>
      <c r="AI253" s="7">
        <f t="shared" ca="1" si="148"/>
        <v>0</v>
      </c>
      <c r="AJ253" s="7">
        <f t="shared" ca="1" si="148"/>
        <v>0</v>
      </c>
      <c r="AK253" s="7">
        <f t="shared" ca="1" si="148"/>
        <v>0</v>
      </c>
      <c r="AL253" s="7">
        <f t="shared" ca="1" si="148"/>
        <v>0</v>
      </c>
      <c r="AM253" s="7">
        <f t="shared" si="148"/>
        <v>0</v>
      </c>
    </row>
    <row r="254" spans="1:39" x14ac:dyDescent="0.2">
      <c r="A254" s="3" t="s">
        <v>31</v>
      </c>
      <c r="C254" s="7">
        <f t="shared" ref="C254:AM254" ca="1" si="149">IFERROR(-IF(C249=0,VLOOKUP($A248,$8:$12,C$1+2,FALSE),0),0)</f>
        <v>0</v>
      </c>
      <c r="D254" s="7">
        <f t="shared" ca="1" si="149"/>
        <v>0</v>
      </c>
      <c r="E254" s="7">
        <f t="shared" ca="1" si="149"/>
        <v>0</v>
      </c>
      <c r="F254" s="7">
        <f t="shared" ca="1" si="149"/>
        <v>0</v>
      </c>
      <c r="G254" s="7">
        <f t="shared" ca="1" si="149"/>
        <v>0</v>
      </c>
      <c r="H254" s="7">
        <f t="shared" ca="1" si="149"/>
        <v>0</v>
      </c>
      <c r="I254" s="7">
        <f t="shared" ca="1" si="149"/>
        <v>0</v>
      </c>
      <c r="J254" s="7">
        <f t="shared" ca="1" si="149"/>
        <v>0</v>
      </c>
      <c r="K254" s="7">
        <f t="shared" ca="1" si="149"/>
        <v>0</v>
      </c>
      <c r="L254" s="7">
        <f t="shared" ca="1" si="149"/>
        <v>0</v>
      </c>
      <c r="M254" s="7">
        <f t="shared" ca="1" si="149"/>
        <v>0</v>
      </c>
      <c r="N254" s="7">
        <f t="shared" ca="1" si="149"/>
        <v>0</v>
      </c>
      <c r="O254" s="7">
        <f t="shared" ca="1" si="149"/>
        <v>0</v>
      </c>
      <c r="P254" s="7">
        <f t="shared" ca="1" si="149"/>
        <v>0</v>
      </c>
      <c r="Q254" s="7">
        <f t="shared" ca="1" si="149"/>
        <v>0</v>
      </c>
      <c r="R254" s="7">
        <f t="shared" ca="1" si="149"/>
        <v>0</v>
      </c>
      <c r="S254" s="7">
        <f t="shared" ca="1" si="149"/>
        <v>0</v>
      </c>
      <c r="T254" s="7">
        <f t="shared" ca="1" si="149"/>
        <v>0</v>
      </c>
      <c r="U254" s="7">
        <f t="shared" ca="1" si="149"/>
        <v>0</v>
      </c>
      <c r="V254" s="7">
        <f t="shared" ca="1" si="149"/>
        <v>0</v>
      </c>
      <c r="W254" s="7">
        <f t="shared" ca="1" si="149"/>
        <v>0</v>
      </c>
      <c r="X254" s="7">
        <f t="shared" ca="1" si="149"/>
        <v>0</v>
      </c>
      <c r="Y254" s="7">
        <f t="shared" ca="1" si="149"/>
        <v>0</v>
      </c>
      <c r="Z254" s="7">
        <f t="shared" ca="1" si="149"/>
        <v>0</v>
      </c>
      <c r="AA254" s="7">
        <f t="shared" ca="1" si="149"/>
        <v>0</v>
      </c>
      <c r="AB254" s="7">
        <f t="shared" ca="1" si="149"/>
        <v>-13958.519531028111</v>
      </c>
      <c r="AC254" s="7">
        <f t="shared" ca="1" si="149"/>
        <v>-14377.275116958954</v>
      </c>
      <c r="AD254" s="7">
        <f t="shared" ca="1" si="149"/>
        <v>-14808.593370467723</v>
      </c>
      <c r="AE254" s="7">
        <f t="shared" ca="1" si="149"/>
        <v>-15252.851171581755</v>
      </c>
      <c r="AF254" s="7">
        <f t="shared" ca="1" si="149"/>
        <v>-15710.436706729208</v>
      </c>
      <c r="AG254" s="7">
        <f t="shared" ca="1" si="149"/>
        <v>-16181.749807931084</v>
      </c>
      <c r="AH254" s="7">
        <f t="shared" ca="1" si="149"/>
        <v>-16667.202302169018</v>
      </c>
      <c r="AI254" s="7">
        <f t="shared" ca="1" si="149"/>
        <v>-17167.218371234088</v>
      </c>
      <c r="AJ254" s="7">
        <f t="shared" ca="1" si="149"/>
        <v>-17682.23492237111</v>
      </c>
      <c r="AK254" s="7">
        <f t="shared" ca="1" si="149"/>
        <v>-18212.701970042242</v>
      </c>
      <c r="AL254" s="7">
        <f t="shared" ca="1" si="149"/>
        <v>-18759.083029143509</v>
      </c>
      <c r="AM254" s="7">
        <f t="shared" ca="1" si="149"/>
        <v>-19321.855520017816</v>
      </c>
    </row>
    <row r="255" spans="1:39" x14ac:dyDescent="0.2">
      <c r="A255" s="3" t="s">
        <v>50</v>
      </c>
      <c r="C255" s="7">
        <f t="shared" ref="C255:AM255" ca="1" si="150">IFERROR(IF(C249=0,VLOOKUP($A248,$45:$49,C$1+2,FALSE),0),0)</f>
        <v>0</v>
      </c>
      <c r="D255" s="7">
        <f t="shared" ca="1" si="150"/>
        <v>0</v>
      </c>
      <c r="E255" s="7">
        <f t="shared" ca="1" si="150"/>
        <v>0</v>
      </c>
      <c r="F255" s="7">
        <f t="shared" ca="1" si="150"/>
        <v>0</v>
      </c>
      <c r="G255" s="7">
        <f t="shared" ca="1" si="150"/>
        <v>0</v>
      </c>
      <c r="H255" s="7">
        <f t="shared" ca="1" si="150"/>
        <v>0</v>
      </c>
      <c r="I255" s="7">
        <f t="shared" ca="1" si="150"/>
        <v>0</v>
      </c>
      <c r="J255" s="7">
        <f t="shared" ca="1" si="150"/>
        <v>0</v>
      </c>
      <c r="K255" s="7">
        <f t="shared" ca="1" si="150"/>
        <v>0</v>
      </c>
      <c r="L255" s="7">
        <f t="shared" ca="1" si="150"/>
        <v>0</v>
      </c>
      <c r="M255" s="7">
        <f t="shared" ca="1" si="150"/>
        <v>0</v>
      </c>
      <c r="N255" s="7">
        <f t="shared" ca="1" si="150"/>
        <v>0</v>
      </c>
      <c r="O255" s="7">
        <f t="shared" ca="1" si="150"/>
        <v>0</v>
      </c>
      <c r="P255" s="7">
        <f t="shared" ca="1" si="150"/>
        <v>0</v>
      </c>
      <c r="Q255" s="7">
        <f t="shared" ca="1" si="150"/>
        <v>0</v>
      </c>
      <c r="R255" s="7">
        <f t="shared" ca="1" si="150"/>
        <v>0</v>
      </c>
      <c r="S255" s="7">
        <f t="shared" ca="1" si="150"/>
        <v>0</v>
      </c>
      <c r="T255" s="7">
        <f t="shared" ca="1" si="150"/>
        <v>0</v>
      </c>
      <c r="U255" s="7">
        <f t="shared" ca="1" si="150"/>
        <v>0</v>
      </c>
      <c r="V255" s="7">
        <f t="shared" ca="1" si="150"/>
        <v>0</v>
      </c>
      <c r="W255" s="7">
        <f t="shared" ca="1" si="150"/>
        <v>0</v>
      </c>
      <c r="X255" s="7">
        <f t="shared" ca="1" si="150"/>
        <v>0</v>
      </c>
      <c r="Y255" s="7">
        <f t="shared" ca="1" si="150"/>
        <v>0</v>
      </c>
      <c r="Z255" s="7">
        <f t="shared" ca="1" si="150"/>
        <v>0</v>
      </c>
      <c r="AA255" s="7">
        <f t="shared" ca="1" si="150"/>
        <v>0</v>
      </c>
      <c r="AB255" s="7">
        <f t="shared" ca="1" si="150"/>
        <v>2224.7329179865842</v>
      </c>
      <c r="AC255" s="7">
        <f t="shared" ca="1" si="150"/>
        <v>2280.3512409362484</v>
      </c>
      <c r="AD255" s="7">
        <f t="shared" ca="1" si="150"/>
        <v>2337.3600219596547</v>
      </c>
      <c r="AE255" s="7">
        <f t="shared" ca="1" si="150"/>
        <v>2395.7940225086459</v>
      </c>
      <c r="AF255" s="7">
        <f t="shared" ca="1" si="150"/>
        <v>2455.6888730713622</v>
      </c>
      <c r="AG255" s="7">
        <f t="shared" ca="1" si="150"/>
        <v>2517.0810948981457</v>
      </c>
      <c r="AH255" s="7">
        <f t="shared" ca="1" si="150"/>
        <v>2580.0081222705999</v>
      </c>
      <c r="AI255" s="7">
        <f t="shared" ca="1" si="150"/>
        <v>2644.5083253273642</v>
      </c>
      <c r="AJ255" s="7">
        <f t="shared" ca="1" si="150"/>
        <v>2710.6210334605485</v>
      </c>
      <c r="AK255" s="7">
        <f t="shared" ca="1" si="150"/>
        <v>2778.3865592970619</v>
      </c>
      <c r="AL255" s="7">
        <f t="shared" ca="1" si="150"/>
        <v>2847.8462232794882</v>
      </c>
      <c r="AM255" s="7">
        <f t="shared" ca="1" si="150"/>
        <v>2919.0423788614758</v>
      </c>
    </row>
    <row r="256" spans="1:39" x14ac:dyDescent="0.2">
      <c r="A256" s="3" t="s">
        <v>36</v>
      </c>
      <c r="B256" s="14" t="str">
        <f>A248</f>
        <v>Qormi</v>
      </c>
      <c r="C256" s="7">
        <f t="shared" ref="C256:AM256" ca="1" si="151">IF(AND(C249&gt;0,C252=0),VLOOKUP($A248,$83:$92,C$1+2,FALSE),0)</f>
        <v>0</v>
      </c>
      <c r="D256" s="7">
        <f t="shared" ca="1" si="151"/>
        <v>0</v>
      </c>
      <c r="E256" s="7">
        <f t="shared" ca="1" si="151"/>
        <v>0</v>
      </c>
      <c r="F256" s="7">
        <f t="shared" ca="1" si="151"/>
        <v>0</v>
      </c>
      <c r="G256" s="7">
        <f t="shared" ca="1" si="151"/>
        <v>0</v>
      </c>
      <c r="H256" s="7">
        <f t="shared" ca="1" si="151"/>
        <v>0</v>
      </c>
      <c r="I256" s="7">
        <f t="shared" ca="1" si="151"/>
        <v>0</v>
      </c>
      <c r="J256" s="7">
        <f t="shared" ca="1" si="151"/>
        <v>0</v>
      </c>
      <c r="K256" s="7">
        <f t="shared" ca="1" si="151"/>
        <v>0</v>
      </c>
      <c r="L256" s="7">
        <f t="shared" ca="1" si="151"/>
        <v>0</v>
      </c>
      <c r="M256" s="7">
        <f t="shared" ca="1" si="151"/>
        <v>0</v>
      </c>
      <c r="N256" s="7">
        <f t="shared" ca="1" si="151"/>
        <v>0</v>
      </c>
      <c r="O256" s="7">
        <f t="shared" ca="1" si="151"/>
        <v>0</v>
      </c>
      <c r="P256" s="7">
        <f t="shared" ca="1" si="151"/>
        <v>0</v>
      </c>
      <c r="Q256" s="7">
        <f t="shared" ca="1" si="151"/>
        <v>0</v>
      </c>
      <c r="R256" s="7">
        <f t="shared" ca="1" si="151"/>
        <v>0</v>
      </c>
      <c r="S256" s="7">
        <f t="shared" ca="1" si="151"/>
        <v>0</v>
      </c>
      <c r="T256" s="7">
        <f t="shared" ca="1" si="151"/>
        <v>0</v>
      </c>
      <c r="U256" s="7">
        <f t="shared" ca="1" si="151"/>
        <v>0</v>
      </c>
      <c r="V256" s="7">
        <f t="shared" ca="1" si="151"/>
        <v>0</v>
      </c>
      <c r="W256" s="7">
        <f t="shared" ca="1" si="151"/>
        <v>0</v>
      </c>
      <c r="X256" s="7">
        <f t="shared" ca="1" si="151"/>
        <v>0</v>
      </c>
      <c r="Y256" s="7">
        <f t="shared" ca="1" si="151"/>
        <v>0</v>
      </c>
      <c r="Z256" s="7">
        <f t="shared" ca="1" si="151"/>
        <v>0</v>
      </c>
      <c r="AA256" s="7">
        <f t="shared" ca="1" si="151"/>
        <v>0</v>
      </c>
      <c r="AB256" s="7">
        <f t="shared" ca="1" si="151"/>
        <v>0</v>
      </c>
      <c r="AC256" s="7">
        <f t="shared" ca="1" si="151"/>
        <v>0</v>
      </c>
      <c r="AD256" s="7">
        <f t="shared" ca="1" si="151"/>
        <v>0</v>
      </c>
      <c r="AE256" s="7">
        <f t="shared" ca="1" si="151"/>
        <v>0</v>
      </c>
      <c r="AF256" s="7">
        <f t="shared" ca="1" si="151"/>
        <v>0</v>
      </c>
      <c r="AG256" s="7">
        <f t="shared" ca="1" si="151"/>
        <v>0</v>
      </c>
      <c r="AH256" s="7">
        <f t="shared" ca="1" si="151"/>
        <v>0</v>
      </c>
      <c r="AI256" s="7">
        <f t="shared" ca="1" si="151"/>
        <v>0</v>
      </c>
      <c r="AJ256" s="7">
        <f t="shared" ca="1" si="151"/>
        <v>0</v>
      </c>
      <c r="AK256" s="7">
        <f t="shared" ca="1" si="151"/>
        <v>0</v>
      </c>
      <c r="AL256" s="7">
        <f t="shared" ca="1" si="151"/>
        <v>0</v>
      </c>
      <c r="AM256" s="7">
        <f t="shared" ca="1" si="151"/>
        <v>0</v>
      </c>
    </row>
    <row r="257" spans="1:39" x14ac:dyDescent="0.2">
      <c r="A257" s="3" t="s">
        <v>37</v>
      </c>
      <c r="C257" s="7">
        <f ca="1">-C250+SUM(C253:C256)</f>
        <v>0</v>
      </c>
      <c r="D257" s="7">
        <f t="shared" ref="D257" ca="1" si="152">-D250+SUM(D253:D256)</f>
        <v>0</v>
      </c>
      <c r="E257" s="7">
        <f t="shared" ref="E257:AM257" ca="1" si="153">-E250+SUM(E253:E256)</f>
        <v>0</v>
      </c>
      <c r="F257" s="7">
        <f t="shared" ca="1" si="153"/>
        <v>0</v>
      </c>
      <c r="G257" s="7">
        <f t="shared" ca="1" si="153"/>
        <v>0</v>
      </c>
      <c r="H257" s="7">
        <f t="shared" ca="1" si="153"/>
        <v>0</v>
      </c>
      <c r="I257" s="7">
        <f t="shared" ca="1" si="153"/>
        <v>0</v>
      </c>
      <c r="J257" s="7">
        <f t="shared" ca="1" si="153"/>
        <v>0</v>
      </c>
      <c r="K257" s="7">
        <f t="shared" ca="1" si="153"/>
        <v>0</v>
      </c>
      <c r="L257" s="7">
        <f t="shared" ca="1" si="153"/>
        <v>0</v>
      </c>
      <c r="M257" s="7">
        <f t="shared" ca="1" si="153"/>
        <v>0</v>
      </c>
      <c r="N257" s="7">
        <f t="shared" ca="1" si="153"/>
        <v>0</v>
      </c>
      <c r="O257" s="7">
        <f t="shared" ca="1" si="153"/>
        <v>0</v>
      </c>
      <c r="P257" s="7">
        <f t="shared" ca="1" si="153"/>
        <v>0</v>
      </c>
      <c r="Q257" s="7">
        <f t="shared" ca="1" si="153"/>
        <v>0</v>
      </c>
      <c r="R257" s="7">
        <f t="shared" ca="1" si="153"/>
        <v>0</v>
      </c>
      <c r="S257" s="7">
        <f t="shared" ca="1" si="153"/>
        <v>0</v>
      </c>
      <c r="T257" s="7">
        <f t="shared" ca="1" si="153"/>
        <v>0</v>
      </c>
      <c r="U257" s="7">
        <f t="shared" ca="1" si="153"/>
        <v>0</v>
      </c>
      <c r="V257" s="7">
        <f t="shared" ca="1" si="153"/>
        <v>0</v>
      </c>
      <c r="W257" s="7">
        <f t="shared" ca="1" si="153"/>
        <v>0</v>
      </c>
      <c r="X257" s="7">
        <f t="shared" ca="1" si="153"/>
        <v>0</v>
      </c>
      <c r="Y257" s="7">
        <f t="shared" ca="1" si="153"/>
        <v>0</v>
      </c>
      <c r="Z257" s="7">
        <f t="shared" ca="1" si="153"/>
        <v>0</v>
      </c>
      <c r="AA257" s="7">
        <f t="shared" ca="1" si="153"/>
        <v>378264.39304299583</v>
      </c>
      <c r="AB257" s="7">
        <f t="shared" ca="1" si="153"/>
        <v>-11733.786613041526</v>
      </c>
      <c r="AC257" s="7">
        <f t="shared" ca="1" si="153"/>
        <v>-12096.923876022705</v>
      </c>
      <c r="AD257" s="7">
        <f t="shared" ca="1" si="153"/>
        <v>-12471.233348508067</v>
      </c>
      <c r="AE257" s="7">
        <f t="shared" ca="1" si="153"/>
        <v>-12857.057149073109</v>
      </c>
      <c r="AF257" s="7">
        <f t="shared" ca="1" si="153"/>
        <v>-13254.747833657846</v>
      </c>
      <c r="AG257" s="7">
        <f t="shared" ca="1" si="153"/>
        <v>-13664.668713032939</v>
      </c>
      <c r="AH257" s="7">
        <f t="shared" ca="1" si="153"/>
        <v>-14087.194179898419</v>
      </c>
      <c r="AI257" s="7">
        <f t="shared" ca="1" si="153"/>
        <v>-14522.710045906724</v>
      </c>
      <c r="AJ257" s="7">
        <f t="shared" ca="1" si="153"/>
        <v>-14971.61388891056</v>
      </c>
      <c r="AK257" s="7">
        <f t="shared" ca="1" si="153"/>
        <v>-15434.315410745181</v>
      </c>
      <c r="AL257" s="7">
        <f t="shared" ca="1" si="153"/>
        <v>-15911.23680586402</v>
      </c>
      <c r="AM257" s="7">
        <f t="shared" ca="1" si="153"/>
        <v>-16402.813141156341</v>
      </c>
    </row>
    <row r="258" spans="1:39" x14ac:dyDescent="0.2">
      <c r="A258" s="3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x14ac:dyDescent="0.2">
      <c r="A259" s="3" t="s">
        <v>71</v>
      </c>
      <c r="C259" s="7">
        <f ca="1">C245+SUM($C257:C257)</f>
        <v>12809.375000000015</v>
      </c>
      <c r="D259" s="7">
        <f ca="1">D245+SUM($C257:D257)</f>
        <v>24162.215625000026</v>
      </c>
      <c r="E259" s="7">
        <f ca="1">E245+SUM($C257:E257)</f>
        <v>58836.638502582922</v>
      </c>
      <c r="F259" s="7">
        <f ca="1">F245+SUM($C257:F257)</f>
        <v>86558.722373523749</v>
      </c>
      <c r="G259" s="7">
        <f ca="1">G245+SUM($C257:G257)</f>
        <v>105186.23146773443</v>
      </c>
      <c r="H259" s="7">
        <f ca="1">H245+SUM($C257:H257)</f>
        <v>45871.068761315822</v>
      </c>
      <c r="I259" s="7">
        <f ca="1">I245+SUM($C257:I257)</f>
        <v>102650.13853854903</v>
      </c>
      <c r="J259" s="7">
        <f ca="1">J245+SUM($C257:J257)</f>
        <v>67603.976876148823</v>
      </c>
      <c r="K259" s="7">
        <f ca="1">K245+SUM($C257:K257)</f>
        <v>13425.846909304215</v>
      </c>
      <c r="L259" s="7">
        <f ca="1">L245+SUM($C257:L257)</f>
        <v>177601.38607478226</v>
      </c>
      <c r="M259" s="7">
        <f ca="1">M245+SUM($C257:M257)</f>
        <v>106967.75167125103</v>
      </c>
      <c r="N259" s="7">
        <f ca="1">N245+SUM($C257:N257)</f>
        <v>83948.421986536487</v>
      </c>
      <c r="O259" s="7">
        <f ca="1">O245+SUM($C257:O257)</f>
        <v>59908.582949317963</v>
      </c>
      <c r="P259" s="7">
        <f ca="1">P245+SUM($C257:P257)</f>
        <v>34710.371299332386</v>
      </c>
      <c r="Q259" s="7">
        <f ca="1">Q245+SUM($C257:Q257)</f>
        <v>205039.88093280265</v>
      </c>
      <c r="R259" s="7">
        <f ca="1">R245+SUM($C257:R257)</f>
        <v>171926.73459181545</v>
      </c>
      <c r="S259" s="7">
        <f ca="1">S245+SUM($C257:S257)</f>
        <v>137342.12907091394</v>
      </c>
      <c r="T259" s="7">
        <f ca="1">T245+SUM($C257:T257)</f>
        <v>119388.17075681413</v>
      </c>
      <c r="U259" s="7">
        <f ca="1">U245+SUM($C257:U257)</f>
        <v>108467.39994305027</v>
      </c>
      <c r="V259" s="7">
        <f ca="1">V245+SUM($C257:V257)</f>
        <v>96965.031583223346</v>
      </c>
      <c r="W259" s="7">
        <f ca="1">W245+SUM($C257:W257)</f>
        <v>84874.434958945174</v>
      </c>
      <c r="X259" s="7">
        <f ca="1">X245+SUM($C257:X257)</f>
        <v>72189.050860476244</v>
      </c>
      <c r="Y259" s="7">
        <f ca="1">Y245+SUM($C257:Y257)</f>
        <v>37727.072302504312</v>
      </c>
      <c r="Z259" s="7">
        <f ca="1">Z245+SUM($C257:Z257)</f>
        <v>57661.904315089443</v>
      </c>
      <c r="AA259" s="7">
        <f ca="1">AA245+SUM($C257:AA257)</f>
        <v>399909.47770672641</v>
      </c>
      <c r="AB259" s="7">
        <f ca="1">AB245+SUM($C257:AB257)</f>
        <v>350795.63804840471</v>
      </c>
      <c r="AC259" s="7">
        <f ca="1">AC245+SUM($C257:AC257)</f>
        <v>299770.36955403932</v>
      </c>
      <c r="AD259" s="7">
        <f ca="1">AD245+SUM($C257:AD257)</f>
        <v>247577.29891069193</v>
      </c>
      <c r="AE259" s="7">
        <f ca="1">AE245+SUM($C257:AE257)</f>
        <v>204172.94104532537</v>
      </c>
      <c r="AF259" s="7">
        <f ca="1">AF245+SUM($C257:AF257)</f>
        <v>159797.8706171115</v>
      </c>
      <c r="AG259" s="7">
        <f ca="1">AG245+SUM($C257:AG257)</f>
        <v>114431.2517034926</v>
      </c>
      <c r="AH259" s="7">
        <f ca="1">AH245+SUM($C257:AH257)</f>
        <v>68051.830440592952</v>
      </c>
      <c r="AI259" s="7">
        <f ca="1">AI245+SUM($C257:AI257)</f>
        <v>20637.927663386916</v>
      </c>
      <c r="AJ259" s="7">
        <f ca="1">AJ245+SUM($C257:AJ257)</f>
        <v>-27832.568545464834</v>
      </c>
      <c r="AK259" s="7">
        <f ca="1">AK245+SUM($C257:AK257)</f>
        <v>-77382.210397620249</v>
      </c>
      <c r="AL259" s="7">
        <f ca="1">AL245+SUM($C257:AL257)</f>
        <v>-128033.99803130407</v>
      </c>
      <c r="AM259" s="7">
        <f ca="1">AM245+SUM($C257:AM257)</f>
        <v>-179811.38723311145</v>
      </c>
    </row>
    <row r="260" spans="1:39" x14ac:dyDescent="0.2">
      <c r="A260" s="3" t="s">
        <v>68</v>
      </c>
      <c r="C260" s="7">
        <f t="shared" ref="C260:AM260" ca="1" si="154">MAX(C259+buffer,0)-MAX(C245+buffer,0)</f>
        <v>0</v>
      </c>
      <c r="D260" s="7">
        <f t="shared" ca="1" si="154"/>
        <v>0</v>
      </c>
      <c r="E260" s="7">
        <f t="shared" ca="1" si="154"/>
        <v>0</v>
      </c>
      <c r="F260" s="7">
        <f t="shared" ca="1" si="154"/>
        <v>0</v>
      </c>
      <c r="G260" s="7">
        <f t="shared" ca="1" si="154"/>
        <v>0</v>
      </c>
      <c r="H260" s="7">
        <f t="shared" ca="1" si="154"/>
        <v>0</v>
      </c>
      <c r="I260" s="7">
        <f t="shared" ca="1" si="154"/>
        <v>0</v>
      </c>
      <c r="J260" s="7">
        <f t="shared" ca="1" si="154"/>
        <v>0</v>
      </c>
      <c r="K260" s="7">
        <f t="shared" ca="1" si="154"/>
        <v>0</v>
      </c>
      <c r="L260" s="7">
        <f t="shared" ca="1" si="154"/>
        <v>0</v>
      </c>
      <c r="M260" s="7">
        <f t="shared" ca="1" si="154"/>
        <v>0</v>
      </c>
      <c r="N260" s="7">
        <f t="shared" ca="1" si="154"/>
        <v>0</v>
      </c>
      <c r="O260" s="7">
        <f t="shared" ca="1" si="154"/>
        <v>0</v>
      </c>
      <c r="P260" s="7">
        <f t="shared" ca="1" si="154"/>
        <v>0</v>
      </c>
      <c r="Q260" s="7">
        <f t="shared" ca="1" si="154"/>
        <v>0</v>
      </c>
      <c r="R260" s="7">
        <f t="shared" ca="1" si="154"/>
        <v>0</v>
      </c>
      <c r="S260" s="7">
        <f t="shared" ca="1" si="154"/>
        <v>0</v>
      </c>
      <c r="T260" s="7">
        <f t="shared" ca="1" si="154"/>
        <v>0</v>
      </c>
      <c r="U260" s="7">
        <f t="shared" ca="1" si="154"/>
        <v>0</v>
      </c>
      <c r="V260" s="7">
        <f t="shared" ca="1" si="154"/>
        <v>0</v>
      </c>
      <c r="W260" s="7">
        <f t="shared" ca="1" si="154"/>
        <v>0</v>
      </c>
      <c r="X260" s="7">
        <f t="shared" ca="1" si="154"/>
        <v>0</v>
      </c>
      <c r="Y260" s="7">
        <f t="shared" ca="1" si="154"/>
        <v>0</v>
      </c>
      <c r="Z260" s="7">
        <f t="shared" ca="1" si="154"/>
        <v>0</v>
      </c>
      <c r="AA260" s="7">
        <f t="shared" ca="1" si="154"/>
        <v>378264.39304299583</v>
      </c>
      <c r="AB260" s="7">
        <f t="shared" ca="1" si="154"/>
        <v>366530.60642995429</v>
      </c>
      <c r="AC260" s="7">
        <f t="shared" ca="1" si="154"/>
        <v>349770.36955403932</v>
      </c>
      <c r="AD260" s="7">
        <f t="shared" ca="1" si="154"/>
        <v>297577.29891069193</v>
      </c>
      <c r="AE260" s="7">
        <f t="shared" ca="1" si="154"/>
        <v>254172.94104532537</v>
      </c>
      <c r="AF260" s="7">
        <f t="shared" ca="1" si="154"/>
        <v>209797.8706171115</v>
      </c>
      <c r="AG260" s="7">
        <f t="shared" ca="1" si="154"/>
        <v>164431.2517034926</v>
      </c>
      <c r="AH260" s="7">
        <f t="shared" ca="1" si="154"/>
        <v>118051.83044059295</v>
      </c>
      <c r="AI260" s="7">
        <f t="shared" ca="1" si="154"/>
        <v>70637.927663386916</v>
      </c>
      <c r="AJ260" s="7">
        <f t="shared" ca="1" si="154"/>
        <v>22167.431454535166</v>
      </c>
      <c r="AK260" s="7">
        <f t="shared" ca="1" si="154"/>
        <v>0</v>
      </c>
      <c r="AL260" s="7">
        <f t="shared" ca="1" si="154"/>
        <v>0</v>
      </c>
      <c r="AM260" s="7">
        <f t="shared" ca="1" si="154"/>
        <v>0</v>
      </c>
    </row>
    <row r="261" spans="1:39" x14ac:dyDescent="0.2">
      <c r="A261" s="3" t="s">
        <v>69</v>
      </c>
      <c r="C261" s="7">
        <f ca="1">C260*Inputs!$B$259</f>
        <v>0</v>
      </c>
      <c r="D261" s="7">
        <f ca="1">D260*Inputs!$B$259</f>
        <v>0</v>
      </c>
      <c r="E261" s="7">
        <f ca="1">E260*Inputs!$B$259</f>
        <v>0</v>
      </c>
      <c r="F261" s="7">
        <f ca="1">F260*Inputs!$B$259</f>
        <v>0</v>
      </c>
      <c r="G261" s="7">
        <f ca="1">G260*Inputs!$B$259</f>
        <v>0</v>
      </c>
      <c r="H261" s="7">
        <f ca="1">H260*Inputs!$B$259</f>
        <v>0</v>
      </c>
      <c r="I261" s="7">
        <f ca="1">I260*Inputs!$B$259</f>
        <v>0</v>
      </c>
      <c r="J261" s="7">
        <f ca="1">J260*Inputs!$B$259</f>
        <v>0</v>
      </c>
      <c r="K261" s="7">
        <f ca="1">K260*Inputs!$B$259</f>
        <v>0</v>
      </c>
      <c r="L261" s="7">
        <f ca="1">L260*Inputs!$B$259</f>
        <v>0</v>
      </c>
      <c r="M261" s="7">
        <f ca="1">M260*Inputs!$B$259</f>
        <v>0</v>
      </c>
      <c r="N261" s="7">
        <f ca="1">N260*Inputs!$B$259</f>
        <v>0</v>
      </c>
      <c r="O261" s="7">
        <f ca="1">O260*Inputs!$B$259</f>
        <v>0</v>
      </c>
      <c r="P261" s="7">
        <f ca="1">P260*Inputs!$B$259</f>
        <v>0</v>
      </c>
      <c r="Q261" s="7">
        <f ca="1">Q260*Inputs!$B$259</f>
        <v>0</v>
      </c>
      <c r="R261" s="7">
        <f ca="1">R260*Inputs!$B$259</f>
        <v>0</v>
      </c>
      <c r="S261" s="7">
        <f ca="1">S260*Inputs!$B$259</f>
        <v>0</v>
      </c>
      <c r="T261" s="7">
        <f ca="1">T260*Inputs!$B$259</f>
        <v>0</v>
      </c>
      <c r="U261" s="7">
        <f ca="1">U260*Inputs!$B$259</f>
        <v>0</v>
      </c>
      <c r="V261" s="7">
        <f ca="1">V260*Inputs!$B$259</f>
        <v>0</v>
      </c>
      <c r="W261" s="7">
        <f ca="1">W260*Inputs!$B$259</f>
        <v>0</v>
      </c>
      <c r="X261" s="7">
        <f ca="1">X260*Inputs!$B$259</f>
        <v>0</v>
      </c>
      <c r="Y261" s="7">
        <f ca="1">Y260*Inputs!$B$259</f>
        <v>0</v>
      </c>
      <c r="Z261" s="7">
        <f ca="1">Z260*Inputs!$B$259</f>
        <v>0</v>
      </c>
      <c r="AA261" s="7">
        <f ca="1">AA260*Inputs!$B$259</f>
        <v>9456.6098260748968</v>
      </c>
      <c r="AB261" s="7">
        <f ca="1">AB260*Inputs!$B$259</f>
        <v>9163.2651607488569</v>
      </c>
      <c r="AC261" s="7">
        <f ca="1">AC260*Inputs!$B$259</f>
        <v>8744.2592388509838</v>
      </c>
      <c r="AD261" s="7">
        <f ca="1">AD260*Inputs!$B$259</f>
        <v>7439.4324727672983</v>
      </c>
      <c r="AE261" s="7">
        <f ca="1">AE260*Inputs!$B$259</f>
        <v>6354.3235261331347</v>
      </c>
      <c r="AF261" s="7">
        <f ca="1">AF260*Inputs!$B$259</f>
        <v>5244.9467654277878</v>
      </c>
      <c r="AG261" s="7">
        <f ca="1">AG260*Inputs!$B$259</f>
        <v>4110.781292587315</v>
      </c>
      <c r="AH261" s="7">
        <f ca="1">AH260*Inputs!$B$259</f>
        <v>2951.2957610148242</v>
      </c>
      <c r="AI261" s="7">
        <f ca="1">AI260*Inputs!$B$259</f>
        <v>1765.9481915846729</v>
      </c>
      <c r="AJ261" s="7">
        <f ca="1">AJ260*Inputs!$B$259</f>
        <v>554.18578636337918</v>
      </c>
      <c r="AK261" s="7">
        <f ca="1">AK260*Inputs!$B$259</f>
        <v>0</v>
      </c>
      <c r="AL261" s="7">
        <f ca="1">AL260*Inputs!$B$259</f>
        <v>0</v>
      </c>
      <c r="AM261" s="7">
        <f ca="1">AM260*Inputs!$B$259</f>
        <v>0</v>
      </c>
    </row>
    <row r="262" spans="1:39" x14ac:dyDescent="0.2">
      <c r="A262" s="3" t="s">
        <v>150</v>
      </c>
      <c r="C262" s="7">
        <f ca="1">C259+SUM($C261:C261)</f>
        <v>12809.375000000015</v>
      </c>
      <c r="D262" s="7">
        <f ca="1">D259+SUM($C261:D261)</f>
        <v>24162.215625000026</v>
      </c>
      <c r="E262" s="7">
        <f ca="1">E259+SUM($C261:E261)</f>
        <v>58836.638502582922</v>
      </c>
      <c r="F262" s="7">
        <f ca="1">F259+SUM($C261:F261)</f>
        <v>86558.722373523749</v>
      </c>
      <c r="G262" s="7">
        <f ca="1">G259+SUM($C261:G261)</f>
        <v>105186.23146773443</v>
      </c>
      <c r="H262" s="7">
        <f ca="1">H259+SUM($C261:H261)</f>
        <v>45871.068761315822</v>
      </c>
      <c r="I262" s="7">
        <f ca="1">I259+SUM($C261:I261)</f>
        <v>102650.13853854903</v>
      </c>
      <c r="J262" s="7">
        <f ca="1">J259+SUM($C261:J261)</f>
        <v>67603.976876148823</v>
      </c>
      <c r="K262" s="7">
        <f ca="1">K259+SUM($C261:K261)</f>
        <v>13425.846909304215</v>
      </c>
      <c r="L262" s="7">
        <f ca="1">L259+SUM($C261:L261)</f>
        <v>177601.38607478226</v>
      </c>
      <c r="M262" s="7">
        <f ca="1">M259+SUM($C261:M261)</f>
        <v>106967.75167125103</v>
      </c>
      <c r="N262" s="7">
        <f ca="1">N259+SUM($C261:N261)</f>
        <v>83948.421986536487</v>
      </c>
      <c r="O262" s="7">
        <f ca="1">O259+SUM($C261:O261)</f>
        <v>59908.582949317963</v>
      </c>
      <c r="P262" s="7">
        <f ca="1">P259+SUM($C261:P261)</f>
        <v>34710.371299332386</v>
      </c>
      <c r="Q262" s="7">
        <f ca="1">Q259+SUM($C261:Q261)</f>
        <v>205039.88093280265</v>
      </c>
      <c r="R262" s="7">
        <f ca="1">R259+SUM($C261:R261)</f>
        <v>171926.73459181545</v>
      </c>
      <c r="S262" s="7">
        <f ca="1">S259+SUM($C261:S261)</f>
        <v>137342.12907091394</v>
      </c>
      <c r="T262" s="7">
        <f ca="1">T259+SUM($C261:T261)</f>
        <v>119388.17075681413</v>
      </c>
      <c r="U262" s="7">
        <f ca="1">U259+SUM($C261:U261)</f>
        <v>108467.39994305027</v>
      </c>
      <c r="V262" s="7">
        <f ca="1">V259+SUM($C261:V261)</f>
        <v>96965.031583223346</v>
      </c>
      <c r="W262" s="7">
        <f ca="1">W259+SUM($C261:W261)</f>
        <v>84874.434958945174</v>
      </c>
      <c r="X262" s="7">
        <f ca="1">X259+SUM($C261:X261)</f>
        <v>72189.050860476244</v>
      </c>
      <c r="Y262" s="7">
        <f ca="1">Y259+SUM($C261:Y261)</f>
        <v>37727.072302504312</v>
      </c>
      <c r="Z262" s="7">
        <f ca="1">Z259+SUM($C261:Z261)</f>
        <v>57661.904315089443</v>
      </c>
      <c r="AA262" s="7">
        <f ca="1">AA259+SUM($C261:AA261)</f>
        <v>409366.08753280132</v>
      </c>
      <c r="AB262" s="7">
        <f ca="1">AB259+SUM($C261:AB261)</f>
        <v>369415.51303522848</v>
      </c>
      <c r="AC262" s="7">
        <f ca="1">AC259+SUM($C261:AC261)</f>
        <v>327134.50377971405</v>
      </c>
      <c r="AD262" s="7">
        <f ca="1">AD259+SUM($C261:AD261)</f>
        <v>282380.86560913397</v>
      </c>
      <c r="AE262" s="7">
        <f ca="1">AE259+SUM($C261:AE261)</f>
        <v>245330.83126990055</v>
      </c>
      <c r="AF262" s="7">
        <f ca="1">AF259+SUM($C261:AF261)</f>
        <v>206200.70760711445</v>
      </c>
      <c r="AG262" s="7">
        <f ca="1">AG259+SUM($C261:AG261)</f>
        <v>164944.86998608289</v>
      </c>
      <c r="AH262" s="7">
        <f ca="1">AH259+SUM($C261:AH261)</f>
        <v>121516.74448419805</v>
      </c>
      <c r="AI262" s="7">
        <f ca="1">AI259+SUM($C261:AI261)</f>
        <v>75868.789898576681</v>
      </c>
      <c r="AJ262" s="7">
        <f ca="1">AJ259+SUM($C261:AJ261)</f>
        <v>27952.479476088316</v>
      </c>
      <c r="AK262" s="7">
        <f ca="1">AK259+SUM($C261:AK261)</f>
        <v>-21597.162376067099</v>
      </c>
      <c r="AL262" s="7">
        <f ca="1">AL259+SUM($C261:AL261)</f>
        <v>-72248.95000975093</v>
      </c>
      <c r="AM262" s="7">
        <f ca="1">AM259+SUM($C261:AM261)</f>
        <v>-124026.33921155831</v>
      </c>
    </row>
    <row r="263" spans="1:39" x14ac:dyDescent="0.2">
      <c r="A263" s="3" t="s">
        <v>20</v>
      </c>
      <c r="C263" s="7">
        <f ca="1">IF(C262&lt;0,-C262,0)</f>
        <v>0</v>
      </c>
      <c r="D263" s="7">
        <f ca="1">IF(D262+SUM($C263:C263)&lt;0,-(D262+SUM($C263:C263)),0)</f>
        <v>0</v>
      </c>
      <c r="E263" s="7">
        <f ca="1">IF(E262+SUM($C263:D263)&lt;0,-(E262+SUM($C263:D263)),0)</f>
        <v>0</v>
      </c>
      <c r="F263" s="7">
        <f ca="1">IF(F262+SUM($C263:E263)&lt;0,-(F262+SUM($C263:E263)),0)</f>
        <v>0</v>
      </c>
      <c r="G263" s="7">
        <f ca="1">IF(G262+SUM($C263:F263)&lt;0,-(G262+SUM($C263:F263)),0)</f>
        <v>0</v>
      </c>
      <c r="H263" s="7">
        <f ca="1">IF(H262+SUM($C263:G263)&lt;0,-(H262+SUM($C263:G263)),0)</f>
        <v>0</v>
      </c>
      <c r="I263" s="7">
        <f ca="1">IF(I262+SUM($C263:H263)&lt;0,-(I262+SUM($C263:H263)),0)</f>
        <v>0</v>
      </c>
      <c r="J263" s="7">
        <f ca="1">IF(J262+SUM($C263:I263)&lt;0,-(J262+SUM($C263:I263)),0)</f>
        <v>0</v>
      </c>
      <c r="K263" s="7">
        <f ca="1">IF(K262+SUM($C263:J263)&lt;0,-(K262+SUM($C263:J263)),0)</f>
        <v>0</v>
      </c>
      <c r="L263" s="7">
        <f ca="1">IF(L262+SUM($C263:K263)&lt;0,-(L262+SUM($C263:K263)),0)</f>
        <v>0</v>
      </c>
      <c r="M263" s="7">
        <f ca="1">IF(M262+SUM($C263:L263)&lt;0,-(M262+SUM($C263:L263)),0)</f>
        <v>0</v>
      </c>
      <c r="N263" s="7">
        <f ca="1">IF(N262+SUM($C263:M263)&lt;0,-(N262+SUM($C263:M263)),0)</f>
        <v>0</v>
      </c>
      <c r="O263" s="7">
        <f ca="1">IF(O262+SUM($C263:N263)&lt;0,-(O262+SUM($C263:N263)),0)</f>
        <v>0</v>
      </c>
      <c r="P263" s="7">
        <f ca="1">IF(P262+SUM($C263:O263)&lt;0,-(P262+SUM($C263:O263)),0)</f>
        <v>0</v>
      </c>
      <c r="Q263" s="7">
        <f ca="1">IF(Q262+SUM($C263:P263)&lt;0,-(Q262+SUM($C263:P263)),0)</f>
        <v>0</v>
      </c>
      <c r="R263" s="7">
        <f ca="1">IF(R262+SUM($C263:Q263)&lt;0,-(R262+SUM($C263:Q263)),0)</f>
        <v>0</v>
      </c>
      <c r="S263" s="7">
        <f ca="1">IF(S262+SUM($C263:R263)&lt;0,-(S262+SUM($C263:R263)),0)</f>
        <v>0</v>
      </c>
      <c r="T263" s="7">
        <f ca="1">IF(T262+SUM($C263:S263)&lt;0,-(T262+SUM($C263:S263)),0)</f>
        <v>0</v>
      </c>
      <c r="U263" s="7">
        <f ca="1">IF(U262+SUM($C263:T263)&lt;0,-(U262+SUM($C263:T263)),0)</f>
        <v>0</v>
      </c>
      <c r="V263" s="7">
        <f ca="1">IF(V262+SUM($C263:U263)&lt;0,-(V262+SUM($C263:U263)),0)</f>
        <v>0</v>
      </c>
      <c r="W263" s="7">
        <f ca="1">IF(W262+SUM($C263:V263)&lt;0,-(W262+SUM($C263:V263)),0)</f>
        <v>0</v>
      </c>
      <c r="X263" s="7">
        <f ca="1">IF(X262+SUM($C263:W263)&lt;0,-(X262+SUM($C263:W263)),0)</f>
        <v>0</v>
      </c>
      <c r="Y263" s="7">
        <f ca="1">IF(Y262+SUM($C263:X263)&lt;0,-(Y262+SUM($C263:X263)),0)</f>
        <v>0</v>
      </c>
      <c r="Z263" s="7">
        <f ca="1">IF(Z262+SUM($C263:Y263)&lt;0,-(Z262+SUM($C263:Y263)),0)</f>
        <v>0</v>
      </c>
      <c r="AA263" s="7">
        <f ca="1">IF(AA262+SUM($C263:Z263)&lt;0,-(AA262+SUM($C263:Z263)),0)</f>
        <v>0</v>
      </c>
      <c r="AB263" s="7">
        <f ca="1">IF(AB262+SUM($C263:AA263)&lt;0,-(AB262+SUM($C263:AA263)),0)</f>
        <v>0</v>
      </c>
      <c r="AC263" s="7">
        <f ca="1">IF(AC262+SUM($C263:AB263)&lt;0,-(AC262+SUM($C263:AB263)),0)</f>
        <v>0</v>
      </c>
      <c r="AD263" s="7">
        <f ca="1">IF(AD262+SUM($C263:AC263)&lt;0,-(AD262+SUM($C263:AC263)),0)</f>
        <v>0</v>
      </c>
      <c r="AE263" s="7">
        <f ca="1">IF(AE262+SUM($C263:AD263)&lt;0,-(AE262+SUM($C263:AD263)),0)</f>
        <v>0</v>
      </c>
      <c r="AF263" s="7">
        <f ca="1">IF(AF262+SUM($C263:AE263)&lt;0,-(AF262+SUM($C263:AE263)),0)</f>
        <v>0</v>
      </c>
      <c r="AG263" s="7">
        <f ca="1">IF(AG262+SUM($C263:AF263)&lt;0,-(AG262+SUM($C263:AF263)),0)</f>
        <v>0</v>
      </c>
      <c r="AH263" s="7">
        <f ca="1">IF(AH262+SUM($C263:AG263)&lt;0,-(AH262+SUM($C263:AG263)),0)</f>
        <v>0</v>
      </c>
      <c r="AI263" s="7">
        <f ca="1">IF(AI262+SUM($C263:AH263)&lt;0,-(AI262+SUM($C263:AH263)),0)</f>
        <v>0</v>
      </c>
      <c r="AJ263" s="7">
        <f ca="1">IF(AJ262+SUM($C263:AI263)&lt;0,-(AJ262+SUM($C263:AI263)),0)</f>
        <v>0</v>
      </c>
      <c r="AK263" s="7">
        <f ca="1">IF(AK262+SUM($C263:AJ263)&lt;0,-(AK262+SUM($C263:AJ263)),0)</f>
        <v>21597.162376067099</v>
      </c>
      <c r="AL263" s="7">
        <f ca="1">IF(AL262+SUM($C263:AK263)&lt;0,-(AL262+SUM($C263:AK263)),0)</f>
        <v>50651.787633683831</v>
      </c>
      <c r="AM263" s="7">
        <f ca="1">IF(AM262+SUM($C263:AL263)&lt;0,-(AM262+SUM($C263:AL263)),0)</f>
        <v>51777.389201807382</v>
      </c>
    </row>
    <row r="264" spans="1:39" x14ac:dyDescent="0.2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x14ac:dyDescent="0.2">
      <c r="A265" s="24" t="str">
        <f>IF(Inputs!$B$279=6,IFERROR(_xlfn.XLOOKUP($B265,Inputs!$B$280:$B$289,Inputs!$A$280:$A$289,,0,1),""),IFERROR(_xlfn.XLOOKUP($B265,Inputs!$C$280:$C$289,Inputs!$A$280:$A$289,,0,1),""))</f>
        <v>Sliema</v>
      </c>
      <c r="B265" s="26">
        <v>10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">
      <c r="A266" s="3" t="s">
        <v>22</v>
      </c>
      <c r="C266" s="7">
        <f ca="1">IFERROR(VLOOKUP($A265,$A$65:$H$94,C$1+2,FALSE),0)</f>
        <v>307481.46526147495</v>
      </c>
      <c r="D266" s="7">
        <f ca="1">C269</f>
        <v>307481.46526147495</v>
      </c>
      <c r="E266" s="7">
        <f t="shared" ref="E266:AM266" ca="1" si="155">D269</f>
        <v>316705.90921931918</v>
      </c>
      <c r="F266" s="7">
        <f t="shared" ca="1" si="155"/>
        <v>326207.08649589872</v>
      </c>
      <c r="G266" s="7">
        <f t="shared" ca="1" si="155"/>
        <v>335993.29909077566</v>
      </c>
      <c r="H266" s="7">
        <f t="shared" ca="1" si="155"/>
        <v>346073.09806349891</v>
      </c>
      <c r="I266" s="7">
        <f t="shared" ca="1" si="155"/>
        <v>356455.29100540385</v>
      </c>
      <c r="J266" s="7">
        <f t="shared" ca="1" si="155"/>
        <v>367148.94973556598</v>
      </c>
      <c r="K266" s="7">
        <f t="shared" ca="1" si="155"/>
        <v>378163.41822763294</v>
      </c>
      <c r="L266" s="7">
        <f t="shared" ca="1" si="155"/>
        <v>389508.3207744619</v>
      </c>
      <c r="M266" s="7">
        <f t="shared" ca="1" si="155"/>
        <v>401193.57039769576</v>
      </c>
      <c r="N266" s="7">
        <f t="shared" ca="1" si="155"/>
        <v>413229.37750962662</v>
      </c>
      <c r="O266" s="7">
        <f t="shared" ca="1" si="155"/>
        <v>425626.25883491541</v>
      </c>
      <c r="P266" s="7">
        <f t="shared" ca="1" si="155"/>
        <v>438395.04659996287</v>
      </c>
      <c r="Q266" s="7">
        <f t="shared" ca="1" si="155"/>
        <v>451546.89799796173</v>
      </c>
      <c r="R266" s="7">
        <f t="shared" ca="1" si="155"/>
        <v>465093.30493790057</v>
      </c>
      <c r="S266" s="7">
        <f t="shared" ca="1" si="155"/>
        <v>479046.10408603761</v>
      </c>
      <c r="T266" s="7">
        <f t="shared" ca="1" si="155"/>
        <v>493417.48720861872</v>
      </c>
      <c r="U266" s="7">
        <f t="shared" ca="1" si="155"/>
        <v>508220.01182487729</v>
      </c>
      <c r="V266" s="7">
        <f t="shared" ca="1" si="155"/>
        <v>523466.61217962363</v>
      </c>
      <c r="W266" s="7">
        <f t="shared" ca="1" si="155"/>
        <v>539170.61054501229</v>
      </c>
      <c r="X266" s="7">
        <f t="shared" ca="1" si="155"/>
        <v>555345.72886136267</v>
      </c>
      <c r="Y266" s="7">
        <f t="shared" ca="1" si="155"/>
        <v>572006.10072720353</v>
      </c>
      <c r="Z266" s="7">
        <f t="shared" ca="1" si="155"/>
        <v>589166.28374901961</v>
      </c>
      <c r="AA266" s="7">
        <f t="shared" ca="1" si="155"/>
        <v>606841.27226149023</v>
      </c>
      <c r="AB266" s="7">
        <f t="shared" ca="1" si="155"/>
        <v>625046.51042933494</v>
      </c>
      <c r="AC266" s="7">
        <f t="shared" ca="1" si="155"/>
        <v>643797.90574221499</v>
      </c>
      <c r="AD266" s="7">
        <f t="shared" ca="1" si="155"/>
        <v>663111.84291448141</v>
      </c>
      <c r="AE266" s="7">
        <f t="shared" ca="1" si="155"/>
        <v>683005.19820191583</v>
      </c>
      <c r="AF266" s="7">
        <f t="shared" ca="1" si="155"/>
        <v>703495.35414797335</v>
      </c>
      <c r="AG266" s="7">
        <f t="shared" ca="1" si="155"/>
        <v>724600.21477241255</v>
      </c>
      <c r="AH266" s="7">
        <f t="shared" ca="1" si="155"/>
        <v>746338.2212155849</v>
      </c>
      <c r="AI266" s="7">
        <f t="shared" ca="1" si="155"/>
        <v>768728.36785205244</v>
      </c>
      <c r="AJ266" s="7">
        <f t="shared" ca="1" si="155"/>
        <v>791790.21888761397</v>
      </c>
      <c r="AK266" s="7">
        <f t="shared" ca="1" si="155"/>
        <v>0</v>
      </c>
      <c r="AL266" s="7">
        <f t="shared" ca="1" si="155"/>
        <v>0</v>
      </c>
      <c r="AM266" s="7">
        <f t="shared" ca="1" si="155"/>
        <v>0</v>
      </c>
    </row>
    <row r="267" spans="1:39" x14ac:dyDescent="0.2">
      <c r="A267" s="3" t="s">
        <v>23</v>
      </c>
      <c r="C267" s="7">
        <f ca="1">-IF(D263&gt;0,C266,0)</f>
        <v>0</v>
      </c>
      <c r="D267" s="7">
        <f ca="1">-IF(E263&gt;0,D266,0)</f>
        <v>0</v>
      </c>
      <c r="E267" s="7">
        <f ca="1">-IF(F263&gt;0,E266,0)</f>
        <v>0</v>
      </c>
      <c r="F267" s="7">
        <f ca="1">-IF(G263&gt;0,F266,0)</f>
        <v>0</v>
      </c>
      <c r="G267" s="7">
        <f t="shared" ref="G267:AM267" ca="1" si="156">-IF(H263&gt;0,G266,0)</f>
        <v>0</v>
      </c>
      <c r="H267" s="7">
        <f t="shared" ca="1" si="156"/>
        <v>0</v>
      </c>
      <c r="I267" s="7">
        <f t="shared" ca="1" si="156"/>
        <v>0</v>
      </c>
      <c r="J267" s="7">
        <f t="shared" ca="1" si="156"/>
        <v>0</v>
      </c>
      <c r="K267" s="7">
        <f t="shared" ca="1" si="156"/>
        <v>0</v>
      </c>
      <c r="L267" s="7">
        <f t="shared" ca="1" si="156"/>
        <v>0</v>
      </c>
      <c r="M267" s="7">
        <f t="shared" ca="1" si="156"/>
        <v>0</v>
      </c>
      <c r="N267" s="7">
        <f t="shared" ca="1" si="156"/>
        <v>0</v>
      </c>
      <c r="O267" s="7">
        <f t="shared" ca="1" si="156"/>
        <v>0</v>
      </c>
      <c r="P267" s="7">
        <f t="shared" ca="1" si="156"/>
        <v>0</v>
      </c>
      <c r="Q267" s="7">
        <f t="shared" ca="1" si="156"/>
        <v>0</v>
      </c>
      <c r="R267" s="7">
        <f t="shared" ca="1" si="156"/>
        <v>0</v>
      </c>
      <c r="S267" s="7">
        <f t="shared" ca="1" si="156"/>
        <v>0</v>
      </c>
      <c r="T267" s="7">
        <f t="shared" ca="1" si="156"/>
        <v>0</v>
      </c>
      <c r="U267" s="7">
        <f t="shared" ca="1" si="156"/>
        <v>0</v>
      </c>
      <c r="V267" s="7">
        <f t="shared" ca="1" si="156"/>
        <v>0</v>
      </c>
      <c r="W267" s="7">
        <f t="shared" ca="1" si="156"/>
        <v>0</v>
      </c>
      <c r="X267" s="7">
        <f t="shared" ca="1" si="156"/>
        <v>0</v>
      </c>
      <c r="Y267" s="7">
        <f t="shared" ca="1" si="156"/>
        <v>0</v>
      </c>
      <c r="Z267" s="7">
        <f t="shared" ca="1" si="156"/>
        <v>0</v>
      </c>
      <c r="AA267" s="7">
        <f t="shared" ca="1" si="156"/>
        <v>0</v>
      </c>
      <c r="AB267" s="7">
        <f t="shared" ca="1" si="156"/>
        <v>0</v>
      </c>
      <c r="AC267" s="7">
        <f t="shared" ca="1" si="156"/>
        <v>0</v>
      </c>
      <c r="AD267" s="7">
        <f t="shared" ca="1" si="156"/>
        <v>0</v>
      </c>
      <c r="AE267" s="7">
        <f t="shared" ca="1" si="156"/>
        <v>0</v>
      </c>
      <c r="AF267" s="7">
        <f t="shared" ca="1" si="156"/>
        <v>0</v>
      </c>
      <c r="AG267" s="7">
        <f t="shared" ca="1" si="156"/>
        <v>0</v>
      </c>
      <c r="AH267" s="7">
        <f t="shared" ca="1" si="156"/>
        <v>0</v>
      </c>
      <c r="AI267" s="7">
        <f t="shared" ca="1" si="156"/>
        <v>0</v>
      </c>
      <c r="AJ267" s="7">
        <f t="shared" ca="1" si="156"/>
        <v>-791790.21888761397</v>
      </c>
      <c r="AK267" s="7">
        <f t="shared" ca="1" si="156"/>
        <v>0</v>
      </c>
      <c r="AL267" s="7">
        <f t="shared" ca="1" si="156"/>
        <v>0</v>
      </c>
      <c r="AM267" s="7">
        <f t="shared" si="156"/>
        <v>0</v>
      </c>
    </row>
    <row r="268" spans="1:39" x14ac:dyDescent="0.2">
      <c r="A268" s="3" t="s">
        <v>24</v>
      </c>
      <c r="C268" s="7">
        <v>0</v>
      </c>
      <c r="D268" s="7">
        <f t="shared" ref="D268:AM268" ca="1" si="157">SUM(D266:D267)*VLOOKUP($A265,AssVar,2,FALSE)</f>
        <v>9224.4439578442489</v>
      </c>
      <c r="E268" s="7">
        <f t="shared" ca="1" si="157"/>
        <v>9501.177276579574</v>
      </c>
      <c r="F268" s="7">
        <f t="shared" ca="1" si="157"/>
        <v>9786.2125948769608</v>
      </c>
      <c r="G268" s="7">
        <f t="shared" ca="1" si="157"/>
        <v>10079.798972723269</v>
      </c>
      <c r="H268" s="7">
        <f t="shared" ca="1" si="157"/>
        <v>10382.192941904967</v>
      </c>
      <c r="I268" s="7">
        <f t="shared" ca="1" si="157"/>
        <v>10693.658730162115</v>
      </c>
      <c r="J268" s="7">
        <f t="shared" ca="1" si="157"/>
        <v>11014.468492066979</v>
      </c>
      <c r="K268" s="7">
        <f t="shared" ca="1" si="157"/>
        <v>11344.902546828987</v>
      </c>
      <c r="L268" s="7">
        <f t="shared" ca="1" si="157"/>
        <v>11685.249623233856</v>
      </c>
      <c r="M268" s="7">
        <f t="shared" ca="1" si="157"/>
        <v>12035.807111930872</v>
      </c>
      <c r="N268" s="7">
        <f t="shared" ca="1" si="157"/>
        <v>12396.881325288798</v>
      </c>
      <c r="O268" s="7">
        <f t="shared" ca="1" si="157"/>
        <v>12768.787765047462</v>
      </c>
      <c r="P268" s="7">
        <f t="shared" ca="1" si="157"/>
        <v>13151.851397998886</v>
      </c>
      <c r="Q268" s="7">
        <f t="shared" ca="1" si="157"/>
        <v>13546.406939938852</v>
      </c>
      <c r="R268" s="7">
        <f t="shared" ca="1" si="157"/>
        <v>13952.799148137017</v>
      </c>
      <c r="S268" s="7">
        <f t="shared" ca="1" si="157"/>
        <v>14371.383122581128</v>
      </c>
      <c r="T268" s="7">
        <f t="shared" ca="1" si="157"/>
        <v>14802.524616258561</v>
      </c>
      <c r="U268" s="7">
        <f t="shared" ca="1" si="157"/>
        <v>15246.600354746319</v>
      </c>
      <c r="V268" s="7">
        <f t="shared" ca="1" si="157"/>
        <v>15703.998365388708</v>
      </c>
      <c r="W268" s="7">
        <f t="shared" ca="1" si="157"/>
        <v>16175.118316350368</v>
      </c>
      <c r="X268" s="7">
        <f t="shared" ca="1" si="157"/>
        <v>16660.37186584088</v>
      </c>
      <c r="Y268" s="7">
        <f t="shared" ca="1" si="157"/>
        <v>17160.183021816105</v>
      </c>
      <c r="Z268" s="7">
        <f t="shared" ca="1" si="157"/>
        <v>17674.988512470587</v>
      </c>
      <c r="AA268" s="7">
        <f t="shared" ca="1" si="157"/>
        <v>18205.238167844705</v>
      </c>
      <c r="AB268" s="7">
        <f t="shared" ca="1" si="157"/>
        <v>18751.395312880046</v>
      </c>
      <c r="AC268" s="7">
        <f t="shared" ca="1" si="157"/>
        <v>19313.937172266447</v>
      </c>
      <c r="AD268" s="7">
        <f t="shared" ca="1" si="157"/>
        <v>19893.355287434442</v>
      </c>
      <c r="AE268" s="7">
        <f t="shared" ca="1" si="157"/>
        <v>20490.155946057475</v>
      </c>
      <c r="AF268" s="7">
        <f t="shared" ca="1" si="157"/>
        <v>21104.860624439199</v>
      </c>
      <c r="AG268" s="7">
        <f t="shared" ca="1" si="157"/>
        <v>21738.006443172377</v>
      </c>
      <c r="AH268" s="7">
        <f t="shared" ca="1" si="157"/>
        <v>22390.146636467547</v>
      </c>
      <c r="AI268" s="7">
        <f t="shared" ca="1" si="157"/>
        <v>23061.851035561573</v>
      </c>
      <c r="AJ268" s="7">
        <f t="shared" ca="1" si="157"/>
        <v>0</v>
      </c>
      <c r="AK268" s="7">
        <f t="shared" ca="1" si="157"/>
        <v>0</v>
      </c>
      <c r="AL268" s="7">
        <f t="shared" ca="1" si="157"/>
        <v>0</v>
      </c>
      <c r="AM268" s="7">
        <f t="shared" ca="1" si="157"/>
        <v>0</v>
      </c>
    </row>
    <row r="269" spans="1:39" x14ac:dyDescent="0.2">
      <c r="A269" s="3" t="s">
        <v>25</v>
      </c>
      <c r="C269" s="7">
        <f ca="1">SUM(C266:C268)</f>
        <v>307481.46526147495</v>
      </c>
      <c r="D269" s="7">
        <f t="shared" ref="D269:AM269" ca="1" si="158">SUM(D266:D268)</f>
        <v>316705.90921931918</v>
      </c>
      <c r="E269" s="7">
        <f t="shared" ca="1" si="158"/>
        <v>326207.08649589872</v>
      </c>
      <c r="F269" s="7">
        <f t="shared" ca="1" si="158"/>
        <v>335993.29909077566</v>
      </c>
      <c r="G269" s="7">
        <f t="shared" ca="1" si="158"/>
        <v>346073.09806349891</v>
      </c>
      <c r="H269" s="7">
        <f t="shared" ca="1" si="158"/>
        <v>356455.29100540385</v>
      </c>
      <c r="I269" s="7">
        <f t="shared" ca="1" si="158"/>
        <v>367148.94973556598</v>
      </c>
      <c r="J269" s="7">
        <f t="shared" ca="1" si="158"/>
        <v>378163.41822763294</v>
      </c>
      <c r="K269" s="7">
        <f t="shared" ca="1" si="158"/>
        <v>389508.3207744619</v>
      </c>
      <c r="L269" s="7">
        <f t="shared" ca="1" si="158"/>
        <v>401193.57039769576</v>
      </c>
      <c r="M269" s="7">
        <f t="shared" ca="1" si="158"/>
        <v>413229.37750962662</v>
      </c>
      <c r="N269" s="7">
        <f t="shared" ca="1" si="158"/>
        <v>425626.25883491541</v>
      </c>
      <c r="O269" s="7">
        <f t="shared" ca="1" si="158"/>
        <v>438395.04659996287</v>
      </c>
      <c r="P269" s="7">
        <f t="shared" ca="1" si="158"/>
        <v>451546.89799796173</v>
      </c>
      <c r="Q269" s="7">
        <f t="shared" ca="1" si="158"/>
        <v>465093.30493790057</v>
      </c>
      <c r="R269" s="7">
        <f t="shared" ca="1" si="158"/>
        <v>479046.10408603761</v>
      </c>
      <c r="S269" s="7">
        <f t="shared" ca="1" si="158"/>
        <v>493417.48720861872</v>
      </c>
      <c r="T269" s="7">
        <f t="shared" ca="1" si="158"/>
        <v>508220.01182487729</v>
      </c>
      <c r="U269" s="7">
        <f t="shared" ca="1" si="158"/>
        <v>523466.61217962363</v>
      </c>
      <c r="V269" s="7">
        <f t="shared" ca="1" si="158"/>
        <v>539170.61054501229</v>
      </c>
      <c r="W269" s="7">
        <f t="shared" ca="1" si="158"/>
        <v>555345.72886136267</v>
      </c>
      <c r="X269" s="7">
        <f t="shared" ca="1" si="158"/>
        <v>572006.10072720353</v>
      </c>
      <c r="Y269" s="7">
        <f t="shared" ca="1" si="158"/>
        <v>589166.28374901961</v>
      </c>
      <c r="Z269" s="7">
        <f t="shared" ca="1" si="158"/>
        <v>606841.27226149023</v>
      </c>
      <c r="AA269" s="7">
        <f t="shared" ca="1" si="158"/>
        <v>625046.51042933494</v>
      </c>
      <c r="AB269" s="7">
        <f t="shared" ca="1" si="158"/>
        <v>643797.90574221499</v>
      </c>
      <c r="AC269" s="7">
        <f t="shared" ca="1" si="158"/>
        <v>663111.84291448141</v>
      </c>
      <c r="AD269" s="7">
        <f t="shared" ca="1" si="158"/>
        <v>683005.19820191583</v>
      </c>
      <c r="AE269" s="7">
        <f t="shared" ca="1" si="158"/>
        <v>703495.35414797335</v>
      </c>
      <c r="AF269" s="7">
        <f t="shared" ca="1" si="158"/>
        <v>724600.21477241255</v>
      </c>
      <c r="AG269" s="7">
        <f t="shared" ca="1" si="158"/>
        <v>746338.2212155849</v>
      </c>
      <c r="AH269" s="7">
        <f t="shared" ca="1" si="158"/>
        <v>768728.36785205244</v>
      </c>
      <c r="AI269" s="7">
        <f t="shared" ca="1" si="158"/>
        <v>791790.21888761397</v>
      </c>
      <c r="AJ269" s="7">
        <f t="shared" ca="1" si="158"/>
        <v>0</v>
      </c>
      <c r="AK269" s="7">
        <f t="shared" ca="1" si="158"/>
        <v>0</v>
      </c>
      <c r="AL269" s="7">
        <f t="shared" ca="1" si="158"/>
        <v>0</v>
      </c>
      <c r="AM269" s="7">
        <f t="shared" ca="1" si="158"/>
        <v>0</v>
      </c>
    </row>
    <row r="270" spans="1:39" x14ac:dyDescent="0.2">
      <c r="A270" s="3" t="s">
        <v>26</v>
      </c>
      <c r="C270" s="7">
        <f t="shared" ref="C270:AM270" ca="1" si="159">C267*VLOOKUP($A265,AssVar,3,FALSE)</f>
        <v>0</v>
      </c>
      <c r="D270" s="7">
        <f t="shared" ca="1" si="159"/>
        <v>0</v>
      </c>
      <c r="E270" s="7">
        <f t="shared" ca="1" si="159"/>
        <v>0</v>
      </c>
      <c r="F270" s="7">
        <f t="shared" ca="1" si="159"/>
        <v>0</v>
      </c>
      <c r="G270" s="7">
        <f t="shared" ca="1" si="159"/>
        <v>0</v>
      </c>
      <c r="H270" s="7">
        <f t="shared" ca="1" si="159"/>
        <v>0</v>
      </c>
      <c r="I270" s="7">
        <f t="shared" ca="1" si="159"/>
        <v>0</v>
      </c>
      <c r="J270" s="7">
        <f t="shared" ca="1" si="159"/>
        <v>0</v>
      </c>
      <c r="K270" s="7">
        <f t="shared" ca="1" si="159"/>
        <v>0</v>
      </c>
      <c r="L270" s="7">
        <f t="shared" ca="1" si="159"/>
        <v>0</v>
      </c>
      <c r="M270" s="7">
        <f t="shared" ca="1" si="159"/>
        <v>0</v>
      </c>
      <c r="N270" s="7">
        <f t="shared" ca="1" si="159"/>
        <v>0</v>
      </c>
      <c r="O270" s="7">
        <f t="shared" ca="1" si="159"/>
        <v>0</v>
      </c>
      <c r="P270" s="7">
        <f t="shared" ca="1" si="159"/>
        <v>0</v>
      </c>
      <c r="Q270" s="7">
        <f t="shared" ca="1" si="159"/>
        <v>0</v>
      </c>
      <c r="R270" s="7">
        <f t="shared" ca="1" si="159"/>
        <v>0</v>
      </c>
      <c r="S270" s="7">
        <f t="shared" ca="1" si="159"/>
        <v>0</v>
      </c>
      <c r="T270" s="7">
        <f t="shared" ca="1" si="159"/>
        <v>0</v>
      </c>
      <c r="U270" s="7">
        <f t="shared" ca="1" si="159"/>
        <v>0</v>
      </c>
      <c r="V270" s="7">
        <f t="shared" ca="1" si="159"/>
        <v>0</v>
      </c>
      <c r="W270" s="7">
        <f t="shared" ca="1" si="159"/>
        <v>0</v>
      </c>
      <c r="X270" s="7">
        <f t="shared" ca="1" si="159"/>
        <v>0</v>
      </c>
      <c r="Y270" s="7">
        <f t="shared" ca="1" si="159"/>
        <v>0</v>
      </c>
      <c r="Z270" s="7">
        <f t="shared" ca="1" si="159"/>
        <v>0</v>
      </c>
      <c r="AA270" s="7">
        <f t="shared" ca="1" si="159"/>
        <v>0</v>
      </c>
      <c r="AB270" s="7">
        <f t="shared" ca="1" si="159"/>
        <v>0</v>
      </c>
      <c r="AC270" s="7">
        <f t="shared" ca="1" si="159"/>
        <v>0</v>
      </c>
      <c r="AD270" s="7">
        <f t="shared" ca="1" si="159"/>
        <v>0</v>
      </c>
      <c r="AE270" s="7">
        <f t="shared" ca="1" si="159"/>
        <v>0</v>
      </c>
      <c r="AF270" s="7">
        <f t="shared" ca="1" si="159"/>
        <v>0</v>
      </c>
      <c r="AG270" s="7">
        <f t="shared" ca="1" si="159"/>
        <v>0</v>
      </c>
      <c r="AH270" s="7">
        <f t="shared" ca="1" si="159"/>
        <v>0</v>
      </c>
      <c r="AI270" s="7">
        <f t="shared" ca="1" si="159"/>
        <v>0</v>
      </c>
      <c r="AJ270" s="7">
        <f t="shared" ca="1" si="159"/>
        <v>-118768.53283314209</v>
      </c>
      <c r="AK270" s="7">
        <f t="shared" ca="1" si="159"/>
        <v>0</v>
      </c>
      <c r="AL270" s="7">
        <f t="shared" ca="1" si="159"/>
        <v>0</v>
      </c>
      <c r="AM270" s="7">
        <f t="shared" si="159"/>
        <v>0</v>
      </c>
    </row>
    <row r="271" spans="1:39" x14ac:dyDescent="0.2">
      <c r="A271" s="3" t="s">
        <v>31</v>
      </c>
      <c r="C271" s="7">
        <f t="shared" ref="C271:AM271" ca="1" si="160">IFERROR(-IF(C266=0,VLOOKUP($A265,$8:$12,C$1+2,FALSE),0),0)</f>
        <v>0</v>
      </c>
      <c r="D271" s="7">
        <f t="shared" ca="1" si="160"/>
        <v>0</v>
      </c>
      <c r="E271" s="7">
        <f t="shared" ca="1" si="160"/>
        <v>0</v>
      </c>
      <c r="F271" s="7">
        <f t="shared" ca="1" si="160"/>
        <v>0</v>
      </c>
      <c r="G271" s="7">
        <f t="shared" ca="1" si="160"/>
        <v>0</v>
      </c>
      <c r="H271" s="7">
        <f t="shared" ca="1" si="160"/>
        <v>0</v>
      </c>
      <c r="I271" s="7">
        <f t="shared" ca="1" si="160"/>
        <v>0</v>
      </c>
      <c r="J271" s="7">
        <f t="shared" ca="1" si="160"/>
        <v>0</v>
      </c>
      <c r="K271" s="7">
        <f t="shared" ca="1" si="160"/>
        <v>0</v>
      </c>
      <c r="L271" s="7">
        <f t="shared" ca="1" si="160"/>
        <v>0</v>
      </c>
      <c r="M271" s="7">
        <f t="shared" ca="1" si="160"/>
        <v>0</v>
      </c>
      <c r="N271" s="7">
        <f t="shared" ca="1" si="160"/>
        <v>0</v>
      </c>
      <c r="O271" s="7">
        <f t="shared" ca="1" si="160"/>
        <v>0</v>
      </c>
      <c r="P271" s="7">
        <f t="shared" ca="1" si="160"/>
        <v>0</v>
      </c>
      <c r="Q271" s="7">
        <f t="shared" ca="1" si="160"/>
        <v>0</v>
      </c>
      <c r="R271" s="7">
        <f t="shared" ca="1" si="160"/>
        <v>0</v>
      </c>
      <c r="S271" s="7">
        <f t="shared" ca="1" si="160"/>
        <v>0</v>
      </c>
      <c r="T271" s="7">
        <f t="shared" ca="1" si="160"/>
        <v>0</v>
      </c>
      <c r="U271" s="7">
        <f t="shared" ca="1" si="160"/>
        <v>0</v>
      </c>
      <c r="V271" s="7">
        <f t="shared" ca="1" si="160"/>
        <v>0</v>
      </c>
      <c r="W271" s="7">
        <f t="shared" ca="1" si="160"/>
        <v>0</v>
      </c>
      <c r="X271" s="7">
        <f t="shared" ca="1" si="160"/>
        <v>0</v>
      </c>
      <c r="Y271" s="7">
        <f t="shared" ca="1" si="160"/>
        <v>0</v>
      </c>
      <c r="Z271" s="7">
        <f t="shared" ca="1" si="160"/>
        <v>0</v>
      </c>
      <c r="AA271" s="7">
        <f t="shared" ca="1" si="160"/>
        <v>0</v>
      </c>
      <c r="AB271" s="7">
        <f t="shared" ca="1" si="160"/>
        <v>0</v>
      </c>
      <c r="AC271" s="7">
        <f t="shared" ca="1" si="160"/>
        <v>0</v>
      </c>
      <c r="AD271" s="7">
        <f t="shared" ca="1" si="160"/>
        <v>0</v>
      </c>
      <c r="AE271" s="7">
        <f t="shared" ca="1" si="160"/>
        <v>0</v>
      </c>
      <c r="AF271" s="7">
        <f t="shared" ca="1" si="160"/>
        <v>0</v>
      </c>
      <c r="AG271" s="7">
        <f t="shared" ca="1" si="160"/>
        <v>0</v>
      </c>
      <c r="AH271" s="7">
        <f t="shared" ca="1" si="160"/>
        <v>0</v>
      </c>
      <c r="AI271" s="7">
        <f t="shared" ca="1" si="160"/>
        <v>0</v>
      </c>
      <c r="AJ271" s="7">
        <f t="shared" ca="1" si="160"/>
        <v>0</v>
      </c>
      <c r="AK271" s="7">
        <f t="shared" ca="1" si="160"/>
        <v>-27319.052955063373</v>
      </c>
      <c r="AL271" s="7">
        <f t="shared" ca="1" si="160"/>
        <v>-28138.624543715276</v>
      </c>
      <c r="AM271" s="7">
        <f t="shared" ca="1" si="160"/>
        <v>-28982.783280026735</v>
      </c>
    </row>
    <row r="272" spans="1:39" x14ac:dyDescent="0.2">
      <c r="A272" s="3" t="s">
        <v>50</v>
      </c>
      <c r="C272" s="7">
        <f t="shared" ref="C272:AM272" ca="1" si="161">IFERROR(IF(C266=0,VLOOKUP($A265,$45:$49,C$1+2,FALSE),0),0)</f>
        <v>0</v>
      </c>
      <c r="D272" s="7">
        <f t="shared" ca="1" si="161"/>
        <v>0</v>
      </c>
      <c r="E272" s="7">
        <f t="shared" ca="1" si="161"/>
        <v>0</v>
      </c>
      <c r="F272" s="7">
        <f t="shared" ca="1" si="161"/>
        <v>0</v>
      </c>
      <c r="G272" s="7">
        <f t="shared" ca="1" si="161"/>
        <v>0</v>
      </c>
      <c r="H272" s="7">
        <f t="shared" ca="1" si="161"/>
        <v>0</v>
      </c>
      <c r="I272" s="7">
        <f t="shared" ca="1" si="161"/>
        <v>0</v>
      </c>
      <c r="J272" s="7">
        <f t="shared" ca="1" si="161"/>
        <v>0</v>
      </c>
      <c r="K272" s="7">
        <f t="shared" ca="1" si="161"/>
        <v>0</v>
      </c>
      <c r="L272" s="7">
        <f t="shared" ca="1" si="161"/>
        <v>0</v>
      </c>
      <c r="M272" s="7">
        <f t="shared" ca="1" si="161"/>
        <v>0</v>
      </c>
      <c r="N272" s="7">
        <f t="shared" ca="1" si="161"/>
        <v>0</v>
      </c>
      <c r="O272" s="7">
        <f t="shared" ca="1" si="161"/>
        <v>0</v>
      </c>
      <c r="P272" s="7">
        <f t="shared" ca="1" si="161"/>
        <v>0</v>
      </c>
      <c r="Q272" s="7">
        <f t="shared" ca="1" si="161"/>
        <v>0</v>
      </c>
      <c r="R272" s="7">
        <f t="shared" ca="1" si="161"/>
        <v>0</v>
      </c>
      <c r="S272" s="7">
        <f t="shared" ca="1" si="161"/>
        <v>0</v>
      </c>
      <c r="T272" s="7">
        <f t="shared" ca="1" si="161"/>
        <v>0</v>
      </c>
      <c r="U272" s="7">
        <f t="shared" ca="1" si="161"/>
        <v>0</v>
      </c>
      <c r="V272" s="7">
        <f t="shared" ca="1" si="161"/>
        <v>0</v>
      </c>
      <c r="W272" s="7">
        <f t="shared" ca="1" si="161"/>
        <v>0</v>
      </c>
      <c r="X272" s="7">
        <f t="shared" ca="1" si="161"/>
        <v>0</v>
      </c>
      <c r="Y272" s="7">
        <f t="shared" ca="1" si="161"/>
        <v>0</v>
      </c>
      <c r="Z272" s="7">
        <f t="shared" ca="1" si="161"/>
        <v>0</v>
      </c>
      <c r="AA272" s="7">
        <f t="shared" ca="1" si="161"/>
        <v>0</v>
      </c>
      <c r="AB272" s="7">
        <f t="shared" ca="1" si="161"/>
        <v>0</v>
      </c>
      <c r="AC272" s="7">
        <f t="shared" ca="1" si="161"/>
        <v>0</v>
      </c>
      <c r="AD272" s="7">
        <f t="shared" ca="1" si="161"/>
        <v>0</v>
      </c>
      <c r="AE272" s="7">
        <f t="shared" ca="1" si="161"/>
        <v>0</v>
      </c>
      <c r="AF272" s="7">
        <f t="shared" ca="1" si="161"/>
        <v>0</v>
      </c>
      <c r="AG272" s="7">
        <f t="shared" ca="1" si="161"/>
        <v>0</v>
      </c>
      <c r="AH272" s="7">
        <f t="shared" ca="1" si="161"/>
        <v>0</v>
      </c>
      <c r="AI272" s="7">
        <f t="shared" ca="1" si="161"/>
        <v>0</v>
      </c>
      <c r="AJ272" s="7">
        <f t="shared" ca="1" si="161"/>
        <v>0</v>
      </c>
      <c r="AK272" s="7">
        <f t="shared" ca="1" si="161"/>
        <v>11576.610663737758</v>
      </c>
      <c r="AL272" s="7">
        <f t="shared" ca="1" si="161"/>
        <v>11866.025930331201</v>
      </c>
      <c r="AM272" s="7">
        <f t="shared" ca="1" si="161"/>
        <v>12162.676578589482</v>
      </c>
    </row>
    <row r="273" spans="1:39" x14ac:dyDescent="0.2">
      <c r="A273" s="3" t="s">
        <v>36</v>
      </c>
      <c r="B273" s="14" t="str">
        <f>A265</f>
        <v>Sliema</v>
      </c>
      <c r="C273" s="7">
        <f t="shared" ref="C273:AM273" ca="1" si="162">IF(AND(C266&gt;0,C269=0),VLOOKUP($A265,$83:$92,C$1+2,FALSE),0)</f>
        <v>0</v>
      </c>
      <c r="D273" s="7">
        <f t="shared" ca="1" si="162"/>
        <v>0</v>
      </c>
      <c r="E273" s="7">
        <f t="shared" ca="1" si="162"/>
        <v>0</v>
      </c>
      <c r="F273" s="7">
        <f t="shared" ca="1" si="162"/>
        <v>0</v>
      </c>
      <c r="G273" s="7">
        <f t="shared" ca="1" si="162"/>
        <v>0</v>
      </c>
      <c r="H273" s="7">
        <f t="shared" ca="1" si="162"/>
        <v>0</v>
      </c>
      <c r="I273" s="7">
        <f t="shared" ca="1" si="162"/>
        <v>0</v>
      </c>
      <c r="J273" s="7">
        <f t="shared" ca="1" si="162"/>
        <v>0</v>
      </c>
      <c r="K273" s="7">
        <f t="shared" ca="1" si="162"/>
        <v>0</v>
      </c>
      <c r="L273" s="7">
        <f t="shared" ca="1" si="162"/>
        <v>0</v>
      </c>
      <c r="M273" s="7">
        <f t="shared" ca="1" si="162"/>
        <v>0</v>
      </c>
      <c r="N273" s="7">
        <f t="shared" ca="1" si="162"/>
        <v>0</v>
      </c>
      <c r="O273" s="7">
        <f t="shared" ca="1" si="162"/>
        <v>0</v>
      </c>
      <c r="P273" s="7">
        <f t="shared" ca="1" si="162"/>
        <v>0</v>
      </c>
      <c r="Q273" s="7">
        <f t="shared" ca="1" si="162"/>
        <v>0</v>
      </c>
      <c r="R273" s="7">
        <f t="shared" ca="1" si="162"/>
        <v>0</v>
      </c>
      <c r="S273" s="7">
        <f t="shared" ca="1" si="162"/>
        <v>0</v>
      </c>
      <c r="T273" s="7">
        <f t="shared" ca="1" si="162"/>
        <v>0</v>
      </c>
      <c r="U273" s="7">
        <f t="shared" ca="1" si="162"/>
        <v>0</v>
      </c>
      <c r="V273" s="7">
        <f t="shared" ca="1" si="162"/>
        <v>0</v>
      </c>
      <c r="W273" s="7">
        <f t="shared" ca="1" si="162"/>
        <v>0</v>
      </c>
      <c r="X273" s="7">
        <f t="shared" ca="1" si="162"/>
        <v>0</v>
      </c>
      <c r="Y273" s="7">
        <f t="shared" ca="1" si="162"/>
        <v>0</v>
      </c>
      <c r="Z273" s="7">
        <f t="shared" ca="1" si="162"/>
        <v>0</v>
      </c>
      <c r="AA273" s="7">
        <f t="shared" ca="1" si="162"/>
        <v>0</v>
      </c>
      <c r="AB273" s="7">
        <f t="shared" ca="1" si="162"/>
        <v>0</v>
      </c>
      <c r="AC273" s="7">
        <f t="shared" ca="1" si="162"/>
        <v>0</v>
      </c>
      <c r="AD273" s="7">
        <f t="shared" ca="1" si="162"/>
        <v>0</v>
      </c>
      <c r="AE273" s="7">
        <f t="shared" ca="1" si="162"/>
        <v>0</v>
      </c>
      <c r="AF273" s="7">
        <f t="shared" ca="1" si="162"/>
        <v>0</v>
      </c>
      <c r="AG273" s="7">
        <f t="shared" ca="1" si="162"/>
        <v>0</v>
      </c>
      <c r="AH273" s="7">
        <f t="shared" ca="1" si="162"/>
        <v>0</v>
      </c>
      <c r="AI273" s="7">
        <f t="shared" ca="1" si="162"/>
        <v>0</v>
      </c>
      <c r="AJ273" s="7">
        <f t="shared" ca="1" si="162"/>
        <v>0</v>
      </c>
      <c r="AK273" s="7">
        <f t="shared" ca="1" si="162"/>
        <v>0</v>
      </c>
      <c r="AL273" s="7">
        <f t="shared" ca="1" si="162"/>
        <v>0</v>
      </c>
      <c r="AM273" s="7">
        <f t="shared" ca="1" si="162"/>
        <v>0</v>
      </c>
    </row>
    <row r="274" spans="1:39" x14ac:dyDescent="0.2">
      <c r="A274" s="3" t="s">
        <v>37</v>
      </c>
      <c r="C274" s="7">
        <f ca="1">-C267+SUM(C270:C273)</f>
        <v>0</v>
      </c>
      <c r="D274" s="7">
        <f t="shared" ref="D274" ca="1" si="163">-D267+SUM(D270:D273)</f>
        <v>0</v>
      </c>
      <c r="E274" s="7">
        <f t="shared" ref="E274:AM274" ca="1" si="164">-E267+SUM(E270:E273)</f>
        <v>0</v>
      </c>
      <c r="F274" s="7">
        <f t="shared" ca="1" si="164"/>
        <v>0</v>
      </c>
      <c r="G274" s="7">
        <f t="shared" ca="1" si="164"/>
        <v>0</v>
      </c>
      <c r="H274" s="7">
        <f t="shared" ca="1" si="164"/>
        <v>0</v>
      </c>
      <c r="I274" s="7">
        <f t="shared" ca="1" si="164"/>
        <v>0</v>
      </c>
      <c r="J274" s="7">
        <f t="shared" ca="1" si="164"/>
        <v>0</v>
      </c>
      <c r="K274" s="7">
        <f t="shared" ca="1" si="164"/>
        <v>0</v>
      </c>
      <c r="L274" s="7">
        <f t="shared" ca="1" si="164"/>
        <v>0</v>
      </c>
      <c r="M274" s="7">
        <f t="shared" ca="1" si="164"/>
        <v>0</v>
      </c>
      <c r="N274" s="7">
        <f t="shared" ca="1" si="164"/>
        <v>0</v>
      </c>
      <c r="O274" s="7">
        <f t="shared" ca="1" si="164"/>
        <v>0</v>
      </c>
      <c r="P274" s="7">
        <f t="shared" ca="1" si="164"/>
        <v>0</v>
      </c>
      <c r="Q274" s="7">
        <f t="shared" ca="1" si="164"/>
        <v>0</v>
      </c>
      <c r="R274" s="7">
        <f t="shared" ca="1" si="164"/>
        <v>0</v>
      </c>
      <c r="S274" s="7">
        <f t="shared" ca="1" si="164"/>
        <v>0</v>
      </c>
      <c r="T274" s="7">
        <f t="shared" ca="1" si="164"/>
        <v>0</v>
      </c>
      <c r="U274" s="7">
        <f t="shared" ca="1" si="164"/>
        <v>0</v>
      </c>
      <c r="V274" s="7">
        <f t="shared" ca="1" si="164"/>
        <v>0</v>
      </c>
      <c r="W274" s="7">
        <f t="shared" ca="1" si="164"/>
        <v>0</v>
      </c>
      <c r="X274" s="7">
        <f t="shared" ca="1" si="164"/>
        <v>0</v>
      </c>
      <c r="Y274" s="7">
        <f t="shared" ca="1" si="164"/>
        <v>0</v>
      </c>
      <c r="Z274" s="7">
        <f t="shared" ca="1" si="164"/>
        <v>0</v>
      </c>
      <c r="AA274" s="7">
        <f t="shared" ca="1" si="164"/>
        <v>0</v>
      </c>
      <c r="AB274" s="7">
        <f t="shared" ca="1" si="164"/>
        <v>0</v>
      </c>
      <c r="AC274" s="7">
        <f t="shared" ca="1" si="164"/>
        <v>0</v>
      </c>
      <c r="AD274" s="7">
        <f t="shared" ca="1" si="164"/>
        <v>0</v>
      </c>
      <c r="AE274" s="7">
        <f t="shared" ca="1" si="164"/>
        <v>0</v>
      </c>
      <c r="AF274" s="7">
        <f t="shared" ca="1" si="164"/>
        <v>0</v>
      </c>
      <c r="AG274" s="7">
        <f t="shared" ca="1" si="164"/>
        <v>0</v>
      </c>
      <c r="AH274" s="7">
        <f t="shared" ca="1" si="164"/>
        <v>0</v>
      </c>
      <c r="AI274" s="7">
        <f t="shared" ca="1" si="164"/>
        <v>0</v>
      </c>
      <c r="AJ274" s="7">
        <f t="shared" ca="1" si="164"/>
        <v>673021.68605447188</v>
      </c>
      <c r="AK274" s="7">
        <f t="shared" ca="1" si="164"/>
        <v>-15742.442291325615</v>
      </c>
      <c r="AL274" s="7">
        <f t="shared" ca="1" si="164"/>
        <v>-16272.598613384074</v>
      </c>
      <c r="AM274" s="7">
        <f t="shared" ca="1" si="164"/>
        <v>-16820.106701437253</v>
      </c>
    </row>
    <row r="275" spans="1:39" x14ac:dyDescent="0.2">
      <c r="A275" s="3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x14ac:dyDescent="0.2">
      <c r="A276" s="3" t="s">
        <v>71</v>
      </c>
      <c r="C276" s="7">
        <f ca="1">C262+SUM($C274:C274)</f>
        <v>12809.375000000015</v>
      </c>
      <c r="D276" s="7">
        <f ca="1">D262+SUM($C274:D274)</f>
        <v>24162.215625000026</v>
      </c>
      <c r="E276" s="7">
        <f ca="1">E262+SUM($C274:E274)</f>
        <v>58836.638502582922</v>
      </c>
      <c r="F276" s="7">
        <f ca="1">F262+SUM($C274:F274)</f>
        <v>86558.722373523749</v>
      </c>
      <c r="G276" s="7">
        <f ca="1">G262+SUM($C274:G274)</f>
        <v>105186.23146773443</v>
      </c>
      <c r="H276" s="7">
        <f ca="1">H262+SUM($C274:H274)</f>
        <v>45871.068761315822</v>
      </c>
      <c r="I276" s="7">
        <f ca="1">I262+SUM($C274:I274)</f>
        <v>102650.13853854903</v>
      </c>
      <c r="J276" s="7">
        <f ca="1">J262+SUM($C274:J274)</f>
        <v>67603.976876148823</v>
      </c>
      <c r="K276" s="7">
        <f ca="1">K262+SUM($C274:K274)</f>
        <v>13425.846909304215</v>
      </c>
      <c r="L276" s="7">
        <f ca="1">L262+SUM($C274:L274)</f>
        <v>177601.38607478226</v>
      </c>
      <c r="M276" s="7">
        <f ca="1">M262+SUM($C274:M274)</f>
        <v>106967.75167125103</v>
      </c>
      <c r="N276" s="7">
        <f ca="1">N262+SUM($C274:N274)</f>
        <v>83948.421986536487</v>
      </c>
      <c r="O276" s="7">
        <f ca="1">O262+SUM($C274:O274)</f>
        <v>59908.582949317963</v>
      </c>
      <c r="P276" s="7">
        <f ca="1">P262+SUM($C274:P274)</f>
        <v>34710.371299332386</v>
      </c>
      <c r="Q276" s="7">
        <f ca="1">Q262+SUM($C274:Q274)</f>
        <v>205039.88093280265</v>
      </c>
      <c r="R276" s="7">
        <f ca="1">R262+SUM($C274:R274)</f>
        <v>171926.73459181545</v>
      </c>
      <c r="S276" s="7">
        <f ca="1">S262+SUM($C274:S274)</f>
        <v>137342.12907091394</v>
      </c>
      <c r="T276" s="7">
        <f ca="1">T262+SUM($C274:T274)</f>
        <v>119388.17075681413</v>
      </c>
      <c r="U276" s="7">
        <f ca="1">U262+SUM($C274:U274)</f>
        <v>108467.39994305027</v>
      </c>
      <c r="V276" s="7">
        <f ca="1">V262+SUM($C274:V274)</f>
        <v>96965.031583223346</v>
      </c>
      <c r="W276" s="7">
        <f ca="1">W262+SUM($C274:W274)</f>
        <v>84874.434958945174</v>
      </c>
      <c r="X276" s="7">
        <f ca="1">X262+SUM($C274:X274)</f>
        <v>72189.050860476244</v>
      </c>
      <c r="Y276" s="7">
        <f ca="1">Y262+SUM($C274:Y274)</f>
        <v>37727.072302504312</v>
      </c>
      <c r="Z276" s="7">
        <f ca="1">Z262+SUM($C274:Z274)</f>
        <v>57661.904315089443</v>
      </c>
      <c r="AA276" s="7">
        <f ca="1">AA262+SUM($C274:AA274)</f>
        <v>409366.08753280132</v>
      </c>
      <c r="AB276" s="7">
        <f ca="1">AB262+SUM($C274:AB274)</f>
        <v>369415.51303522848</v>
      </c>
      <c r="AC276" s="7">
        <f ca="1">AC262+SUM($C274:AC274)</f>
        <v>327134.50377971405</v>
      </c>
      <c r="AD276" s="7">
        <f ca="1">AD262+SUM($C274:AD274)</f>
        <v>282380.86560913397</v>
      </c>
      <c r="AE276" s="7">
        <f ca="1">AE262+SUM($C274:AE274)</f>
        <v>245330.83126990055</v>
      </c>
      <c r="AF276" s="7">
        <f ca="1">AF262+SUM($C274:AF274)</f>
        <v>206200.70760711445</v>
      </c>
      <c r="AG276" s="7">
        <f ca="1">AG262+SUM($C274:AG274)</f>
        <v>164944.86998608289</v>
      </c>
      <c r="AH276" s="7">
        <f ca="1">AH262+SUM($C274:AH274)</f>
        <v>121516.74448419805</v>
      </c>
      <c r="AI276" s="7">
        <f ca="1">AI262+SUM($C274:AI274)</f>
        <v>75868.789898576681</v>
      </c>
      <c r="AJ276" s="7">
        <f ca="1">AJ262+SUM($C274:AJ274)</f>
        <v>700974.16553056019</v>
      </c>
      <c r="AK276" s="7">
        <f ca="1">AK262+SUM($C274:AK274)</f>
        <v>635682.08138707909</v>
      </c>
      <c r="AL276" s="7">
        <f ca="1">AL262+SUM($C274:AL274)</f>
        <v>568757.69514001126</v>
      </c>
      <c r="AM276" s="7">
        <f ca="1">AM262+SUM($C274:AM274)</f>
        <v>500160.19923676655</v>
      </c>
    </row>
    <row r="277" spans="1:39" x14ac:dyDescent="0.2">
      <c r="A277" s="3" t="s">
        <v>68</v>
      </c>
      <c r="C277" s="7">
        <f t="shared" ref="C277:AM277" ca="1" si="165">MAX(C276+buffer,0)-MAX(C262+buffer,0)</f>
        <v>0</v>
      </c>
      <c r="D277" s="7">
        <f t="shared" ca="1" si="165"/>
        <v>0</v>
      </c>
      <c r="E277" s="7">
        <f t="shared" ca="1" si="165"/>
        <v>0</v>
      </c>
      <c r="F277" s="7">
        <f t="shared" ca="1" si="165"/>
        <v>0</v>
      </c>
      <c r="G277" s="7">
        <f t="shared" ca="1" si="165"/>
        <v>0</v>
      </c>
      <c r="H277" s="7">
        <f t="shared" ca="1" si="165"/>
        <v>0</v>
      </c>
      <c r="I277" s="7">
        <f t="shared" ca="1" si="165"/>
        <v>0</v>
      </c>
      <c r="J277" s="7">
        <f t="shared" ca="1" si="165"/>
        <v>0</v>
      </c>
      <c r="K277" s="7">
        <f t="shared" ca="1" si="165"/>
        <v>0</v>
      </c>
      <c r="L277" s="7">
        <f t="shared" ca="1" si="165"/>
        <v>0</v>
      </c>
      <c r="M277" s="7">
        <f t="shared" ca="1" si="165"/>
        <v>0</v>
      </c>
      <c r="N277" s="7">
        <f t="shared" ca="1" si="165"/>
        <v>0</v>
      </c>
      <c r="O277" s="7">
        <f t="shared" ca="1" si="165"/>
        <v>0</v>
      </c>
      <c r="P277" s="7">
        <f t="shared" ca="1" si="165"/>
        <v>0</v>
      </c>
      <c r="Q277" s="7">
        <f t="shared" ca="1" si="165"/>
        <v>0</v>
      </c>
      <c r="R277" s="7">
        <f t="shared" ca="1" si="165"/>
        <v>0</v>
      </c>
      <c r="S277" s="7">
        <f t="shared" ca="1" si="165"/>
        <v>0</v>
      </c>
      <c r="T277" s="7">
        <f t="shared" ca="1" si="165"/>
        <v>0</v>
      </c>
      <c r="U277" s="7">
        <f t="shared" ca="1" si="165"/>
        <v>0</v>
      </c>
      <c r="V277" s="7">
        <f t="shared" ca="1" si="165"/>
        <v>0</v>
      </c>
      <c r="W277" s="7">
        <f t="shared" ca="1" si="165"/>
        <v>0</v>
      </c>
      <c r="X277" s="7">
        <f t="shared" ca="1" si="165"/>
        <v>0</v>
      </c>
      <c r="Y277" s="7">
        <f t="shared" ca="1" si="165"/>
        <v>0</v>
      </c>
      <c r="Z277" s="7">
        <f t="shared" ca="1" si="165"/>
        <v>0</v>
      </c>
      <c r="AA277" s="7">
        <f t="shared" ca="1" si="165"/>
        <v>0</v>
      </c>
      <c r="AB277" s="7">
        <f t="shared" ca="1" si="165"/>
        <v>0</v>
      </c>
      <c r="AC277" s="7">
        <f t="shared" ca="1" si="165"/>
        <v>0</v>
      </c>
      <c r="AD277" s="7">
        <f t="shared" ca="1" si="165"/>
        <v>0</v>
      </c>
      <c r="AE277" s="7">
        <f t="shared" ca="1" si="165"/>
        <v>0</v>
      </c>
      <c r="AF277" s="7">
        <f t="shared" ca="1" si="165"/>
        <v>0</v>
      </c>
      <c r="AG277" s="7">
        <f t="shared" ca="1" si="165"/>
        <v>0</v>
      </c>
      <c r="AH277" s="7">
        <f t="shared" ca="1" si="165"/>
        <v>0</v>
      </c>
      <c r="AI277" s="7">
        <f t="shared" ca="1" si="165"/>
        <v>0</v>
      </c>
      <c r="AJ277" s="7">
        <f t="shared" ca="1" si="165"/>
        <v>673021.68605447188</v>
      </c>
      <c r="AK277" s="7">
        <f t="shared" ca="1" si="165"/>
        <v>657279.24376314622</v>
      </c>
      <c r="AL277" s="7">
        <f t="shared" ca="1" si="165"/>
        <v>618757.69514001126</v>
      </c>
      <c r="AM277" s="7">
        <f t="shared" ca="1" si="165"/>
        <v>550160.19923676655</v>
      </c>
    </row>
    <row r="278" spans="1:39" x14ac:dyDescent="0.2">
      <c r="A278" s="3" t="s">
        <v>69</v>
      </c>
      <c r="C278" s="7">
        <f ca="1">C277*Inputs!$B$259</f>
        <v>0</v>
      </c>
      <c r="D278" s="7">
        <f ca="1">D277*Inputs!$B$259</f>
        <v>0</v>
      </c>
      <c r="E278" s="7">
        <f ca="1">E277*Inputs!$B$259</f>
        <v>0</v>
      </c>
      <c r="F278" s="7">
        <f ca="1">F277*Inputs!$B$259</f>
        <v>0</v>
      </c>
      <c r="G278" s="7">
        <f ca="1">G277*Inputs!$B$259</f>
        <v>0</v>
      </c>
      <c r="H278" s="7">
        <f ca="1">H277*Inputs!$B$259</f>
        <v>0</v>
      </c>
      <c r="I278" s="7">
        <f ca="1">I277*Inputs!$B$259</f>
        <v>0</v>
      </c>
      <c r="J278" s="7">
        <f ca="1">J277*Inputs!$B$259</f>
        <v>0</v>
      </c>
      <c r="K278" s="7">
        <f ca="1">K277*Inputs!$B$259</f>
        <v>0</v>
      </c>
      <c r="L278" s="7">
        <f ca="1">L277*Inputs!$B$259</f>
        <v>0</v>
      </c>
      <c r="M278" s="7">
        <f ca="1">M277*Inputs!$B$259</f>
        <v>0</v>
      </c>
      <c r="N278" s="7">
        <f ca="1">N277*Inputs!$B$259</f>
        <v>0</v>
      </c>
      <c r="O278" s="7">
        <f ca="1">O277*Inputs!$B$259</f>
        <v>0</v>
      </c>
      <c r="P278" s="7">
        <f ca="1">P277*Inputs!$B$259</f>
        <v>0</v>
      </c>
      <c r="Q278" s="7">
        <f ca="1">Q277*Inputs!$B$259</f>
        <v>0</v>
      </c>
      <c r="R278" s="7">
        <f ca="1">R277*Inputs!$B$259</f>
        <v>0</v>
      </c>
      <c r="S278" s="7">
        <f ca="1">S277*Inputs!$B$259</f>
        <v>0</v>
      </c>
      <c r="T278" s="7">
        <f ca="1">T277*Inputs!$B$259</f>
        <v>0</v>
      </c>
      <c r="U278" s="7">
        <f ca="1">U277*Inputs!$B$259</f>
        <v>0</v>
      </c>
      <c r="V278" s="7">
        <f ca="1">V277*Inputs!$B$259</f>
        <v>0</v>
      </c>
      <c r="W278" s="7">
        <f ca="1">W277*Inputs!$B$259</f>
        <v>0</v>
      </c>
      <c r="X278" s="7">
        <f ca="1">X277*Inputs!$B$259</f>
        <v>0</v>
      </c>
      <c r="Y278" s="7">
        <f ca="1">Y277*Inputs!$B$259</f>
        <v>0</v>
      </c>
      <c r="Z278" s="7">
        <f ca="1">Z277*Inputs!$B$259</f>
        <v>0</v>
      </c>
      <c r="AA278" s="7">
        <f ca="1">AA277*Inputs!$B$259</f>
        <v>0</v>
      </c>
      <c r="AB278" s="7">
        <f ca="1">AB277*Inputs!$B$259</f>
        <v>0</v>
      </c>
      <c r="AC278" s="7">
        <f ca="1">AC277*Inputs!$B$259</f>
        <v>0</v>
      </c>
      <c r="AD278" s="7">
        <f ca="1">AD277*Inputs!$B$259</f>
        <v>0</v>
      </c>
      <c r="AE278" s="7">
        <f ca="1">AE277*Inputs!$B$259</f>
        <v>0</v>
      </c>
      <c r="AF278" s="7">
        <f ca="1">AF277*Inputs!$B$259</f>
        <v>0</v>
      </c>
      <c r="AG278" s="7">
        <f ca="1">AG277*Inputs!$B$259</f>
        <v>0</v>
      </c>
      <c r="AH278" s="7">
        <f ca="1">AH277*Inputs!$B$259</f>
        <v>0</v>
      </c>
      <c r="AI278" s="7">
        <f ca="1">AI277*Inputs!$B$259</f>
        <v>0</v>
      </c>
      <c r="AJ278" s="7">
        <f ca="1">AJ277*Inputs!$B$259</f>
        <v>16825.542151361798</v>
      </c>
      <c r="AK278" s="7">
        <f ca="1">AK277*Inputs!$B$259</f>
        <v>16431.981094078656</v>
      </c>
      <c r="AL278" s="7">
        <f ca="1">AL277*Inputs!$B$259</f>
        <v>15468.942378500282</v>
      </c>
      <c r="AM278" s="7">
        <f ca="1">AM277*Inputs!$B$259</f>
        <v>13754.004980919164</v>
      </c>
    </row>
    <row r="279" spans="1:39" x14ac:dyDescent="0.2">
      <c r="A279" s="3" t="s">
        <v>150</v>
      </c>
      <c r="C279" s="7">
        <f ca="1">C276+SUM($C278:C278)</f>
        <v>12809.375000000015</v>
      </c>
      <c r="D279" s="7">
        <f ca="1">D276+SUM($C278:D278)</f>
        <v>24162.215625000026</v>
      </c>
      <c r="E279" s="7">
        <f ca="1">E276+SUM($C278:E278)</f>
        <v>58836.638502582922</v>
      </c>
      <c r="F279" s="7">
        <f ca="1">F276+SUM($C278:F278)</f>
        <v>86558.722373523749</v>
      </c>
      <c r="G279" s="7">
        <f ca="1">G276+SUM($C278:G278)</f>
        <v>105186.23146773443</v>
      </c>
      <c r="H279" s="7">
        <f ca="1">H276+SUM($C278:H278)</f>
        <v>45871.068761315822</v>
      </c>
      <c r="I279" s="7">
        <f ca="1">I276+SUM($C278:I278)</f>
        <v>102650.13853854903</v>
      </c>
      <c r="J279" s="7">
        <f ca="1">J276+SUM($C278:J278)</f>
        <v>67603.976876148823</v>
      </c>
      <c r="K279" s="7">
        <f ca="1">K276+SUM($C278:K278)</f>
        <v>13425.846909304215</v>
      </c>
      <c r="L279" s="7">
        <f ca="1">L276+SUM($C278:L278)</f>
        <v>177601.38607478226</v>
      </c>
      <c r="M279" s="7">
        <f ca="1">M276+SUM($C278:M278)</f>
        <v>106967.75167125103</v>
      </c>
      <c r="N279" s="7">
        <f ca="1">N276+SUM($C278:N278)</f>
        <v>83948.421986536487</v>
      </c>
      <c r="O279" s="7">
        <f ca="1">O276+SUM($C278:O278)</f>
        <v>59908.582949317963</v>
      </c>
      <c r="P279" s="7">
        <f ca="1">P276+SUM($C278:P278)</f>
        <v>34710.371299332386</v>
      </c>
      <c r="Q279" s="7">
        <f ca="1">Q276+SUM($C278:Q278)</f>
        <v>205039.88093280265</v>
      </c>
      <c r="R279" s="7">
        <f ca="1">R276+SUM($C278:R278)</f>
        <v>171926.73459181545</v>
      </c>
      <c r="S279" s="7">
        <f ca="1">S276+SUM($C278:S278)</f>
        <v>137342.12907091394</v>
      </c>
      <c r="T279" s="7">
        <f ca="1">T276+SUM($C278:T278)</f>
        <v>119388.17075681413</v>
      </c>
      <c r="U279" s="7">
        <f ca="1">U276+SUM($C278:U278)</f>
        <v>108467.39994305027</v>
      </c>
      <c r="V279" s="7">
        <f ca="1">V276+SUM($C278:V278)</f>
        <v>96965.031583223346</v>
      </c>
      <c r="W279" s="7">
        <f ca="1">W276+SUM($C278:W278)</f>
        <v>84874.434958945174</v>
      </c>
      <c r="X279" s="7">
        <f ca="1">X276+SUM($C278:X278)</f>
        <v>72189.050860476244</v>
      </c>
      <c r="Y279" s="7">
        <f ca="1">Y276+SUM($C278:Y278)</f>
        <v>37727.072302504312</v>
      </c>
      <c r="Z279" s="7">
        <f ca="1">Z276+SUM($C278:Z278)</f>
        <v>57661.904315089443</v>
      </c>
      <c r="AA279" s="7">
        <f ca="1">AA276+SUM($C278:AA278)</f>
        <v>409366.08753280132</v>
      </c>
      <c r="AB279" s="7">
        <f ca="1">AB276+SUM($C278:AB278)</f>
        <v>369415.51303522848</v>
      </c>
      <c r="AC279" s="7">
        <f ca="1">AC276+SUM($C278:AC278)</f>
        <v>327134.50377971405</v>
      </c>
      <c r="AD279" s="7">
        <f ca="1">AD276+SUM($C278:AD278)</f>
        <v>282380.86560913397</v>
      </c>
      <c r="AE279" s="7">
        <f ca="1">AE276+SUM($C278:AE278)</f>
        <v>245330.83126990055</v>
      </c>
      <c r="AF279" s="7">
        <f ca="1">AF276+SUM($C278:AF278)</f>
        <v>206200.70760711445</v>
      </c>
      <c r="AG279" s="7">
        <f ca="1">AG276+SUM($C278:AG278)</f>
        <v>164944.86998608289</v>
      </c>
      <c r="AH279" s="7">
        <f ca="1">AH276+SUM($C278:AH278)</f>
        <v>121516.74448419805</v>
      </c>
      <c r="AI279" s="7">
        <f ca="1">AI276+SUM($C278:AI278)</f>
        <v>75868.789898576681</v>
      </c>
      <c r="AJ279" s="7">
        <f ca="1">AJ276+SUM($C278:AJ278)</f>
        <v>717799.70768192201</v>
      </c>
      <c r="AK279" s="7">
        <f ca="1">AK276+SUM($C278:AK278)</f>
        <v>668939.60463251953</v>
      </c>
      <c r="AL279" s="7">
        <f ca="1">AL276+SUM($C278:AL278)</f>
        <v>617484.16076395195</v>
      </c>
      <c r="AM279" s="7">
        <f ca="1">AM276+SUM($C278:AM278)</f>
        <v>562640.66984162643</v>
      </c>
    </row>
    <row r="280" spans="1:39" x14ac:dyDescent="0.2">
      <c r="A280" s="3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x14ac:dyDescent="0.2">
      <c r="A281" s="3" t="s">
        <v>148</v>
      </c>
      <c r="C281" s="7">
        <f t="shared" ref="C281:AM281" ca="1" si="166">C279+buffer</f>
        <v>62809.375000000015</v>
      </c>
      <c r="D281" s="7">
        <f t="shared" ca="1" si="166"/>
        <v>74162.215625000026</v>
      </c>
      <c r="E281" s="7">
        <f t="shared" ca="1" si="166"/>
        <v>108836.63850258292</v>
      </c>
      <c r="F281" s="7">
        <f t="shared" ca="1" si="166"/>
        <v>136558.72237352375</v>
      </c>
      <c r="G281" s="7">
        <f t="shared" ca="1" si="166"/>
        <v>155186.23146773444</v>
      </c>
      <c r="H281" s="7">
        <f t="shared" ca="1" si="166"/>
        <v>95871.068761315822</v>
      </c>
      <c r="I281" s="7">
        <f t="shared" ca="1" si="166"/>
        <v>152650.13853854901</v>
      </c>
      <c r="J281" s="7">
        <f t="shared" ca="1" si="166"/>
        <v>117603.97687614882</v>
      </c>
      <c r="K281" s="7">
        <f t="shared" ca="1" si="166"/>
        <v>63425.846909304215</v>
      </c>
      <c r="L281" s="7">
        <f t="shared" ca="1" si="166"/>
        <v>227601.38607478226</v>
      </c>
      <c r="M281" s="7">
        <f t="shared" ca="1" si="166"/>
        <v>156967.75167125103</v>
      </c>
      <c r="N281" s="7">
        <f t="shared" ca="1" si="166"/>
        <v>133948.42198653647</v>
      </c>
      <c r="O281" s="7">
        <f t="shared" ca="1" si="166"/>
        <v>109908.58294931796</v>
      </c>
      <c r="P281" s="7">
        <f t="shared" ca="1" si="166"/>
        <v>84710.371299332386</v>
      </c>
      <c r="Q281" s="7">
        <f t="shared" ca="1" si="166"/>
        <v>255039.88093280265</v>
      </c>
      <c r="R281" s="7">
        <f t="shared" ca="1" si="166"/>
        <v>221926.73459181545</v>
      </c>
      <c r="S281" s="7">
        <f t="shared" ca="1" si="166"/>
        <v>187342.12907091394</v>
      </c>
      <c r="T281" s="7">
        <f t="shared" ca="1" si="166"/>
        <v>169388.17075681413</v>
      </c>
      <c r="U281" s="7">
        <f t="shared" ca="1" si="166"/>
        <v>158467.39994305029</v>
      </c>
      <c r="V281" s="7">
        <f t="shared" ca="1" si="166"/>
        <v>146965.03158322335</v>
      </c>
      <c r="W281" s="7">
        <f t="shared" ca="1" si="166"/>
        <v>134874.43495894517</v>
      </c>
      <c r="X281" s="7">
        <f t="shared" ca="1" si="166"/>
        <v>122189.05086047624</v>
      </c>
      <c r="Y281" s="7">
        <f t="shared" ca="1" si="166"/>
        <v>87727.072302504312</v>
      </c>
      <c r="Z281" s="7">
        <f t="shared" ca="1" si="166"/>
        <v>107661.90431508944</v>
      </c>
      <c r="AA281" s="7">
        <f t="shared" ca="1" si="166"/>
        <v>459366.08753280132</v>
      </c>
      <c r="AB281" s="7">
        <f t="shared" ca="1" si="166"/>
        <v>419415.51303522848</v>
      </c>
      <c r="AC281" s="7">
        <f t="shared" ca="1" si="166"/>
        <v>377134.50377971405</v>
      </c>
      <c r="AD281" s="7">
        <f t="shared" ca="1" si="166"/>
        <v>332380.86560913397</v>
      </c>
      <c r="AE281" s="7">
        <f t="shared" ca="1" si="166"/>
        <v>295330.83126990055</v>
      </c>
      <c r="AF281" s="7">
        <f t="shared" ca="1" si="166"/>
        <v>256200.70760711445</v>
      </c>
      <c r="AG281" s="7">
        <f t="shared" ca="1" si="166"/>
        <v>214944.86998608289</v>
      </c>
      <c r="AH281" s="7">
        <f t="shared" ca="1" si="166"/>
        <v>171516.74448419805</v>
      </c>
      <c r="AI281" s="7">
        <f t="shared" ca="1" si="166"/>
        <v>125868.78989857668</v>
      </c>
      <c r="AJ281" s="7">
        <f t="shared" ca="1" si="166"/>
        <v>767799.70768192201</v>
      </c>
      <c r="AK281" s="7">
        <f t="shared" ca="1" si="166"/>
        <v>718939.60463251953</v>
      </c>
      <c r="AL281" s="7">
        <f t="shared" ca="1" si="166"/>
        <v>667484.16076395195</v>
      </c>
      <c r="AM281" s="7">
        <f t="shared" ca="1" si="166"/>
        <v>612640.66984162643</v>
      </c>
    </row>
    <row r="282" spans="1:39" x14ac:dyDescent="0.2">
      <c r="A282" s="4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">
      <c r="A283" s="29" t="s">
        <v>59</v>
      </c>
      <c r="B283" s="2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x14ac:dyDescent="0.2">
      <c r="A284" s="3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">
      <c r="A285" s="18" t="s">
        <v>195</v>
      </c>
      <c r="B285" s="19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</row>
    <row r="286" spans="1:39" x14ac:dyDescent="0.2">
      <c r="A286" s="22" t="str">
        <f>B$120</f>
        <v>Painting</v>
      </c>
      <c r="B286" s="19"/>
      <c r="C286" s="20">
        <f ca="1">SUM($C114:C114)</f>
        <v>0</v>
      </c>
      <c r="D286" s="20">
        <f ca="1">SUM($C114:D114)</f>
        <v>0</v>
      </c>
      <c r="E286" s="20">
        <f ca="1">SUM($C114:E114)</f>
        <v>-21113.727281287946</v>
      </c>
      <c r="F286" s="20">
        <f ca="1">SUM($C114:F114)</f>
        <v>-21113.727281287946</v>
      </c>
      <c r="G286" s="20">
        <f ca="1">SUM($C114:G114)</f>
        <v>-21113.727281287946</v>
      </c>
      <c r="H286" s="20">
        <f ca="1">SUM($C114:H114)</f>
        <v>-21113.727281287946</v>
      </c>
      <c r="I286" s="20">
        <f ca="1">SUM($C114:I114)</f>
        <v>-21113.727281287946</v>
      </c>
      <c r="J286" s="20">
        <f ca="1">SUM($C114:J114)</f>
        <v>-21113.727281287946</v>
      </c>
      <c r="K286" s="20">
        <f ca="1">SUM($C114:K114)</f>
        <v>-21113.727281287946</v>
      </c>
      <c r="L286" s="20">
        <f ca="1">SUM($C114:L114)</f>
        <v>-21113.727281287946</v>
      </c>
      <c r="M286" s="20">
        <f ca="1">SUM($C114:M114)</f>
        <v>-21113.727281287946</v>
      </c>
      <c r="N286" s="20">
        <f ca="1">SUM($C114:N114)</f>
        <v>-21113.727281287946</v>
      </c>
      <c r="O286" s="20">
        <f ca="1">SUM($C114:O114)</f>
        <v>-21113.727281287946</v>
      </c>
      <c r="P286" s="20">
        <f ca="1">SUM($C114:P114)</f>
        <v>-21113.727281287946</v>
      </c>
      <c r="Q286" s="20">
        <f ca="1">SUM($C114:Q114)</f>
        <v>-21113.727281287946</v>
      </c>
      <c r="R286" s="20">
        <f ca="1">SUM($C114:R114)</f>
        <v>-21113.727281287946</v>
      </c>
      <c r="S286" s="20">
        <f ca="1">SUM($C114:S114)</f>
        <v>-21113.727281287946</v>
      </c>
      <c r="T286" s="20">
        <f ca="1">SUM($C114:T114)</f>
        <v>-21113.727281287946</v>
      </c>
      <c r="U286" s="20">
        <f ca="1">SUM($C114:U114)</f>
        <v>-21113.727281287946</v>
      </c>
      <c r="V286" s="20">
        <f ca="1">SUM($C114:V114)</f>
        <v>-21113.727281287946</v>
      </c>
      <c r="W286" s="20">
        <f ca="1">SUM($C114:W114)</f>
        <v>-21113.727281287946</v>
      </c>
      <c r="X286" s="20">
        <f ca="1">SUM($C114:X114)</f>
        <v>-21113.727281287946</v>
      </c>
      <c r="Y286" s="20">
        <f ca="1">SUM($C114:Y114)</f>
        <v>-21113.727281287946</v>
      </c>
      <c r="Z286" s="20">
        <f ca="1">SUM($C114:Z114)</f>
        <v>-21113.727281287946</v>
      </c>
      <c r="AA286" s="20">
        <f ca="1">SUM($C114:AA114)</f>
        <v>-21113.727281287946</v>
      </c>
      <c r="AB286" s="20">
        <f ca="1">SUM($C114:AB114)</f>
        <v>-21113.727281287946</v>
      </c>
      <c r="AC286" s="20">
        <f ca="1">SUM($C114:AC114)</f>
        <v>-21113.727281287946</v>
      </c>
      <c r="AD286" s="20">
        <f ca="1">SUM($C114:AD114)</f>
        <v>-21113.727281287946</v>
      </c>
      <c r="AE286" s="20">
        <f ca="1">SUM($C114:AE114)</f>
        <v>-21113.727281287946</v>
      </c>
      <c r="AF286" s="20">
        <f ca="1">SUM($C114:AF114)</f>
        <v>-21113.727281287946</v>
      </c>
      <c r="AG286" s="20">
        <f ca="1">SUM($C114:AG114)</f>
        <v>-21113.727281287946</v>
      </c>
      <c r="AH286" s="20">
        <f ca="1">SUM($C114:AH114)</f>
        <v>-21113.727281287946</v>
      </c>
      <c r="AI286" s="20">
        <f ca="1">SUM($C114:AI114)</f>
        <v>-21113.727281287946</v>
      </c>
      <c r="AJ286" s="20">
        <f ca="1">SUM($C114:AJ114)</f>
        <v>-21113.727281287946</v>
      </c>
      <c r="AK286" s="20">
        <f ca="1">SUM($C114:AK114)</f>
        <v>-21113.727281287946</v>
      </c>
      <c r="AL286" s="20">
        <f ca="1">SUM($C114:AL114)</f>
        <v>-21113.727281287946</v>
      </c>
      <c r="AM286" s="20">
        <f ca="1">SUM($C114:AM114)</f>
        <v>-21113.727281287946</v>
      </c>
    </row>
    <row r="287" spans="1:39" x14ac:dyDescent="0.2">
      <c r="A287" s="22" t="str">
        <f>B$137</f>
        <v>Car</v>
      </c>
      <c r="B287" s="19"/>
      <c r="C287" s="20">
        <f ca="1">SUM($C131:C131)</f>
        <v>0</v>
      </c>
      <c r="D287" s="20">
        <f ca="1">SUM($C131:D131)</f>
        <v>0</v>
      </c>
      <c r="E287" s="20">
        <f ca="1">SUM($C131:E131)</f>
        <v>0</v>
      </c>
      <c r="F287" s="20">
        <f ca="1">SUM($C131:F131)</f>
        <v>-34589.440698062434</v>
      </c>
      <c r="G287" s="20">
        <f ca="1">SUM($C131:G131)</f>
        <v>-34589.440698062434</v>
      </c>
      <c r="H287" s="20">
        <f ca="1">SUM($C131:H131)</f>
        <v>-34589.440698062434</v>
      </c>
      <c r="I287" s="20">
        <f ca="1">SUM($C131:I131)</f>
        <v>-34589.440698062434</v>
      </c>
      <c r="J287" s="20">
        <f ca="1">SUM($C131:J131)</f>
        <v>-34589.440698062434</v>
      </c>
      <c r="K287" s="20">
        <f ca="1">SUM($C131:K131)</f>
        <v>-34589.440698062434</v>
      </c>
      <c r="L287" s="20">
        <f ca="1">SUM($C131:L131)</f>
        <v>-34589.440698062434</v>
      </c>
      <c r="M287" s="20">
        <f ca="1">SUM($C131:M131)</f>
        <v>-34589.440698062434</v>
      </c>
      <c r="N287" s="20">
        <f ca="1">SUM($C131:N131)</f>
        <v>-34589.440698062434</v>
      </c>
      <c r="O287" s="20">
        <f ca="1">SUM($C131:O131)</f>
        <v>-34589.440698062434</v>
      </c>
      <c r="P287" s="20">
        <f ca="1">SUM($C131:P131)</f>
        <v>-34589.440698062434</v>
      </c>
      <c r="Q287" s="20">
        <f ca="1">SUM($C131:Q131)</f>
        <v>-34589.440698062434</v>
      </c>
      <c r="R287" s="20">
        <f ca="1">SUM($C131:R131)</f>
        <v>-34589.440698062434</v>
      </c>
      <c r="S287" s="20">
        <f ca="1">SUM($C131:S131)</f>
        <v>-34589.440698062434</v>
      </c>
      <c r="T287" s="20">
        <f ca="1">SUM($C131:T131)</f>
        <v>-34589.440698062434</v>
      </c>
      <c r="U287" s="20">
        <f ca="1">SUM($C131:U131)</f>
        <v>-34589.440698062434</v>
      </c>
      <c r="V287" s="20">
        <f ca="1">SUM($C131:V131)</f>
        <v>-34589.440698062434</v>
      </c>
      <c r="W287" s="20">
        <f ca="1">SUM($C131:W131)</f>
        <v>-34589.440698062434</v>
      </c>
      <c r="X287" s="20">
        <f ca="1">SUM($C131:X131)</f>
        <v>-34589.440698062434</v>
      </c>
      <c r="Y287" s="20">
        <f ca="1">SUM($C131:Y131)</f>
        <v>-34589.440698062434</v>
      </c>
      <c r="Z287" s="20">
        <f ca="1">SUM($C131:Z131)</f>
        <v>-34589.440698062434</v>
      </c>
      <c r="AA287" s="20">
        <f ca="1">SUM($C131:AA131)</f>
        <v>-34589.440698062434</v>
      </c>
      <c r="AB287" s="20">
        <f ca="1">SUM($C131:AB131)</f>
        <v>-34589.440698062434</v>
      </c>
      <c r="AC287" s="20">
        <f ca="1">SUM($C131:AC131)</f>
        <v>-34589.440698062434</v>
      </c>
      <c r="AD287" s="20">
        <f ca="1">SUM($C131:AD131)</f>
        <v>-34589.440698062434</v>
      </c>
      <c r="AE287" s="20">
        <f ca="1">SUM($C131:AE131)</f>
        <v>-34589.440698062434</v>
      </c>
      <c r="AF287" s="20">
        <f ca="1">SUM($C131:AF131)</f>
        <v>-34589.440698062434</v>
      </c>
      <c r="AG287" s="20">
        <f ca="1">SUM($C131:AG131)</f>
        <v>-34589.440698062434</v>
      </c>
      <c r="AH287" s="20">
        <f ca="1">SUM($C131:AH131)</f>
        <v>-34589.440698062434</v>
      </c>
      <c r="AI287" s="20">
        <f ca="1">SUM($C131:AI131)</f>
        <v>-34589.440698062434</v>
      </c>
      <c r="AJ287" s="20">
        <f ca="1">SUM($C131:AJ131)</f>
        <v>-34589.440698062434</v>
      </c>
      <c r="AK287" s="20">
        <f ca="1">SUM($C131:AK131)</f>
        <v>-34589.440698062434</v>
      </c>
      <c r="AL287" s="20">
        <f ca="1">SUM($C131:AL131)</f>
        <v>-34589.440698062434</v>
      </c>
      <c r="AM287" s="20">
        <f ca="1">SUM($C131:AM131)</f>
        <v>-34589.440698062434</v>
      </c>
    </row>
    <row r="288" spans="1:39" x14ac:dyDescent="0.2">
      <c r="A288" s="22" t="str">
        <f>B$154</f>
        <v>Jewelry</v>
      </c>
      <c r="B288" s="19"/>
      <c r="C288" s="20">
        <f ca="1">SUM($C148:C148)</f>
        <v>0</v>
      </c>
      <c r="D288" s="20">
        <f ca="1">SUM($C148:D148)</f>
        <v>0</v>
      </c>
      <c r="E288" s="20">
        <f ca="1">SUM($C148:E148)</f>
        <v>0</v>
      </c>
      <c r="F288" s="20">
        <f ca="1">SUM($C148:F148)</f>
        <v>-52885.566118655377</v>
      </c>
      <c r="G288" s="20">
        <f ca="1">SUM($C148:G148)</f>
        <v>-52885.566118655377</v>
      </c>
      <c r="H288" s="20">
        <f ca="1">SUM($C148:H148)</f>
        <v>-52885.566118655377</v>
      </c>
      <c r="I288" s="20">
        <f ca="1">SUM($C148:I148)</f>
        <v>-52885.566118655377</v>
      </c>
      <c r="J288" s="20">
        <f ca="1">SUM($C148:J148)</f>
        <v>-52885.566118655377</v>
      </c>
      <c r="K288" s="20">
        <f ca="1">SUM($C148:K148)</f>
        <v>-52885.566118655377</v>
      </c>
      <c r="L288" s="20">
        <f ca="1">SUM($C148:L148)</f>
        <v>-52885.566118655377</v>
      </c>
      <c r="M288" s="20">
        <f ca="1">SUM($C148:M148)</f>
        <v>-52885.566118655377</v>
      </c>
      <c r="N288" s="20">
        <f ca="1">SUM($C148:N148)</f>
        <v>-52885.566118655377</v>
      </c>
      <c r="O288" s="20">
        <f ca="1">SUM($C148:O148)</f>
        <v>-52885.566118655377</v>
      </c>
      <c r="P288" s="20">
        <f ca="1">SUM($C148:P148)</f>
        <v>-52885.566118655377</v>
      </c>
      <c r="Q288" s="20">
        <f ca="1">SUM($C148:Q148)</f>
        <v>-52885.566118655377</v>
      </c>
      <c r="R288" s="20">
        <f ca="1">SUM($C148:R148)</f>
        <v>-52885.566118655377</v>
      </c>
      <c r="S288" s="20">
        <f ca="1">SUM($C148:S148)</f>
        <v>-52885.566118655377</v>
      </c>
      <c r="T288" s="20">
        <f ca="1">SUM($C148:T148)</f>
        <v>-52885.566118655377</v>
      </c>
      <c r="U288" s="20">
        <f ca="1">SUM($C148:U148)</f>
        <v>-52885.566118655377</v>
      </c>
      <c r="V288" s="20">
        <f ca="1">SUM($C148:V148)</f>
        <v>-52885.566118655377</v>
      </c>
      <c r="W288" s="20">
        <f ca="1">SUM($C148:W148)</f>
        <v>-52885.566118655377</v>
      </c>
      <c r="X288" s="20">
        <f ca="1">SUM($C148:X148)</f>
        <v>-52885.566118655377</v>
      </c>
      <c r="Y288" s="20">
        <f ca="1">SUM($C148:Y148)</f>
        <v>-52885.566118655377</v>
      </c>
      <c r="Z288" s="20">
        <f ca="1">SUM($C148:Z148)</f>
        <v>-52885.566118655377</v>
      </c>
      <c r="AA288" s="20">
        <f ca="1">SUM($C148:AA148)</f>
        <v>-52885.566118655377</v>
      </c>
      <c r="AB288" s="20">
        <f ca="1">SUM($C148:AB148)</f>
        <v>-52885.566118655377</v>
      </c>
      <c r="AC288" s="20">
        <f ca="1">SUM($C148:AC148)</f>
        <v>-52885.566118655377</v>
      </c>
      <c r="AD288" s="20">
        <f ca="1">SUM($C148:AD148)</f>
        <v>-52885.566118655377</v>
      </c>
      <c r="AE288" s="20">
        <f ca="1">SUM($C148:AE148)</f>
        <v>-52885.566118655377</v>
      </c>
      <c r="AF288" s="20">
        <f ca="1">SUM($C148:AF148)</f>
        <v>-52885.566118655377</v>
      </c>
      <c r="AG288" s="20">
        <f ca="1">SUM($C148:AG148)</f>
        <v>-52885.566118655377</v>
      </c>
      <c r="AH288" s="20">
        <f ca="1">SUM($C148:AH148)</f>
        <v>-52885.566118655377</v>
      </c>
      <c r="AI288" s="20">
        <f ca="1">SUM($C148:AI148)</f>
        <v>-52885.566118655377</v>
      </c>
      <c r="AJ288" s="20">
        <f ca="1">SUM($C148:AJ148)</f>
        <v>-52885.566118655377</v>
      </c>
      <c r="AK288" s="20">
        <f ca="1">SUM($C148:AK148)</f>
        <v>-52885.566118655377</v>
      </c>
      <c r="AL288" s="20">
        <f ca="1">SUM($C148:AL148)</f>
        <v>-52885.566118655377</v>
      </c>
      <c r="AM288" s="20">
        <f ca="1">SUM($C148:AM148)</f>
        <v>-52885.566118655377</v>
      </c>
    </row>
    <row r="289" spans="1:39" x14ac:dyDescent="0.2">
      <c r="A289" s="22" t="str">
        <f>B$171</f>
        <v>Gudja</v>
      </c>
      <c r="B289" s="19"/>
      <c r="C289" s="20">
        <f ca="1">SUM($C165:C165)</f>
        <v>0</v>
      </c>
      <c r="D289" s="20">
        <f ca="1">SUM($C165:D165)</f>
        <v>0</v>
      </c>
      <c r="E289" s="20">
        <f ca="1">SUM($C165:E165)</f>
        <v>0</v>
      </c>
      <c r="F289" s="20">
        <f ca="1">SUM($C165:F165)</f>
        <v>0</v>
      </c>
      <c r="G289" s="20">
        <f ca="1">SUM($C165:G165)</f>
        <v>-89598.213090873527</v>
      </c>
      <c r="H289" s="20">
        <f ca="1">SUM($C165:H165)</f>
        <v>-89598.213090873527</v>
      </c>
      <c r="I289" s="20">
        <f ca="1">SUM($C165:I165)</f>
        <v>-89598.213090873527</v>
      </c>
      <c r="J289" s="20">
        <f ca="1">SUM($C165:J165)</f>
        <v>-89598.213090873527</v>
      </c>
      <c r="K289" s="20">
        <f ca="1">SUM($C165:K165)</f>
        <v>-89598.213090873527</v>
      </c>
      <c r="L289" s="20">
        <f ca="1">SUM($C165:L165)</f>
        <v>-89598.213090873527</v>
      </c>
      <c r="M289" s="20">
        <f ca="1">SUM($C165:M165)</f>
        <v>-89598.213090873527</v>
      </c>
      <c r="N289" s="20">
        <f ca="1">SUM($C165:N165)</f>
        <v>-89598.213090873527</v>
      </c>
      <c r="O289" s="20">
        <f ca="1">SUM($C165:O165)</f>
        <v>-89598.213090873527</v>
      </c>
      <c r="P289" s="20">
        <f ca="1">SUM($C165:P165)</f>
        <v>-89598.213090873527</v>
      </c>
      <c r="Q289" s="20">
        <f ca="1">SUM($C165:Q165)</f>
        <v>-89598.213090873527</v>
      </c>
      <c r="R289" s="20">
        <f ca="1">SUM($C165:R165)</f>
        <v>-89598.213090873527</v>
      </c>
      <c r="S289" s="20">
        <f ca="1">SUM($C165:S165)</f>
        <v>-89598.213090873527</v>
      </c>
      <c r="T289" s="20">
        <f ca="1">SUM($C165:T165)</f>
        <v>-89598.213090873527</v>
      </c>
      <c r="U289" s="20">
        <f ca="1">SUM($C165:U165)</f>
        <v>-89598.213090873527</v>
      </c>
      <c r="V289" s="20">
        <f ca="1">SUM($C165:V165)</f>
        <v>-89598.213090873527</v>
      </c>
      <c r="W289" s="20">
        <f ca="1">SUM($C165:W165)</f>
        <v>-89598.213090873527</v>
      </c>
      <c r="X289" s="20">
        <f ca="1">SUM($C165:X165)</f>
        <v>-89598.213090873527</v>
      </c>
      <c r="Y289" s="20">
        <f ca="1">SUM($C165:Y165)</f>
        <v>-89598.213090873527</v>
      </c>
      <c r="Z289" s="20">
        <f ca="1">SUM($C165:Z165)</f>
        <v>-89598.213090873527</v>
      </c>
      <c r="AA289" s="20">
        <f ca="1">SUM($C165:AA165)</f>
        <v>-89598.213090873527</v>
      </c>
      <c r="AB289" s="20">
        <f ca="1">SUM($C165:AB165)</f>
        <v>-89598.213090873527</v>
      </c>
      <c r="AC289" s="20">
        <f ca="1">SUM($C165:AC165)</f>
        <v>-89598.213090873527</v>
      </c>
      <c r="AD289" s="20">
        <f ca="1">SUM($C165:AD165)</f>
        <v>-89598.213090873527</v>
      </c>
      <c r="AE289" s="20">
        <f ca="1">SUM($C165:AE165)</f>
        <v>-89598.213090873527</v>
      </c>
      <c r="AF289" s="20">
        <f ca="1">SUM($C165:AF165)</f>
        <v>-89598.213090873527</v>
      </c>
      <c r="AG289" s="20">
        <f ca="1">SUM($C165:AG165)</f>
        <v>-89598.213090873527</v>
      </c>
      <c r="AH289" s="20">
        <f ca="1">SUM($C165:AH165)</f>
        <v>-89598.213090873527</v>
      </c>
      <c r="AI289" s="20">
        <f ca="1">SUM($C165:AI165)</f>
        <v>-89598.213090873527</v>
      </c>
      <c r="AJ289" s="20">
        <f ca="1">SUM($C165:AJ165)</f>
        <v>-89598.213090873527</v>
      </c>
      <c r="AK289" s="20">
        <f ca="1">SUM($C165:AK165)</f>
        <v>-89598.213090873527</v>
      </c>
      <c r="AL289" s="20">
        <f ca="1">SUM($C165:AL165)</f>
        <v>-89598.213090873527</v>
      </c>
      <c r="AM289" s="20">
        <f ca="1">SUM($C165:AM165)</f>
        <v>-89598.213090873527</v>
      </c>
    </row>
    <row r="290" spans="1:39" x14ac:dyDescent="0.2">
      <c r="A290" s="22" t="str">
        <f>B$188</f>
        <v>Antiques</v>
      </c>
      <c r="B290" s="19"/>
      <c r="C290" s="20">
        <f ca="1">SUM($C182:C182)</f>
        <v>0</v>
      </c>
      <c r="D290" s="20">
        <f ca="1">SUM($C182:D182)</f>
        <v>0</v>
      </c>
      <c r="E290" s="20">
        <f ca="1">SUM($C182:E182)</f>
        <v>0</v>
      </c>
      <c r="F290" s="20">
        <f ca="1">SUM($C182:F182)</f>
        <v>0</v>
      </c>
      <c r="G290" s="20">
        <f ca="1">SUM($C182:G182)</f>
        <v>0</v>
      </c>
      <c r="H290" s="20">
        <f ca="1">SUM($C182:H182)</f>
        <v>0</v>
      </c>
      <c r="I290" s="20">
        <f ca="1">SUM($C182:I182)</f>
        <v>-92041.040793419495</v>
      </c>
      <c r="J290" s="20">
        <f ca="1">SUM($C182:J182)</f>
        <v>-92041.040793419495</v>
      </c>
      <c r="K290" s="20">
        <f ca="1">SUM($C182:K182)</f>
        <v>-92041.040793419495</v>
      </c>
      <c r="L290" s="20">
        <f ca="1">SUM($C182:L182)</f>
        <v>-92041.040793419495</v>
      </c>
      <c r="M290" s="20">
        <f ca="1">SUM($C182:M182)</f>
        <v>-92041.040793419495</v>
      </c>
      <c r="N290" s="20">
        <f ca="1">SUM($C182:N182)</f>
        <v>-92041.040793419495</v>
      </c>
      <c r="O290" s="20">
        <f ca="1">SUM($C182:O182)</f>
        <v>-92041.040793419495</v>
      </c>
      <c r="P290" s="20">
        <f ca="1">SUM($C182:P182)</f>
        <v>-92041.040793419495</v>
      </c>
      <c r="Q290" s="20">
        <f ca="1">SUM($C182:Q182)</f>
        <v>-92041.040793419495</v>
      </c>
      <c r="R290" s="20">
        <f ca="1">SUM($C182:R182)</f>
        <v>-92041.040793419495</v>
      </c>
      <c r="S290" s="20">
        <f ca="1">SUM($C182:S182)</f>
        <v>-92041.040793419495</v>
      </c>
      <c r="T290" s="20">
        <f ca="1">SUM($C182:T182)</f>
        <v>-92041.040793419495</v>
      </c>
      <c r="U290" s="20">
        <f ca="1">SUM($C182:U182)</f>
        <v>-92041.040793419495</v>
      </c>
      <c r="V290" s="20">
        <f ca="1">SUM($C182:V182)</f>
        <v>-92041.040793419495</v>
      </c>
      <c r="W290" s="20">
        <f ca="1">SUM($C182:W182)</f>
        <v>-92041.040793419495</v>
      </c>
      <c r="X290" s="20">
        <f ca="1">SUM($C182:X182)</f>
        <v>-92041.040793419495</v>
      </c>
      <c r="Y290" s="20">
        <f ca="1">SUM($C182:Y182)</f>
        <v>-92041.040793419495</v>
      </c>
      <c r="Z290" s="20">
        <f ca="1">SUM($C182:Z182)</f>
        <v>-92041.040793419495</v>
      </c>
      <c r="AA290" s="20">
        <f ca="1">SUM($C182:AA182)</f>
        <v>-92041.040793419495</v>
      </c>
      <c r="AB290" s="20">
        <f ca="1">SUM($C182:AB182)</f>
        <v>-92041.040793419495</v>
      </c>
      <c r="AC290" s="20">
        <f ca="1">SUM($C182:AC182)</f>
        <v>-92041.040793419495</v>
      </c>
      <c r="AD290" s="20">
        <f ca="1">SUM($C182:AD182)</f>
        <v>-92041.040793419495</v>
      </c>
      <c r="AE290" s="20">
        <f ca="1">SUM($C182:AE182)</f>
        <v>-92041.040793419495</v>
      </c>
      <c r="AF290" s="20">
        <f ca="1">SUM($C182:AF182)</f>
        <v>-92041.040793419495</v>
      </c>
      <c r="AG290" s="20">
        <f ca="1">SUM($C182:AG182)</f>
        <v>-92041.040793419495</v>
      </c>
      <c r="AH290" s="20">
        <f ca="1">SUM($C182:AH182)</f>
        <v>-92041.040793419495</v>
      </c>
      <c r="AI290" s="20">
        <f ca="1">SUM($C182:AI182)</f>
        <v>-92041.040793419495</v>
      </c>
      <c r="AJ290" s="20">
        <f ca="1">SUM($C182:AJ182)</f>
        <v>-92041.040793419495</v>
      </c>
      <c r="AK290" s="20">
        <f ca="1">SUM($C182:AK182)</f>
        <v>-92041.040793419495</v>
      </c>
      <c r="AL290" s="20">
        <f ca="1">SUM($C182:AL182)</f>
        <v>-92041.040793419495</v>
      </c>
      <c r="AM290" s="20">
        <f ca="1">SUM($C182:AM182)</f>
        <v>-92041.040793419495</v>
      </c>
    </row>
    <row r="291" spans="1:39" x14ac:dyDescent="0.2">
      <c r="A291" s="22" t="str">
        <f>B$205</f>
        <v>Marsa</v>
      </c>
      <c r="B291" s="19"/>
      <c r="C291" s="20">
        <f ca="1">SUM($C199:C199)</f>
        <v>0</v>
      </c>
      <c r="D291" s="20">
        <f ca="1">SUM($C199:D199)</f>
        <v>0</v>
      </c>
      <c r="E291" s="20">
        <f ca="1">SUM($C199:E199)</f>
        <v>0</v>
      </c>
      <c r="F291" s="20">
        <f ca="1">SUM($C199:F199)</f>
        <v>0</v>
      </c>
      <c r="G291" s="20">
        <f ca="1">SUM($C199:G199)</f>
        <v>0</v>
      </c>
      <c r="H291" s="20">
        <f ca="1">SUM($C199:H199)</f>
        <v>0</v>
      </c>
      <c r="I291" s="20">
        <f ca="1">SUM($C199:I199)</f>
        <v>0</v>
      </c>
      <c r="J291" s="20">
        <f ca="1">SUM($C199:J199)</f>
        <v>0</v>
      </c>
      <c r="K291" s="20">
        <f ca="1">SUM($C199:K199)</f>
        <v>0</v>
      </c>
      <c r="L291" s="20">
        <f ca="1">SUM($C199:L199)</f>
        <v>-155803.32830978479</v>
      </c>
      <c r="M291" s="20">
        <f ca="1">SUM($C199:M199)</f>
        <v>-155803.32830978479</v>
      </c>
      <c r="N291" s="20">
        <f ca="1">SUM($C199:N199)</f>
        <v>-155803.32830978479</v>
      </c>
      <c r="O291" s="20">
        <f ca="1">SUM($C199:O199)</f>
        <v>-155803.32830978479</v>
      </c>
      <c r="P291" s="20">
        <f ca="1">SUM($C199:P199)</f>
        <v>-155803.32830978479</v>
      </c>
      <c r="Q291" s="20">
        <f ca="1">SUM($C199:Q199)</f>
        <v>-155803.32830978479</v>
      </c>
      <c r="R291" s="20">
        <f ca="1">SUM($C199:R199)</f>
        <v>-155803.32830978479</v>
      </c>
      <c r="S291" s="20">
        <f ca="1">SUM($C199:S199)</f>
        <v>-155803.32830978479</v>
      </c>
      <c r="T291" s="20">
        <f ca="1">SUM($C199:T199)</f>
        <v>-155803.32830978479</v>
      </c>
      <c r="U291" s="20">
        <f ca="1">SUM($C199:U199)</f>
        <v>-155803.32830978479</v>
      </c>
      <c r="V291" s="20">
        <f ca="1">SUM($C199:V199)</f>
        <v>-155803.32830978479</v>
      </c>
      <c r="W291" s="20">
        <f ca="1">SUM($C199:W199)</f>
        <v>-155803.32830978479</v>
      </c>
      <c r="X291" s="20">
        <f ca="1">SUM($C199:X199)</f>
        <v>-155803.32830978479</v>
      </c>
      <c r="Y291" s="20">
        <f ca="1">SUM($C199:Y199)</f>
        <v>-155803.32830978479</v>
      </c>
      <c r="Z291" s="20">
        <f ca="1">SUM($C199:Z199)</f>
        <v>-155803.32830978479</v>
      </c>
      <c r="AA291" s="20">
        <f ca="1">SUM($C199:AA199)</f>
        <v>-155803.32830978479</v>
      </c>
      <c r="AB291" s="20">
        <f ca="1">SUM($C199:AB199)</f>
        <v>-155803.32830978479</v>
      </c>
      <c r="AC291" s="20">
        <f ca="1">SUM($C199:AC199)</f>
        <v>-155803.32830978479</v>
      </c>
      <c r="AD291" s="20">
        <f ca="1">SUM($C199:AD199)</f>
        <v>-155803.32830978479</v>
      </c>
      <c r="AE291" s="20">
        <f ca="1">SUM($C199:AE199)</f>
        <v>-155803.32830978479</v>
      </c>
      <c r="AF291" s="20">
        <f ca="1">SUM($C199:AF199)</f>
        <v>-155803.32830978479</v>
      </c>
      <c r="AG291" s="20">
        <f ca="1">SUM($C199:AG199)</f>
        <v>-155803.32830978479</v>
      </c>
      <c r="AH291" s="20">
        <f ca="1">SUM($C199:AH199)</f>
        <v>-155803.32830978479</v>
      </c>
      <c r="AI291" s="20">
        <f ca="1">SUM($C199:AI199)</f>
        <v>-155803.32830978479</v>
      </c>
      <c r="AJ291" s="20">
        <f ca="1">SUM($C199:AJ199)</f>
        <v>-155803.32830978479</v>
      </c>
      <c r="AK291" s="20">
        <f ca="1">SUM($C199:AK199)</f>
        <v>-155803.32830978479</v>
      </c>
      <c r="AL291" s="20">
        <f ca="1">SUM($C199:AL199)</f>
        <v>-155803.32830978479</v>
      </c>
      <c r="AM291" s="20">
        <f ca="1">SUM($C199:AM199)</f>
        <v>-155803.32830978479</v>
      </c>
    </row>
    <row r="292" spans="1:39" x14ac:dyDescent="0.2">
      <c r="A292" s="22" t="str">
        <f>B$222</f>
        <v>Gzira</v>
      </c>
      <c r="B292" s="19"/>
      <c r="C292" s="20">
        <f ca="1">SUM($C216:C216)</f>
        <v>0</v>
      </c>
      <c r="D292" s="20">
        <f ca="1">SUM($C216:D216)</f>
        <v>0</v>
      </c>
      <c r="E292" s="20">
        <f ca="1">SUM($C216:E216)</f>
        <v>0</v>
      </c>
      <c r="F292" s="20">
        <f ca="1">SUM($C216:F216)</f>
        <v>0</v>
      </c>
      <c r="G292" s="20">
        <f ca="1">SUM($C216:G216)</f>
        <v>0</v>
      </c>
      <c r="H292" s="20">
        <f ca="1">SUM($C216:H216)</f>
        <v>0</v>
      </c>
      <c r="I292" s="20">
        <f ca="1">SUM($C216:I216)</f>
        <v>0</v>
      </c>
      <c r="J292" s="20">
        <f ca="1">SUM($C216:J216)</f>
        <v>0</v>
      </c>
      <c r="K292" s="20">
        <f ca="1">SUM($C216:K216)</f>
        <v>0</v>
      </c>
      <c r="L292" s="20">
        <f ca="1">SUM($C216:L216)</f>
        <v>0</v>
      </c>
      <c r="M292" s="20">
        <f ca="1">SUM($C216:M216)</f>
        <v>0</v>
      </c>
      <c r="N292" s="20">
        <f ca="1">SUM($C216:N216)</f>
        <v>0</v>
      </c>
      <c r="O292" s="20">
        <f ca="1">SUM($C216:O216)</f>
        <v>0</v>
      </c>
      <c r="P292" s="20">
        <f ca="1">SUM($C216:P216)</f>
        <v>0</v>
      </c>
      <c r="Q292" s="20">
        <f ca="1">SUM($C216:Q216)</f>
        <v>-225773.44899898086</v>
      </c>
      <c r="R292" s="20">
        <f ca="1">SUM($C216:R216)</f>
        <v>-225773.44899898086</v>
      </c>
      <c r="S292" s="20">
        <f ca="1">SUM($C216:S216)</f>
        <v>-225773.44899898086</v>
      </c>
      <c r="T292" s="20">
        <f ca="1">SUM($C216:T216)</f>
        <v>-225773.44899898086</v>
      </c>
      <c r="U292" s="20">
        <f ca="1">SUM($C216:U216)</f>
        <v>-225773.44899898086</v>
      </c>
      <c r="V292" s="20">
        <f ca="1">SUM($C216:V216)</f>
        <v>-225773.44899898086</v>
      </c>
      <c r="W292" s="20">
        <f ca="1">SUM($C216:W216)</f>
        <v>-225773.44899898086</v>
      </c>
      <c r="X292" s="20">
        <f ca="1">SUM($C216:X216)</f>
        <v>-225773.44899898086</v>
      </c>
      <c r="Y292" s="20">
        <f ca="1">SUM($C216:Y216)</f>
        <v>-225773.44899898086</v>
      </c>
      <c r="Z292" s="20">
        <f ca="1">SUM($C216:Z216)</f>
        <v>-225773.44899898086</v>
      </c>
      <c r="AA292" s="20">
        <f ca="1">SUM($C216:AA216)</f>
        <v>-225773.44899898086</v>
      </c>
      <c r="AB292" s="20">
        <f ca="1">SUM($C216:AB216)</f>
        <v>-225773.44899898086</v>
      </c>
      <c r="AC292" s="20">
        <f ca="1">SUM($C216:AC216)</f>
        <v>-225773.44899898086</v>
      </c>
      <c r="AD292" s="20">
        <f ca="1">SUM($C216:AD216)</f>
        <v>-225773.44899898086</v>
      </c>
      <c r="AE292" s="20">
        <f ca="1">SUM($C216:AE216)</f>
        <v>-225773.44899898086</v>
      </c>
      <c r="AF292" s="20">
        <f ca="1">SUM($C216:AF216)</f>
        <v>-225773.44899898086</v>
      </c>
      <c r="AG292" s="20">
        <f ca="1">SUM($C216:AG216)</f>
        <v>-225773.44899898086</v>
      </c>
      <c r="AH292" s="20">
        <f ca="1">SUM($C216:AH216)</f>
        <v>-225773.44899898086</v>
      </c>
      <c r="AI292" s="20">
        <f ca="1">SUM($C216:AI216)</f>
        <v>-225773.44899898086</v>
      </c>
      <c r="AJ292" s="20">
        <f ca="1">SUM($C216:AJ216)</f>
        <v>-225773.44899898086</v>
      </c>
      <c r="AK292" s="20">
        <f ca="1">SUM($C216:AK216)</f>
        <v>-225773.44899898086</v>
      </c>
      <c r="AL292" s="20">
        <f ca="1">SUM($C216:AL216)</f>
        <v>-225773.44899898086</v>
      </c>
      <c r="AM292" s="20">
        <f ca="1">SUM($C216:AM216)</f>
        <v>-225773.44899898086</v>
      </c>
    </row>
    <row r="293" spans="1:39" x14ac:dyDescent="0.2">
      <c r="A293" s="22" t="str">
        <f>B$239</f>
        <v>Boat</v>
      </c>
      <c r="B293" s="19"/>
      <c r="C293" s="20">
        <f ca="1">SUM($C233:C233)</f>
        <v>0</v>
      </c>
      <c r="D293" s="20">
        <f ca="1">SUM($C233:D233)</f>
        <v>0</v>
      </c>
      <c r="E293" s="20">
        <f ca="1">SUM($C233:E233)</f>
        <v>0</v>
      </c>
      <c r="F293" s="20">
        <f ca="1">SUM($C233:F233)</f>
        <v>0</v>
      </c>
      <c r="G293" s="20">
        <f ca="1">SUM($C233:G233)</f>
        <v>0</v>
      </c>
      <c r="H293" s="20">
        <f ca="1">SUM($C233:H233)</f>
        <v>0</v>
      </c>
      <c r="I293" s="20">
        <f ca="1">SUM($C233:I233)</f>
        <v>0</v>
      </c>
      <c r="J293" s="20">
        <f ca="1">SUM($C233:J233)</f>
        <v>0</v>
      </c>
      <c r="K293" s="20">
        <f ca="1">SUM($C233:K233)</f>
        <v>0</v>
      </c>
      <c r="L293" s="20">
        <f ca="1">SUM($C233:L233)</f>
        <v>0</v>
      </c>
      <c r="M293" s="20">
        <f ca="1">SUM($C233:M233)</f>
        <v>0</v>
      </c>
      <c r="N293" s="20">
        <f ca="1">SUM($C233:N233)</f>
        <v>0</v>
      </c>
      <c r="O293" s="20">
        <f ca="1">SUM($C233:O233)</f>
        <v>0</v>
      </c>
      <c r="P293" s="20">
        <f ca="1">SUM($C233:P233)</f>
        <v>0</v>
      </c>
      <c r="Q293" s="20">
        <f ca="1">SUM($C233:Q233)</f>
        <v>0</v>
      </c>
      <c r="R293" s="20">
        <f ca="1">SUM($C233:R233)</f>
        <v>0</v>
      </c>
      <c r="S293" s="20">
        <f ca="1">SUM($C233:S233)</f>
        <v>0</v>
      </c>
      <c r="T293" s="20">
        <f ca="1">SUM($C233:T233)</f>
        <v>0</v>
      </c>
      <c r="U293" s="20">
        <f ca="1">SUM($C233:U233)</f>
        <v>0</v>
      </c>
      <c r="V293" s="20">
        <f ca="1">SUM($C233:V233)</f>
        <v>0</v>
      </c>
      <c r="W293" s="20">
        <f ca="1">SUM($C233:W233)</f>
        <v>0</v>
      </c>
      <c r="X293" s="20">
        <f ca="1">SUM($C233:X233)</f>
        <v>0</v>
      </c>
      <c r="Y293" s="20">
        <f ca="1">SUM($C233:Y233)</f>
        <v>0</v>
      </c>
      <c r="Z293" s="20">
        <f ca="1">SUM($C233:Z233)</f>
        <v>-55799.223994082182</v>
      </c>
      <c r="AA293" s="20">
        <f ca="1">SUM($C233:AA233)</f>
        <v>-55799.223994082182</v>
      </c>
      <c r="AB293" s="20">
        <f ca="1">SUM($C233:AB233)</f>
        <v>-55799.223994082182</v>
      </c>
      <c r="AC293" s="20">
        <f ca="1">SUM($C233:AC233)</f>
        <v>-55799.223994082182</v>
      </c>
      <c r="AD293" s="20">
        <f ca="1">SUM($C233:AD233)</f>
        <v>-55799.223994082182</v>
      </c>
      <c r="AE293" s="20">
        <f ca="1">SUM($C233:AE233)</f>
        <v>-55799.223994082182</v>
      </c>
      <c r="AF293" s="20">
        <f ca="1">SUM($C233:AF233)</f>
        <v>-55799.223994082182</v>
      </c>
      <c r="AG293" s="20">
        <f ca="1">SUM($C233:AG233)</f>
        <v>-55799.223994082182</v>
      </c>
      <c r="AH293" s="20">
        <f ca="1">SUM($C233:AH233)</f>
        <v>-55799.223994082182</v>
      </c>
      <c r="AI293" s="20">
        <f ca="1">SUM($C233:AI233)</f>
        <v>-55799.223994082182</v>
      </c>
      <c r="AJ293" s="20">
        <f ca="1">SUM($C233:AJ233)</f>
        <v>-55799.223994082182</v>
      </c>
      <c r="AK293" s="20">
        <f ca="1">SUM($C233:AK233)</f>
        <v>-55799.223994082182</v>
      </c>
      <c r="AL293" s="20">
        <f ca="1">SUM($C233:AL233)</f>
        <v>-55799.223994082182</v>
      </c>
      <c r="AM293" s="20">
        <f ca="1">SUM($C233:AM233)</f>
        <v>-55799.223994082182</v>
      </c>
    </row>
    <row r="294" spans="1:39" x14ac:dyDescent="0.2">
      <c r="A294" s="22" t="str">
        <f>B$256</f>
        <v>Qormi</v>
      </c>
      <c r="B294" s="19"/>
      <c r="C294" s="20">
        <f ca="1">SUM($C250:C250)</f>
        <v>0</v>
      </c>
      <c r="D294" s="20">
        <f ca="1">SUM($C250:D250)</f>
        <v>0</v>
      </c>
      <c r="E294" s="20">
        <f ca="1">SUM($C250:E250)</f>
        <v>0</v>
      </c>
      <c r="F294" s="20">
        <f ca="1">SUM($C250:F250)</f>
        <v>0</v>
      </c>
      <c r="G294" s="20">
        <f ca="1">SUM($C250:G250)</f>
        <v>0</v>
      </c>
      <c r="H294" s="20">
        <f ca="1">SUM($C250:H250)</f>
        <v>0</v>
      </c>
      <c r="I294" s="20">
        <f ca="1">SUM($C250:I250)</f>
        <v>0</v>
      </c>
      <c r="J294" s="20">
        <f ca="1">SUM($C250:J250)</f>
        <v>0</v>
      </c>
      <c r="K294" s="20">
        <f ca="1">SUM($C250:K250)</f>
        <v>0</v>
      </c>
      <c r="L294" s="20">
        <f ca="1">SUM($C250:L250)</f>
        <v>0</v>
      </c>
      <c r="M294" s="20">
        <f ca="1">SUM($C250:M250)</f>
        <v>0</v>
      </c>
      <c r="N294" s="20">
        <f ca="1">SUM($C250:N250)</f>
        <v>0</v>
      </c>
      <c r="O294" s="20">
        <f ca="1">SUM($C250:O250)</f>
        <v>0</v>
      </c>
      <c r="P294" s="20">
        <f ca="1">SUM($C250:P250)</f>
        <v>0</v>
      </c>
      <c r="Q294" s="20">
        <f ca="1">SUM($C250:Q250)</f>
        <v>0</v>
      </c>
      <c r="R294" s="20">
        <f ca="1">SUM($C250:R250)</f>
        <v>0</v>
      </c>
      <c r="S294" s="20">
        <f ca="1">SUM($C250:S250)</f>
        <v>0</v>
      </c>
      <c r="T294" s="20">
        <f ca="1">SUM($C250:T250)</f>
        <v>0</v>
      </c>
      <c r="U294" s="20">
        <f ca="1">SUM($C250:U250)</f>
        <v>0</v>
      </c>
      <c r="V294" s="20">
        <f ca="1">SUM($C250:V250)</f>
        <v>0</v>
      </c>
      <c r="W294" s="20">
        <f ca="1">SUM($C250:W250)</f>
        <v>0</v>
      </c>
      <c r="X294" s="20">
        <f ca="1">SUM($C250:X250)</f>
        <v>0</v>
      </c>
      <c r="Y294" s="20">
        <f ca="1">SUM($C250:Y250)</f>
        <v>0</v>
      </c>
      <c r="Z294" s="20">
        <f ca="1">SUM($C250:Z250)</f>
        <v>0</v>
      </c>
      <c r="AA294" s="20">
        <f ca="1">SUM($C250:AA250)</f>
        <v>-445016.93299175979</v>
      </c>
      <c r="AB294" s="20">
        <f ca="1">SUM($C250:AB250)</f>
        <v>-445016.93299175979</v>
      </c>
      <c r="AC294" s="20">
        <f ca="1">SUM($C250:AC250)</f>
        <v>-445016.93299175979</v>
      </c>
      <c r="AD294" s="20">
        <f ca="1">SUM($C250:AD250)</f>
        <v>-445016.93299175979</v>
      </c>
      <c r="AE294" s="20">
        <f ca="1">SUM($C250:AE250)</f>
        <v>-445016.93299175979</v>
      </c>
      <c r="AF294" s="20">
        <f ca="1">SUM($C250:AF250)</f>
        <v>-445016.93299175979</v>
      </c>
      <c r="AG294" s="20">
        <f ca="1">SUM($C250:AG250)</f>
        <v>-445016.93299175979</v>
      </c>
      <c r="AH294" s="20">
        <f ca="1">SUM($C250:AH250)</f>
        <v>-445016.93299175979</v>
      </c>
      <c r="AI294" s="20">
        <f ca="1">SUM($C250:AI250)</f>
        <v>-445016.93299175979</v>
      </c>
      <c r="AJ294" s="20">
        <f ca="1">SUM($C250:AJ250)</f>
        <v>-445016.93299175979</v>
      </c>
      <c r="AK294" s="20">
        <f ca="1">SUM($C250:AK250)</f>
        <v>-445016.93299175979</v>
      </c>
      <c r="AL294" s="20">
        <f ca="1">SUM($C250:AL250)</f>
        <v>-445016.93299175979</v>
      </c>
      <c r="AM294" s="20">
        <f ca="1">SUM($C250:AM250)</f>
        <v>-445016.93299175979</v>
      </c>
    </row>
    <row r="295" spans="1:39" x14ac:dyDescent="0.2">
      <c r="A295" s="22" t="str">
        <f>B$273</f>
        <v>Sliema</v>
      </c>
      <c r="B295" s="19"/>
      <c r="C295" s="20">
        <f ca="1">SUM($C267:C267)</f>
        <v>0</v>
      </c>
      <c r="D295" s="20">
        <f ca="1">SUM($C267:D267)</f>
        <v>0</v>
      </c>
      <c r="E295" s="20">
        <f ca="1">SUM($C267:E267)</f>
        <v>0</v>
      </c>
      <c r="F295" s="20">
        <f ca="1">SUM($C267:F267)</f>
        <v>0</v>
      </c>
      <c r="G295" s="20">
        <f ca="1">SUM($C267:G267)</f>
        <v>0</v>
      </c>
      <c r="H295" s="20">
        <f ca="1">SUM($C267:H267)</f>
        <v>0</v>
      </c>
      <c r="I295" s="20">
        <f ca="1">SUM($C267:I267)</f>
        <v>0</v>
      </c>
      <c r="J295" s="20">
        <f ca="1">SUM($C267:J267)</f>
        <v>0</v>
      </c>
      <c r="K295" s="20">
        <f ca="1">SUM($C267:K267)</f>
        <v>0</v>
      </c>
      <c r="L295" s="20">
        <f ca="1">SUM($C267:L267)</f>
        <v>0</v>
      </c>
      <c r="M295" s="20">
        <f ca="1">SUM($C267:M267)</f>
        <v>0</v>
      </c>
      <c r="N295" s="20">
        <f ca="1">SUM($C267:N267)</f>
        <v>0</v>
      </c>
      <c r="O295" s="20">
        <f ca="1">SUM($C267:O267)</f>
        <v>0</v>
      </c>
      <c r="P295" s="20">
        <f ca="1">SUM($C267:P267)</f>
        <v>0</v>
      </c>
      <c r="Q295" s="20">
        <f ca="1">SUM($C267:Q267)</f>
        <v>0</v>
      </c>
      <c r="R295" s="20">
        <f ca="1">SUM($C267:R267)</f>
        <v>0</v>
      </c>
      <c r="S295" s="20">
        <f ca="1">SUM($C267:S267)</f>
        <v>0</v>
      </c>
      <c r="T295" s="20">
        <f ca="1">SUM($C267:T267)</f>
        <v>0</v>
      </c>
      <c r="U295" s="20">
        <f ca="1">SUM($C267:U267)</f>
        <v>0</v>
      </c>
      <c r="V295" s="20">
        <f ca="1">SUM($C267:V267)</f>
        <v>0</v>
      </c>
      <c r="W295" s="20">
        <f ca="1">SUM($C267:W267)</f>
        <v>0</v>
      </c>
      <c r="X295" s="20">
        <f ca="1">SUM($C267:X267)</f>
        <v>0</v>
      </c>
      <c r="Y295" s="20">
        <f ca="1">SUM($C267:Y267)</f>
        <v>0</v>
      </c>
      <c r="Z295" s="20">
        <f ca="1">SUM($C267:Z267)</f>
        <v>0</v>
      </c>
      <c r="AA295" s="20">
        <f ca="1">SUM($C267:AA267)</f>
        <v>0</v>
      </c>
      <c r="AB295" s="20">
        <f ca="1">SUM($C267:AB267)</f>
        <v>0</v>
      </c>
      <c r="AC295" s="20">
        <f ca="1">SUM($C267:AC267)</f>
        <v>0</v>
      </c>
      <c r="AD295" s="20">
        <f ca="1">SUM($C267:AD267)</f>
        <v>0</v>
      </c>
      <c r="AE295" s="20">
        <f ca="1">SUM($C267:AE267)</f>
        <v>0</v>
      </c>
      <c r="AF295" s="20">
        <f ca="1">SUM($C267:AF267)</f>
        <v>0</v>
      </c>
      <c r="AG295" s="20">
        <f ca="1">SUM($C267:AG267)</f>
        <v>0</v>
      </c>
      <c r="AH295" s="20">
        <f ca="1">SUM($C267:AH267)</f>
        <v>0</v>
      </c>
      <c r="AI295" s="20">
        <f ca="1">SUM($C267:AI267)</f>
        <v>0</v>
      </c>
      <c r="AJ295" s="20">
        <f ca="1">SUM($C267:AJ267)</f>
        <v>-791790.21888761397</v>
      </c>
      <c r="AK295" s="20">
        <f ca="1">SUM($C267:AK267)</f>
        <v>-791790.21888761397</v>
      </c>
      <c r="AL295" s="20">
        <f ca="1">SUM($C267:AL267)</f>
        <v>-791790.21888761397</v>
      </c>
      <c r="AM295" s="20">
        <f ca="1">SUM($C267:AM267)</f>
        <v>-791790.21888761397</v>
      </c>
    </row>
    <row r="296" spans="1:39" x14ac:dyDescent="0.2">
      <c r="A296" s="21"/>
      <c r="B296" s="19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</row>
    <row r="297" spans="1:39" x14ac:dyDescent="0.2">
      <c r="A297" s="18" t="s">
        <v>196</v>
      </c>
      <c r="B297" s="19"/>
      <c r="C297" s="20"/>
      <c r="D297" s="91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</row>
    <row r="298" spans="1:39" x14ac:dyDescent="0.2">
      <c r="A298" s="22" t="str">
        <f>$A69</f>
        <v>Sliema</v>
      </c>
      <c r="B298" s="19"/>
      <c r="C298" s="20">
        <f t="shared" ref="C298:AM302" ca="1" si="167">IFERROR(IF(VLOOKUP($A298,$285:$295,C$1+2,FALSE)=0,C69,0),C69)</f>
        <v>307481.46526147495</v>
      </c>
      <c r="D298" s="20">
        <f t="shared" ca="1" si="167"/>
        <v>316705.90921931923</v>
      </c>
      <c r="E298" s="20">
        <f t="shared" ca="1" si="167"/>
        <v>326207.08649589884</v>
      </c>
      <c r="F298" s="20">
        <f t="shared" ca="1" si="167"/>
        <v>335993.29909077584</v>
      </c>
      <c r="G298" s="20">
        <f t="shared" ca="1" si="167"/>
        <v>346073.09806349914</v>
      </c>
      <c r="H298" s="20">
        <f t="shared" ca="1" si="167"/>
        <v>356455.29100540414</v>
      </c>
      <c r="I298" s="20">
        <f t="shared" ca="1" si="167"/>
        <v>367148.94973556628</v>
      </c>
      <c r="J298" s="20">
        <f t="shared" ca="1" si="167"/>
        <v>378163.41822763329</v>
      </c>
      <c r="K298" s="20">
        <f t="shared" ca="1" si="167"/>
        <v>389508.32077446231</v>
      </c>
      <c r="L298" s="20">
        <f t="shared" ca="1" si="167"/>
        <v>401193.57039769617</v>
      </c>
      <c r="M298" s="20">
        <f t="shared" ca="1" si="167"/>
        <v>413229.37750962708</v>
      </c>
      <c r="N298" s="20">
        <f t="shared" ca="1" si="167"/>
        <v>425626.25883491593</v>
      </c>
      <c r="O298" s="20">
        <f t="shared" ca="1" si="167"/>
        <v>438395.04659996345</v>
      </c>
      <c r="P298" s="20">
        <f t="shared" ca="1" si="167"/>
        <v>451546.89799796237</v>
      </c>
      <c r="Q298" s="20">
        <f t="shared" ca="1" si="167"/>
        <v>465093.30493790127</v>
      </c>
      <c r="R298" s="20">
        <f t="shared" ca="1" si="167"/>
        <v>479046.10408603831</v>
      </c>
      <c r="S298" s="20">
        <f t="shared" ca="1" si="167"/>
        <v>493417.48720861948</v>
      </c>
      <c r="T298" s="20">
        <f t="shared" ca="1" si="167"/>
        <v>508220.01182487811</v>
      </c>
      <c r="U298" s="20">
        <f t="shared" ca="1" si="167"/>
        <v>523466.61217962444</v>
      </c>
      <c r="V298" s="20">
        <f t="shared" ca="1" si="167"/>
        <v>539170.61054501322</v>
      </c>
      <c r="W298" s="20">
        <f t="shared" ca="1" si="167"/>
        <v>555345.7288613636</v>
      </c>
      <c r="X298" s="20">
        <f t="shared" ca="1" si="167"/>
        <v>572006.10072720458</v>
      </c>
      <c r="Y298" s="20">
        <f t="shared" ca="1" si="167"/>
        <v>589166.28374902077</v>
      </c>
      <c r="Z298" s="20">
        <f t="shared" ca="1" si="167"/>
        <v>606841.27226149139</v>
      </c>
      <c r="AA298" s="20">
        <f t="shared" ca="1" si="167"/>
        <v>625046.51042933611</v>
      </c>
      <c r="AB298" s="20">
        <f t="shared" ca="1" si="167"/>
        <v>643797.90574221616</v>
      </c>
      <c r="AC298" s="20">
        <f t="shared" ca="1" si="167"/>
        <v>663111.8429144827</v>
      </c>
      <c r="AD298" s="20">
        <f t="shared" ca="1" si="167"/>
        <v>683005.19820191723</v>
      </c>
      <c r="AE298" s="20">
        <f t="shared" ca="1" si="167"/>
        <v>703495.35414797475</v>
      </c>
      <c r="AF298" s="20">
        <f t="shared" ca="1" si="167"/>
        <v>724600.21477241407</v>
      </c>
      <c r="AG298" s="20">
        <f t="shared" ca="1" si="167"/>
        <v>746338.22121558653</v>
      </c>
      <c r="AH298" s="20">
        <f t="shared" ca="1" si="167"/>
        <v>768728.36785205419</v>
      </c>
      <c r="AI298" s="20">
        <f t="shared" ca="1" si="167"/>
        <v>791790.21888761583</v>
      </c>
      <c r="AJ298" s="20">
        <f t="shared" ca="1" si="167"/>
        <v>0</v>
      </c>
      <c r="AK298" s="20">
        <f t="shared" ca="1" si="167"/>
        <v>0</v>
      </c>
      <c r="AL298" s="20">
        <f t="shared" ca="1" si="167"/>
        <v>0</v>
      </c>
      <c r="AM298" s="20">
        <f t="shared" ca="1" si="167"/>
        <v>0</v>
      </c>
    </row>
    <row r="299" spans="1:39" x14ac:dyDescent="0.2">
      <c r="A299" s="22" t="str">
        <f>$A70</f>
        <v>Gzira</v>
      </c>
      <c r="B299" s="19"/>
      <c r="C299" s="20">
        <f t="shared" ca="1" si="167"/>
        <v>153740.73263073748</v>
      </c>
      <c r="D299" s="20">
        <f t="shared" ca="1" si="167"/>
        <v>158352.95460965962</v>
      </c>
      <c r="E299" s="20">
        <f t="shared" ca="1" si="167"/>
        <v>163103.54324794942</v>
      </c>
      <c r="F299" s="20">
        <f t="shared" ca="1" si="167"/>
        <v>167996.64954538792</v>
      </c>
      <c r="G299" s="20">
        <f t="shared" ca="1" si="167"/>
        <v>173036.54903174957</v>
      </c>
      <c r="H299" s="20">
        <f t="shared" ca="1" si="167"/>
        <v>178227.64550270207</v>
      </c>
      <c r="I299" s="20">
        <f t="shared" ca="1" si="167"/>
        <v>183574.47486778314</v>
      </c>
      <c r="J299" s="20">
        <f t="shared" ca="1" si="167"/>
        <v>189081.70911381664</v>
      </c>
      <c r="K299" s="20">
        <f t="shared" ca="1" si="167"/>
        <v>194754.16038723115</v>
      </c>
      <c r="L299" s="20">
        <f t="shared" ca="1" si="167"/>
        <v>200596.78519884808</v>
      </c>
      <c r="M299" s="20">
        <f t="shared" ca="1" si="167"/>
        <v>206614.68875481354</v>
      </c>
      <c r="N299" s="20">
        <f t="shared" ca="1" si="167"/>
        <v>212813.12941745797</v>
      </c>
      <c r="O299" s="20">
        <f t="shared" ca="1" si="167"/>
        <v>219197.52329998172</v>
      </c>
      <c r="P299" s="20">
        <f t="shared" ca="1" si="167"/>
        <v>225773.44899898118</v>
      </c>
      <c r="Q299" s="20">
        <f t="shared" ca="1" si="167"/>
        <v>0</v>
      </c>
      <c r="R299" s="20">
        <f t="shared" ca="1" si="167"/>
        <v>0</v>
      </c>
      <c r="S299" s="20">
        <f t="shared" ca="1" si="167"/>
        <v>0</v>
      </c>
      <c r="T299" s="20">
        <f t="shared" ca="1" si="167"/>
        <v>0</v>
      </c>
      <c r="U299" s="20">
        <f t="shared" ca="1" si="167"/>
        <v>0</v>
      </c>
      <c r="V299" s="20">
        <f t="shared" ca="1" si="167"/>
        <v>0</v>
      </c>
      <c r="W299" s="20">
        <f t="shared" ca="1" si="167"/>
        <v>0</v>
      </c>
      <c r="X299" s="20">
        <f t="shared" ca="1" si="167"/>
        <v>0</v>
      </c>
      <c r="Y299" s="20">
        <f t="shared" ca="1" si="167"/>
        <v>0</v>
      </c>
      <c r="Z299" s="20">
        <f t="shared" ca="1" si="167"/>
        <v>0</v>
      </c>
      <c r="AA299" s="20">
        <f t="shared" ca="1" si="167"/>
        <v>0</v>
      </c>
      <c r="AB299" s="20">
        <f t="shared" ca="1" si="167"/>
        <v>0</v>
      </c>
      <c r="AC299" s="20">
        <f t="shared" ca="1" si="167"/>
        <v>0</v>
      </c>
      <c r="AD299" s="20">
        <f t="shared" ca="1" si="167"/>
        <v>0</v>
      </c>
      <c r="AE299" s="20">
        <f t="shared" ca="1" si="167"/>
        <v>0</v>
      </c>
      <c r="AF299" s="20">
        <f t="shared" ca="1" si="167"/>
        <v>0</v>
      </c>
      <c r="AG299" s="20">
        <f t="shared" ca="1" si="167"/>
        <v>0</v>
      </c>
      <c r="AH299" s="20">
        <f t="shared" ca="1" si="167"/>
        <v>0</v>
      </c>
      <c r="AI299" s="20">
        <f t="shared" ca="1" si="167"/>
        <v>0</v>
      </c>
      <c r="AJ299" s="20">
        <f t="shared" ca="1" si="167"/>
        <v>0</v>
      </c>
      <c r="AK299" s="20">
        <f t="shared" ca="1" si="167"/>
        <v>0</v>
      </c>
      <c r="AL299" s="20">
        <f t="shared" ca="1" si="167"/>
        <v>0</v>
      </c>
      <c r="AM299" s="20">
        <f t="shared" ca="1" si="167"/>
        <v>0</v>
      </c>
    </row>
    <row r="300" spans="1:39" x14ac:dyDescent="0.2">
      <c r="A300" s="22" t="str">
        <f>$A71</f>
        <v>Qormi</v>
      </c>
      <c r="B300" s="19"/>
      <c r="C300" s="20">
        <f t="shared" ca="1" si="167"/>
        <v>225486.40785841495</v>
      </c>
      <c r="D300" s="20">
        <f t="shared" ca="1" si="167"/>
        <v>232251.00009416742</v>
      </c>
      <c r="E300" s="20">
        <f t="shared" ca="1" si="167"/>
        <v>239218.53009699244</v>
      </c>
      <c r="F300" s="20">
        <f t="shared" ca="1" si="167"/>
        <v>246395.08599990222</v>
      </c>
      <c r="G300" s="20">
        <f t="shared" ca="1" si="167"/>
        <v>253786.93857989929</v>
      </c>
      <c r="H300" s="20">
        <f t="shared" ca="1" si="167"/>
        <v>261400.54673729627</v>
      </c>
      <c r="I300" s="20">
        <f t="shared" ca="1" si="167"/>
        <v>269242.56313941517</v>
      </c>
      <c r="J300" s="20">
        <f t="shared" ca="1" si="167"/>
        <v>277319.84003359766</v>
      </c>
      <c r="K300" s="20">
        <f t="shared" ca="1" si="167"/>
        <v>285639.43523460563</v>
      </c>
      <c r="L300" s="20">
        <f t="shared" ca="1" si="167"/>
        <v>294208.6182916438</v>
      </c>
      <c r="M300" s="20">
        <f t="shared" ca="1" si="167"/>
        <v>303034.87684039312</v>
      </c>
      <c r="N300" s="20">
        <f t="shared" ca="1" si="167"/>
        <v>312125.9231456049</v>
      </c>
      <c r="O300" s="20">
        <f t="shared" ca="1" si="167"/>
        <v>321489.70083997305</v>
      </c>
      <c r="P300" s="20">
        <f t="shared" ca="1" si="167"/>
        <v>331134.39186517225</v>
      </c>
      <c r="Q300" s="20">
        <f t="shared" ca="1" si="167"/>
        <v>341068.42362112744</v>
      </c>
      <c r="R300" s="20">
        <f t="shared" ca="1" si="167"/>
        <v>351300.47632976127</v>
      </c>
      <c r="S300" s="20">
        <f t="shared" ca="1" si="167"/>
        <v>361839.49061965413</v>
      </c>
      <c r="T300" s="20">
        <f t="shared" ca="1" si="167"/>
        <v>372694.67533824377</v>
      </c>
      <c r="U300" s="20">
        <f t="shared" ca="1" si="167"/>
        <v>383875.51559839112</v>
      </c>
      <c r="V300" s="20">
        <f t="shared" ca="1" si="167"/>
        <v>395391.7810663429</v>
      </c>
      <c r="W300" s="20">
        <f t="shared" ca="1" si="167"/>
        <v>407253.53449833317</v>
      </c>
      <c r="X300" s="20">
        <f t="shared" ca="1" si="167"/>
        <v>419471.14053328318</v>
      </c>
      <c r="Y300" s="20">
        <f t="shared" ca="1" si="167"/>
        <v>432055.2747492817</v>
      </c>
      <c r="Z300" s="20">
        <f t="shared" ca="1" si="167"/>
        <v>445016.93299176014</v>
      </c>
      <c r="AA300" s="20">
        <f t="shared" ca="1" si="167"/>
        <v>0</v>
      </c>
      <c r="AB300" s="20">
        <f t="shared" ca="1" si="167"/>
        <v>0</v>
      </c>
      <c r="AC300" s="20">
        <f t="shared" ca="1" si="167"/>
        <v>0</v>
      </c>
      <c r="AD300" s="20">
        <f t="shared" ca="1" si="167"/>
        <v>0</v>
      </c>
      <c r="AE300" s="20">
        <f t="shared" ca="1" si="167"/>
        <v>0</v>
      </c>
      <c r="AF300" s="20">
        <f t="shared" ca="1" si="167"/>
        <v>0</v>
      </c>
      <c r="AG300" s="20">
        <f t="shared" ca="1" si="167"/>
        <v>0</v>
      </c>
      <c r="AH300" s="20">
        <f t="shared" ca="1" si="167"/>
        <v>0</v>
      </c>
      <c r="AI300" s="20">
        <f t="shared" ca="1" si="167"/>
        <v>0</v>
      </c>
      <c r="AJ300" s="20">
        <f t="shared" ca="1" si="167"/>
        <v>0</v>
      </c>
      <c r="AK300" s="20">
        <f t="shared" ca="1" si="167"/>
        <v>0</v>
      </c>
      <c r="AL300" s="20">
        <f t="shared" ca="1" si="167"/>
        <v>0</v>
      </c>
      <c r="AM300" s="20">
        <f t="shared" ca="1" si="167"/>
        <v>0</v>
      </c>
    </row>
    <row r="301" spans="1:39" x14ac:dyDescent="0.2">
      <c r="A301" s="22" t="str">
        <f>$A72</f>
        <v>Gudja</v>
      </c>
      <c r="B301" s="19"/>
      <c r="C301" s="20">
        <f t="shared" ca="1" si="167"/>
        <v>81995.057403059982</v>
      </c>
      <c r="D301" s="20">
        <f t="shared" ca="1" si="167"/>
        <v>84454.909125151782</v>
      </c>
      <c r="E301" s="20">
        <f t="shared" ca="1" si="167"/>
        <v>86988.556398906338</v>
      </c>
      <c r="F301" s="20">
        <f t="shared" ca="1" si="167"/>
        <v>89598.213090873527</v>
      </c>
      <c r="G301" s="20">
        <f t="shared" ca="1" si="167"/>
        <v>0</v>
      </c>
      <c r="H301" s="20">
        <f t="shared" ca="1" si="167"/>
        <v>0</v>
      </c>
      <c r="I301" s="20">
        <f t="shared" ca="1" si="167"/>
        <v>0</v>
      </c>
      <c r="J301" s="20">
        <f t="shared" ca="1" si="167"/>
        <v>0</v>
      </c>
      <c r="K301" s="20">
        <f t="shared" ca="1" si="167"/>
        <v>0</v>
      </c>
      <c r="L301" s="20">
        <f t="shared" ca="1" si="167"/>
        <v>0</v>
      </c>
      <c r="M301" s="20">
        <f t="shared" ca="1" si="167"/>
        <v>0</v>
      </c>
      <c r="N301" s="20">
        <f t="shared" ca="1" si="167"/>
        <v>0</v>
      </c>
      <c r="O301" s="20">
        <f t="shared" ca="1" si="167"/>
        <v>0</v>
      </c>
      <c r="P301" s="20">
        <f t="shared" ca="1" si="167"/>
        <v>0</v>
      </c>
      <c r="Q301" s="20">
        <f t="shared" ca="1" si="167"/>
        <v>0</v>
      </c>
      <c r="R301" s="20">
        <f t="shared" ca="1" si="167"/>
        <v>0</v>
      </c>
      <c r="S301" s="20">
        <f t="shared" ca="1" si="167"/>
        <v>0</v>
      </c>
      <c r="T301" s="20">
        <f t="shared" ca="1" si="167"/>
        <v>0</v>
      </c>
      <c r="U301" s="20">
        <f t="shared" ca="1" si="167"/>
        <v>0</v>
      </c>
      <c r="V301" s="20">
        <f t="shared" ca="1" si="167"/>
        <v>0</v>
      </c>
      <c r="W301" s="20">
        <f t="shared" ca="1" si="167"/>
        <v>0</v>
      </c>
      <c r="X301" s="20">
        <f t="shared" ca="1" si="167"/>
        <v>0</v>
      </c>
      <c r="Y301" s="20">
        <f t="shared" ca="1" si="167"/>
        <v>0</v>
      </c>
      <c r="Z301" s="20">
        <f t="shared" ca="1" si="167"/>
        <v>0</v>
      </c>
      <c r="AA301" s="20">
        <f t="shared" ca="1" si="167"/>
        <v>0</v>
      </c>
      <c r="AB301" s="20">
        <f t="shared" ca="1" si="167"/>
        <v>0</v>
      </c>
      <c r="AC301" s="20">
        <f t="shared" ca="1" si="167"/>
        <v>0</v>
      </c>
      <c r="AD301" s="20">
        <f t="shared" ca="1" si="167"/>
        <v>0</v>
      </c>
      <c r="AE301" s="20">
        <f t="shared" ca="1" si="167"/>
        <v>0</v>
      </c>
      <c r="AF301" s="20">
        <f t="shared" ca="1" si="167"/>
        <v>0</v>
      </c>
      <c r="AG301" s="20">
        <f t="shared" ca="1" si="167"/>
        <v>0</v>
      </c>
      <c r="AH301" s="20">
        <f t="shared" ca="1" si="167"/>
        <v>0</v>
      </c>
      <c r="AI301" s="20">
        <f t="shared" ca="1" si="167"/>
        <v>0</v>
      </c>
      <c r="AJ301" s="20">
        <f t="shared" ca="1" si="167"/>
        <v>0</v>
      </c>
      <c r="AK301" s="20">
        <f t="shared" ca="1" si="167"/>
        <v>0</v>
      </c>
      <c r="AL301" s="20">
        <f t="shared" ca="1" si="167"/>
        <v>0</v>
      </c>
      <c r="AM301" s="20">
        <f t="shared" ca="1" si="167"/>
        <v>0</v>
      </c>
    </row>
    <row r="302" spans="1:39" x14ac:dyDescent="0.2">
      <c r="A302" s="22" t="str">
        <f>$A73</f>
        <v>Marsa</v>
      </c>
      <c r="B302" s="19"/>
      <c r="C302" s="20">
        <f t="shared" ca="1" si="167"/>
        <v>122992.58610458997</v>
      </c>
      <c r="D302" s="20">
        <f t="shared" ca="1" si="167"/>
        <v>126682.36368772767</v>
      </c>
      <c r="E302" s="20">
        <f t="shared" ca="1" si="167"/>
        <v>130482.83459835951</v>
      </c>
      <c r="F302" s="20">
        <f t="shared" ca="1" si="167"/>
        <v>134397.31963631031</v>
      </c>
      <c r="G302" s="20">
        <f t="shared" ca="1" si="167"/>
        <v>138429.23922539962</v>
      </c>
      <c r="H302" s="20">
        <f t="shared" ca="1" si="167"/>
        <v>142582.11640216163</v>
      </c>
      <c r="I302" s="20">
        <f t="shared" ca="1" si="167"/>
        <v>146859.57989422648</v>
      </c>
      <c r="J302" s="20">
        <f t="shared" ca="1" si="167"/>
        <v>151265.36729105329</v>
      </c>
      <c r="K302" s="20">
        <f t="shared" ca="1" si="167"/>
        <v>155803.32830978491</v>
      </c>
      <c r="L302" s="20">
        <f t="shared" ca="1" si="167"/>
        <v>0</v>
      </c>
      <c r="M302" s="20">
        <f t="shared" ca="1" si="167"/>
        <v>0</v>
      </c>
      <c r="N302" s="20">
        <f t="shared" ca="1" si="167"/>
        <v>0</v>
      </c>
      <c r="O302" s="20">
        <f t="shared" ca="1" si="167"/>
        <v>0</v>
      </c>
      <c r="P302" s="20">
        <f t="shared" ca="1" si="167"/>
        <v>0</v>
      </c>
      <c r="Q302" s="20">
        <f t="shared" ca="1" si="167"/>
        <v>0</v>
      </c>
      <c r="R302" s="20">
        <f t="shared" ca="1" si="167"/>
        <v>0</v>
      </c>
      <c r="S302" s="20">
        <f t="shared" ca="1" si="167"/>
        <v>0</v>
      </c>
      <c r="T302" s="20">
        <f t="shared" ca="1" si="167"/>
        <v>0</v>
      </c>
      <c r="U302" s="20">
        <f t="shared" ca="1" si="167"/>
        <v>0</v>
      </c>
      <c r="V302" s="20">
        <f t="shared" ca="1" si="167"/>
        <v>0</v>
      </c>
      <c r="W302" s="20">
        <f t="shared" ca="1" si="167"/>
        <v>0</v>
      </c>
      <c r="X302" s="20">
        <f t="shared" ca="1" si="167"/>
        <v>0</v>
      </c>
      <c r="Y302" s="20">
        <f t="shared" ca="1" si="167"/>
        <v>0</v>
      </c>
      <c r="Z302" s="20">
        <f t="shared" ca="1" si="167"/>
        <v>0</v>
      </c>
      <c r="AA302" s="20">
        <f t="shared" ca="1" si="167"/>
        <v>0</v>
      </c>
      <c r="AB302" s="20">
        <f t="shared" ca="1" si="167"/>
        <v>0</v>
      </c>
      <c r="AC302" s="20">
        <f t="shared" ca="1" si="167"/>
        <v>0</v>
      </c>
      <c r="AD302" s="20">
        <f t="shared" ca="1" si="167"/>
        <v>0</v>
      </c>
      <c r="AE302" s="20">
        <f t="shared" ca="1" si="167"/>
        <v>0</v>
      </c>
      <c r="AF302" s="20">
        <f t="shared" ca="1" si="167"/>
        <v>0</v>
      </c>
      <c r="AG302" s="20">
        <f t="shared" ca="1" si="167"/>
        <v>0</v>
      </c>
      <c r="AH302" s="20">
        <f t="shared" ca="1" si="167"/>
        <v>0</v>
      </c>
      <c r="AI302" s="20">
        <f t="shared" ca="1" si="167"/>
        <v>0</v>
      </c>
      <c r="AJ302" s="20">
        <f t="shared" ca="1" si="167"/>
        <v>0</v>
      </c>
      <c r="AK302" s="20">
        <f t="shared" ca="1" si="167"/>
        <v>0</v>
      </c>
      <c r="AL302" s="20">
        <f t="shared" ca="1" si="167"/>
        <v>0</v>
      </c>
      <c r="AM302" s="20">
        <f t="shared" ca="1" si="167"/>
        <v>0</v>
      </c>
    </row>
    <row r="303" spans="1:39" x14ac:dyDescent="0.2">
      <c r="A303" s="22" t="str">
        <f>A75</f>
        <v>Jewelry</v>
      </c>
      <c r="B303" s="19"/>
      <c r="C303" s="20">
        <f t="shared" ref="C303:AM307" ca="1" si="168">IFERROR(IF(VLOOKUP($A303,$285:$295,C$1+2,FALSE)=0,C75,0),C75)</f>
        <v>50831.955131348885</v>
      </c>
      <c r="D303" s="20">
        <f t="shared" ca="1" si="168"/>
        <v>51848.594233975862</v>
      </c>
      <c r="E303" s="20">
        <f t="shared" ca="1" si="168"/>
        <v>52885.566118655377</v>
      </c>
      <c r="F303" s="20">
        <f t="shared" ca="1" si="168"/>
        <v>0</v>
      </c>
      <c r="G303" s="20">
        <f t="shared" ca="1" si="168"/>
        <v>0</v>
      </c>
      <c r="H303" s="20">
        <f t="shared" ca="1" si="168"/>
        <v>0</v>
      </c>
      <c r="I303" s="20">
        <f t="shared" ca="1" si="168"/>
        <v>0</v>
      </c>
      <c r="J303" s="20">
        <f t="shared" ca="1" si="168"/>
        <v>0</v>
      </c>
      <c r="K303" s="20">
        <f t="shared" ca="1" si="168"/>
        <v>0</v>
      </c>
      <c r="L303" s="20">
        <f t="shared" ca="1" si="168"/>
        <v>0</v>
      </c>
      <c r="M303" s="20">
        <f t="shared" ca="1" si="168"/>
        <v>0</v>
      </c>
      <c r="N303" s="20">
        <f t="shared" ca="1" si="168"/>
        <v>0</v>
      </c>
      <c r="O303" s="20">
        <f t="shared" ca="1" si="168"/>
        <v>0</v>
      </c>
      <c r="P303" s="20">
        <f t="shared" ca="1" si="168"/>
        <v>0</v>
      </c>
      <c r="Q303" s="20">
        <f t="shared" ca="1" si="168"/>
        <v>0</v>
      </c>
      <c r="R303" s="20">
        <f t="shared" ca="1" si="168"/>
        <v>0</v>
      </c>
      <c r="S303" s="20">
        <f t="shared" ca="1" si="168"/>
        <v>0</v>
      </c>
      <c r="T303" s="20">
        <f t="shared" ca="1" si="168"/>
        <v>0</v>
      </c>
      <c r="U303" s="20">
        <f t="shared" ca="1" si="168"/>
        <v>0</v>
      </c>
      <c r="V303" s="20">
        <f t="shared" ca="1" si="168"/>
        <v>0</v>
      </c>
      <c r="W303" s="20">
        <f t="shared" ca="1" si="168"/>
        <v>0</v>
      </c>
      <c r="X303" s="20">
        <f t="shared" ca="1" si="168"/>
        <v>0</v>
      </c>
      <c r="Y303" s="20">
        <f t="shared" ca="1" si="168"/>
        <v>0</v>
      </c>
      <c r="Z303" s="20">
        <f t="shared" ca="1" si="168"/>
        <v>0</v>
      </c>
      <c r="AA303" s="20">
        <f t="shared" ca="1" si="168"/>
        <v>0</v>
      </c>
      <c r="AB303" s="20">
        <f t="shared" ca="1" si="168"/>
        <v>0</v>
      </c>
      <c r="AC303" s="20">
        <f t="shared" ca="1" si="168"/>
        <v>0</v>
      </c>
      <c r="AD303" s="20">
        <f t="shared" ca="1" si="168"/>
        <v>0</v>
      </c>
      <c r="AE303" s="20">
        <f t="shared" ca="1" si="168"/>
        <v>0</v>
      </c>
      <c r="AF303" s="20">
        <f t="shared" ca="1" si="168"/>
        <v>0</v>
      </c>
      <c r="AG303" s="20">
        <f t="shared" ca="1" si="168"/>
        <v>0</v>
      </c>
      <c r="AH303" s="20">
        <f t="shared" ca="1" si="168"/>
        <v>0</v>
      </c>
      <c r="AI303" s="20">
        <f t="shared" ca="1" si="168"/>
        <v>0</v>
      </c>
      <c r="AJ303" s="20">
        <f t="shared" ca="1" si="168"/>
        <v>0</v>
      </c>
      <c r="AK303" s="20">
        <f t="shared" ca="1" si="168"/>
        <v>0</v>
      </c>
      <c r="AL303" s="20">
        <f t="shared" ca="1" si="168"/>
        <v>0</v>
      </c>
      <c r="AM303" s="20">
        <f t="shared" ca="1" si="168"/>
        <v>0</v>
      </c>
    </row>
    <row r="304" spans="1:39" x14ac:dyDescent="0.2">
      <c r="A304" s="22" t="str">
        <f>A76</f>
        <v>Car</v>
      </c>
      <c r="B304" s="19"/>
      <c r="C304" s="20">
        <f t="shared" ca="1" si="168"/>
        <v>38326.250080955608</v>
      </c>
      <c r="D304" s="20">
        <f t="shared" ca="1" si="168"/>
        <v>36409.937576907825</v>
      </c>
      <c r="E304" s="20">
        <f t="shared" ca="1" si="168"/>
        <v>34589.440698062434</v>
      </c>
      <c r="F304" s="20">
        <f t="shared" ca="1" si="168"/>
        <v>0</v>
      </c>
      <c r="G304" s="20">
        <f t="shared" ca="1" si="168"/>
        <v>0</v>
      </c>
      <c r="H304" s="20">
        <f t="shared" ca="1" si="168"/>
        <v>0</v>
      </c>
      <c r="I304" s="20">
        <f t="shared" ca="1" si="168"/>
        <v>0</v>
      </c>
      <c r="J304" s="20">
        <f t="shared" ca="1" si="168"/>
        <v>0</v>
      </c>
      <c r="K304" s="20">
        <f t="shared" ca="1" si="168"/>
        <v>0</v>
      </c>
      <c r="L304" s="20">
        <f t="shared" ca="1" si="168"/>
        <v>0</v>
      </c>
      <c r="M304" s="20">
        <f t="shared" ca="1" si="168"/>
        <v>0</v>
      </c>
      <c r="N304" s="20">
        <f t="shared" ca="1" si="168"/>
        <v>0</v>
      </c>
      <c r="O304" s="20">
        <f t="shared" ca="1" si="168"/>
        <v>0</v>
      </c>
      <c r="P304" s="20">
        <f t="shared" ca="1" si="168"/>
        <v>0</v>
      </c>
      <c r="Q304" s="20">
        <f t="shared" ca="1" si="168"/>
        <v>0</v>
      </c>
      <c r="R304" s="20">
        <f t="shared" ca="1" si="168"/>
        <v>0</v>
      </c>
      <c r="S304" s="20">
        <f t="shared" ca="1" si="168"/>
        <v>0</v>
      </c>
      <c r="T304" s="20">
        <f t="shared" ca="1" si="168"/>
        <v>0</v>
      </c>
      <c r="U304" s="20">
        <f t="shared" ca="1" si="168"/>
        <v>0</v>
      </c>
      <c r="V304" s="20">
        <f t="shared" ca="1" si="168"/>
        <v>0</v>
      </c>
      <c r="W304" s="20">
        <f t="shared" ca="1" si="168"/>
        <v>0</v>
      </c>
      <c r="X304" s="20">
        <f t="shared" ca="1" si="168"/>
        <v>0</v>
      </c>
      <c r="Y304" s="20">
        <f t="shared" ca="1" si="168"/>
        <v>0</v>
      </c>
      <c r="Z304" s="20">
        <f t="shared" ca="1" si="168"/>
        <v>0</v>
      </c>
      <c r="AA304" s="20">
        <f t="shared" ca="1" si="168"/>
        <v>0</v>
      </c>
      <c r="AB304" s="20">
        <f t="shared" ca="1" si="168"/>
        <v>0</v>
      </c>
      <c r="AC304" s="20">
        <f t="shared" ca="1" si="168"/>
        <v>0</v>
      </c>
      <c r="AD304" s="20">
        <f t="shared" ca="1" si="168"/>
        <v>0</v>
      </c>
      <c r="AE304" s="20">
        <f t="shared" ca="1" si="168"/>
        <v>0</v>
      </c>
      <c r="AF304" s="20">
        <f t="shared" ca="1" si="168"/>
        <v>0</v>
      </c>
      <c r="AG304" s="20">
        <f t="shared" ca="1" si="168"/>
        <v>0</v>
      </c>
      <c r="AH304" s="20">
        <f t="shared" ca="1" si="168"/>
        <v>0</v>
      </c>
      <c r="AI304" s="20">
        <f t="shared" ca="1" si="168"/>
        <v>0</v>
      </c>
      <c r="AJ304" s="20">
        <f t="shared" ca="1" si="168"/>
        <v>0</v>
      </c>
      <c r="AK304" s="20">
        <f t="shared" ca="1" si="168"/>
        <v>0</v>
      </c>
      <c r="AL304" s="20">
        <f t="shared" ca="1" si="168"/>
        <v>0</v>
      </c>
      <c r="AM304" s="20">
        <f t="shared" ca="1" si="168"/>
        <v>0</v>
      </c>
    </row>
    <row r="305" spans="1:39" x14ac:dyDescent="0.2">
      <c r="A305" s="22" t="str">
        <f>A77</f>
        <v>Painting</v>
      </c>
      <c r="B305" s="19"/>
      <c r="C305" s="20">
        <f t="shared" ca="1" si="168"/>
        <v>20498.764350764995</v>
      </c>
      <c r="D305" s="20">
        <f t="shared" ca="1" si="168"/>
        <v>21113.727281287946</v>
      </c>
      <c r="E305" s="20">
        <f t="shared" ca="1" si="168"/>
        <v>0</v>
      </c>
      <c r="F305" s="20">
        <f t="shared" ca="1" si="168"/>
        <v>0</v>
      </c>
      <c r="G305" s="20">
        <f t="shared" ca="1" si="168"/>
        <v>0</v>
      </c>
      <c r="H305" s="20">
        <f t="shared" ca="1" si="168"/>
        <v>0</v>
      </c>
      <c r="I305" s="20">
        <f t="shared" ca="1" si="168"/>
        <v>0</v>
      </c>
      <c r="J305" s="20">
        <f t="shared" ca="1" si="168"/>
        <v>0</v>
      </c>
      <c r="K305" s="20">
        <f t="shared" ca="1" si="168"/>
        <v>0</v>
      </c>
      <c r="L305" s="20">
        <f t="shared" ca="1" si="168"/>
        <v>0</v>
      </c>
      <c r="M305" s="20">
        <f t="shared" ca="1" si="168"/>
        <v>0</v>
      </c>
      <c r="N305" s="20">
        <f t="shared" ca="1" si="168"/>
        <v>0</v>
      </c>
      <c r="O305" s="20">
        <f t="shared" ca="1" si="168"/>
        <v>0</v>
      </c>
      <c r="P305" s="20">
        <f t="shared" ca="1" si="168"/>
        <v>0</v>
      </c>
      <c r="Q305" s="20">
        <f t="shared" ca="1" si="168"/>
        <v>0</v>
      </c>
      <c r="R305" s="20">
        <f t="shared" ca="1" si="168"/>
        <v>0</v>
      </c>
      <c r="S305" s="20">
        <f t="shared" ca="1" si="168"/>
        <v>0</v>
      </c>
      <c r="T305" s="20">
        <f t="shared" ca="1" si="168"/>
        <v>0</v>
      </c>
      <c r="U305" s="20">
        <f t="shared" ca="1" si="168"/>
        <v>0</v>
      </c>
      <c r="V305" s="20">
        <f t="shared" ca="1" si="168"/>
        <v>0</v>
      </c>
      <c r="W305" s="20">
        <f t="shared" ca="1" si="168"/>
        <v>0</v>
      </c>
      <c r="X305" s="20">
        <f t="shared" ca="1" si="168"/>
        <v>0</v>
      </c>
      <c r="Y305" s="20">
        <f t="shared" ca="1" si="168"/>
        <v>0</v>
      </c>
      <c r="Z305" s="20">
        <f t="shared" ca="1" si="168"/>
        <v>0</v>
      </c>
      <c r="AA305" s="20">
        <f t="shared" ca="1" si="168"/>
        <v>0</v>
      </c>
      <c r="AB305" s="20">
        <f t="shared" ca="1" si="168"/>
        <v>0</v>
      </c>
      <c r="AC305" s="20">
        <f t="shared" ca="1" si="168"/>
        <v>0</v>
      </c>
      <c r="AD305" s="20">
        <f t="shared" ca="1" si="168"/>
        <v>0</v>
      </c>
      <c r="AE305" s="20">
        <f t="shared" ca="1" si="168"/>
        <v>0</v>
      </c>
      <c r="AF305" s="20">
        <f t="shared" ca="1" si="168"/>
        <v>0</v>
      </c>
      <c r="AG305" s="20">
        <f t="shared" ca="1" si="168"/>
        <v>0</v>
      </c>
      <c r="AH305" s="20">
        <f t="shared" ca="1" si="168"/>
        <v>0</v>
      </c>
      <c r="AI305" s="20">
        <f t="shared" ca="1" si="168"/>
        <v>0</v>
      </c>
      <c r="AJ305" s="20">
        <f t="shared" ca="1" si="168"/>
        <v>0</v>
      </c>
      <c r="AK305" s="20">
        <f t="shared" ca="1" si="168"/>
        <v>0</v>
      </c>
      <c r="AL305" s="20">
        <f t="shared" ca="1" si="168"/>
        <v>0</v>
      </c>
      <c r="AM305" s="20">
        <f t="shared" ca="1" si="168"/>
        <v>0</v>
      </c>
    </row>
    <row r="306" spans="1:39" x14ac:dyDescent="0.2">
      <c r="A306" s="22" t="str">
        <f>A78</f>
        <v>Boat</v>
      </c>
      <c r="B306" s="19"/>
      <c r="C306" s="20">
        <f t="shared" ca="1" si="168"/>
        <v>172468.12536430024</v>
      </c>
      <c r="D306" s="20">
        <f t="shared" ca="1" si="168"/>
        <v>163844.71909608523</v>
      </c>
      <c r="E306" s="20">
        <f t="shared" ca="1" si="168"/>
        <v>155652.48314128097</v>
      </c>
      <c r="F306" s="20">
        <f t="shared" ca="1" si="168"/>
        <v>147869.85898421693</v>
      </c>
      <c r="G306" s="20">
        <f t="shared" ca="1" si="168"/>
        <v>140476.36603500607</v>
      </c>
      <c r="H306" s="20">
        <f t="shared" ca="1" si="168"/>
        <v>133452.54773325575</v>
      </c>
      <c r="I306" s="20">
        <f t="shared" ca="1" si="168"/>
        <v>126779.92034659296</v>
      </c>
      <c r="J306" s="20">
        <f t="shared" ca="1" si="168"/>
        <v>120440.9243292633</v>
      </c>
      <c r="K306" s="20">
        <f t="shared" ca="1" si="168"/>
        <v>114418.87811280013</v>
      </c>
      <c r="L306" s="20">
        <f t="shared" ca="1" si="168"/>
        <v>108697.93420716011</v>
      </c>
      <c r="M306" s="20">
        <f t="shared" ca="1" si="168"/>
        <v>103263.03749680211</v>
      </c>
      <c r="N306" s="20">
        <f t="shared" ca="1" si="168"/>
        <v>98099.885621961992</v>
      </c>
      <c r="O306" s="20">
        <f t="shared" ca="1" si="168"/>
        <v>93194.891340863891</v>
      </c>
      <c r="P306" s="20">
        <f t="shared" ca="1" si="168"/>
        <v>88535.146773820699</v>
      </c>
      <c r="Q306" s="20">
        <f t="shared" ca="1" si="168"/>
        <v>84108.389435129662</v>
      </c>
      <c r="R306" s="20">
        <f t="shared" ca="1" si="168"/>
        <v>79902.96996337318</v>
      </c>
      <c r="S306" s="20">
        <f t="shared" ca="1" si="168"/>
        <v>75907.821465204514</v>
      </c>
      <c r="T306" s="20">
        <f t="shared" ca="1" si="168"/>
        <v>72112.43039194429</v>
      </c>
      <c r="U306" s="20">
        <f t="shared" ca="1" si="168"/>
        <v>68506.808872347072</v>
      </c>
      <c r="V306" s="20">
        <f t="shared" ca="1" si="168"/>
        <v>65081.468428729713</v>
      </c>
      <c r="W306" s="20">
        <f t="shared" ca="1" si="168"/>
        <v>61827.395007293228</v>
      </c>
      <c r="X306" s="20">
        <f t="shared" ca="1" si="168"/>
        <v>58736.025256928566</v>
      </c>
      <c r="Y306" s="20">
        <f t="shared" ca="1" si="168"/>
        <v>55799.223994082138</v>
      </c>
      <c r="Z306" s="20">
        <f t="shared" ca="1" si="168"/>
        <v>0</v>
      </c>
      <c r="AA306" s="20">
        <f t="shared" ca="1" si="168"/>
        <v>0</v>
      </c>
      <c r="AB306" s="20">
        <f t="shared" ca="1" si="168"/>
        <v>0</v>
      </c>
      <c r="AC306" s="20">
        <f t="shared" ca="1" si="168"/>
        <v>0</v>
      </c>
      <c r="AD306" s="20">
        <f t="shared" ca="1" si="168"/>
        <v>0</v>
      </c>
      <c r="AE306" s="20">
        <f t="shared" ca="1" si="168"/>
        <v>0</v>
      </c>
      <c r="AF306" s="20">
        <f t="shared" ca="1" si="168"/>
        <v>0</v>
      </c>
      <c r="AG306" s="20">
        <f t="shared" ca="1" si="168"/>
        <v>0</v>
      </c>
      <c r="AH306" s="20">
        <f t="shared" ca="1" si="168"/>
        <v>0</v>
      </c>
      <c r="AI306" s="20">
        <f t="shared" ca="1" si="168"/>
        <v>0</v>
      </c>
      <c r="AJ306" s="20">
        <f t="shared" ca="1" si="168"/>
        <v>0</v>
      </c>
      <c r="AK306" s="20">
        <f t="shared" ca="1" si="168"/>
        <v>0</v>
      </c>
      <c r="AL306" s="20">
        <f t="shared" ca="1" si="168"/>
        <v>0</v>
      </c>
      <c r="AM306" s="20">
        <f t="shared" ca="1" si="168"/>
        <v>0</v>
      </c>
    </row>
    <row r="307" spans="1:39" x14ac:dyDescent="0.2">
      <c r="A307" s="22" t="str">
        <f>A79</f>
        <v>Antiques</v>
      </c>
      <c r="B307" s="19"/>
      <c r="C307" s="20">
        <f t="shared" ca="1" si="168"/>
        <v>83364.406415412173</v>
      </c>
      <c r="D307" s="20">
        <f t="shared" ca="1" si="168"/>
        <v>85031.694543720412</v>
      </c>
      <c r="E307" s="20">
        <f t="shared" ca="1" si="168"/>
        <v>86732.32843459482</v>
      </c>
      <c r="F307" s="20">
        <f t="shared" ca="1" si="168"/>
        <v>88466.975003286716</v>
      </c>
      <c r="G307" s="20">
        <f t="shared" ca="1" si="168"/>
        <v>90236.314503352449</v>
      </c>
      <c r="H307" s="20">
        <f t="shared" ca="1" si="168"/>
        <v>92041.040793419495</v>
      </c>
      <c r="I307" s="20">
        <f t="shared" ca="1" si="168"/>
        <v>0</v>
      </c>
      <c r="J307" s="20">
        <f t="shared" ca="1" si="168"/>
        <v>0</v>
      </c>
      <c r="K307" s="20">
        <f t="shared" ca="1" si="168"/>
        <v>0</v>
      </c>
      <c r="L307" s="20">
        <f t="shared" ca="1" si="168"/>
        <v>0</v>
      </c>
      <c r="M307" s="20">
        <f t="shared" ca="1" si="168"/>
        <v>0</v>
      </c>
      <c r="N307" s="20">
        <f t="shared" ca="1" si="168"/>
        <v>0</v>
      </c>
      <c r="O307" s="20">
        <f t="shared" ca="1" si="168"/>
        <v>0</v>
      </c>
      <c r="P307" s="20">
        <f t="shared" ca="1" si="168"/>
        <v>0</v>
      </c>
      <c r="Q307" s="20">
        <f t="shared" ca="1" si="168"/>
        <v>0</v>
      </c>
      <c r="R307" s="20">
        <f t="shared" ca="1" si="168"/>
        <v>0</v>
      </c>
      <c r="S307" s="20">
        <f t="shared" ca="1" si="168"/>
        <v>0</v>
      </c>
      <c r="T307" s="20">
        <f t="shared" ca="1" si="168"/>
        <v>0</v>
      </c>
      <c r="U307" s="20">
        <f t="shared" ca="1" si="168"/>
        <v>0</v>
      </c>
      <c r="V307" s="20">
        <f t="shared" ca="1" si="168"/>
        <v>0</v>
      </c>
      <c r="W307" s="20">
        <f t="shared" ca="1" si="168"/>
        <v>0</v>
      </c>
      <c r="X307" s="20">
        <f t="shared" ca="1" si="168"/>
        <v>0</v>
      </c>
      <c r="Y307" s="20">
        <f t="shared" ca="1" si="168"/>
        <v>0</v>
      </c>
      <c r="Z307" s="20">
        <f t="shared" ca="1" si="168"/>
        <v>0</v>
      </c>
      <c r="AA307" s="20">
        <f t="shared" ca="1" si="168"/>
        <v>0</v>
      </c>
      <c r="AB307" s="20">
        <f t="shared" ca="1" si="168"/>
        <v>0</v>
      </c>
      <c r="AC307" s="20">
        <f t="shared" ca="1" si="168"/>
        <v>0</v>
      </c>
      <c r="AD307" s="20">
        <f t="shared" ca="1" si="168"/>
        <v>0</v>
      </c>
      <c r="AE307" s="20">
        <f t="shared" ca="1" si="168"/>
        <v>0</v>
      </c>
      <c r="AF307" s="20">
        <f t="shared" ca="1" si="168"/>
        <v>0</v>
      </c>
      <c r="AG307" s="20">
        <f t="shared" ca="1" si="168"/>
        <v>0</v>
      </c>
      <c r="AH307" s="20">
        <f t="shared" ca="1" si="168"/>
        <v>0</v>
      </c>
      <c r="AI307" s="20">
        <f t="shared" ca="1" si="168"/>
        <v>0</v>
      </c>
      <c r="AJ307" s="20">
        <f t="shared" ca="1" si="168"/>
        <v>0</v>
      </c>
      <c r="AK307" s="20">
        <f t="shared" ca="1" si="168"/>
        <v>0</v>
      </c>
      <c r="AL307" s="20">
        <f t="shared" ca="1" si="168"/>
        <v>0</v>
      </c>
      <c r="AM307" s="20">
        <f t="shared" ca="1" si="168"/>
        <v>0</v>
      </c>
    </row>
    <row r="308" spans="1:39" x14ac:dyDescent="0.2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x14ac:dyDescent="0.2">
      <c r="A309" s="18" t="s">
        <v>197</v>
      </c>
      <c r="B309" s="19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</row>
    <row r="310" spans="1:39" x14ac:dyDescent="0.2">
      <c r="A310" s="22" t="str">
        <f>B$120</f>
        <v>Painting</v>
      </c>
      <c r="B310" s="19"/>
      <c r="C310" s="20">
        <f ca="1">SUM($C120:C120)</f>
        <v>0</v>
      </c>
      <c r="D310" s="20">
        <f ca="1">SUM($C120:D120)</f>
        <v>0</v>
      </c>
      <c r="E310" s="20">
        <f ca="1">SUM($C120:E120)</f>
        <v>-4083.2972605813311</v>
      </c>
      <c r="F310" s="20">
        <f ca="1">SUM($C120:F120)</f>
        <v>-4083.2972605813311</v>
      </c>
      <c r="G310" s="20">
        <f ca="1">SUM($C120:G120)</f>
        <v>-4083.2972605813311</v>
      </c>
      <c r="H310" s="20">
        <f ca="1">SUM($C120:H120)</f>
        <v>-4083.2972605813311</v>
      </c>
      <c r="I310" s="20">
        <f ca="1">SUM($C120:I120)</f>
        <v>-4083.2972605813311</v>
      </c>
      <c r="J310" s="20">
        <f ca="1">SUM($C120:J120)</f>
        <v>-4083.2972605813311</v>
      </c>
      <c r="K310" s="20">
        <f ca="1">SUM($C120:K120)</f>
        <v>-4083.2972605813311</v>
      </c>
      <c r="L310" s="20">
        <f ca="1">SUM($C120:L120)</f>
        <v>-4083.2972605813311</v>
      </c>
      <c r="M310" s="20">
        <f ca="1">SUM($C120:M120)</f>
        <v>-4083.2972605813311</v>
      </c>
      <c r="N310" s="20">
        <f ca="1">SUM($C120:N120)</f>
        <v>-4083.2972605813311</v>
      </c>
      <c r="O310" s="20">
        <f ca="1">SUM($C120:O120)</f>
        <v>-4083.2972605813311</v>
      </c>
      <c r="P310" s="20">
        <f ca="1">SUM($C120:P120)</f>
        <v>-4083.2972605813311</v>
      </c>
      <c r="Q310" s="20">
        <f ca="1">SUM($C120:Q120)</f>
        <v>-4083.2972605813311</v>
      </c>
      <c r="R310" s="20">
        <f ca="1">SUM($C120:R120)</f>
        <v>-4083.2972605813311</v>
      </c>
      <c r="S310" s="20">
        <f ca="1">SUM($C120:S120)</f>
        <v>-4083.2972605813311</v>
      </c>
      <c r="T310" s="20">
        <f ca="1">SUM($C120:T120)</f>
        <v>-4083.2972605813311</v>
      </c>
      <c r="U310" s="20">
        <f ca="1">SUM($C120:U120)</f>
        <v>-4083.2972605813311</v>
      </c>
      <c r="V310" s="20">
        <f ca="1">SUM($C120:V120)</f>
        <v>-4083.2972605813311</v>
      </c>
      <c r="W310" s="20">
        <f ca="1">SUM($C120:W120)</f>
        <v>-4083.2972605813311</v>
      </c>
      <c r="X310" s="20">
        <f ca="1">SUM($C120:X120)</f>
        <v>-4083.2972605813311</v>
      </c>
      <c r="Y310" s="20">
        <f ca="1">SUM($C120:Y120)</f>
        <v>-4083.2972605813311</v>
      </c>
      <c r="Z310" s="20">
        <f ca="1">SUM($C120:Z120)</f>
        <v>-4083.2972605813311</v>
      </c>
      <c r="AA310" s="20">
        <f ca="1">SUM($C120:AA120)</f>
        <v>-4083.2972605813311</v>
      </c>
      <c r="AB310" s="20">
        <f ca="1">SUM($C120:AB120)</f>
        <v>-4083.2972605813311</v>
      </c>
      <c r="AC310" s="20">
        <f ca="1">SUM($C120:AC120)</f>
        <v>-4083.2972605813311</v>
      </c>
      <c r="AD310" s="20">
        <f ca="1">SUM($C120:AD120)</f>
        <v>-4083.2972605813311</v>
      </c>
      <c r="AE310" s="20">
        <f ca="1">SUM($C120:AE120)</f>
        <v>-4083.2972605813311</v>
      </c>
      <c r="AF310" s="20">
        <f ca="1">SUM($C120:AF120)</f>
        <v>-4083.2972605813311</v>
      </c>
      <c r="AG310" s="20">
        <f ca="1">SUM($C120:AG120)</f>
        <v>-4083.2972605813311</v>
      </c>
      <c r="AH310" s="20">
        <f ca="1">SUM($C120:AH120)</f>
        <v>-4083.2972605813311</v>
      </c>
      <c r="AI310" s="20">
        <f ca="1">SUM($C120:AI120)</f>
        <v>-4083.2972605813311</v>
      </c>
      <c r="AJ310" s="20">
        <f ca="1">SUM($C120:AJ120)</f>
        <v>-4083.2972605813311</v>
      </c>
      <c r="AK310" s="20">
        <f ca="1">SUM($C120:AK120)</f>
        <v>-4083.2972605813311</v>
      </c>
      <c r="AL310" s="20">
        <f ca="1">SUM($C120:AL120)</f>
        <v>-4083.2972605813311</v>
      </c>
      <c r="AM310" s="20">
        <f ca="1">SUM($C120:AM120)</f>
        <v>-4083.2972605813311</v>
      </c>
    </row>
    <row r="311" spans="1:39" x14ac:dyDescent="0.2">
      <c r="A311" s="22" t="str">
        <f>B$137</f>
        <v>Car</v>
      </c>
      <c r="B311" s="19"/>
      <c r="C311" s="20">
        <f ca="1">SUM($C137:C137)</f>
        <v>0</v>
      </c>
      <c r="D311" s="20">
        <f ca="1">SUM($C137:D137)</f>
        <v>0</v>
      </c>
      <c r="E311" s="20">
        <f ca="1">SUM($C137:E137)</f>
        <v>0</v>
      </c>
      <c r="F311" s="20">
        <f ca="1">SUM($C137:F137)</f>
        <v>-2369.6371033087999</v>
      </c>
      <c r="G311" s="20">
        <f ca="1">SUM($C137:G137)</f>
        <v>-2369.6371033087999</v>
      </c>
      <c r="H311" s="20">
        <f ca="1">SUM($C137:H137)</f>
        <v>-2369.6371033087999</v>
      </c>
      <c r="I311" s="20">
        <f ca="1">SUM($C137:I137)</f>
        <v>-2369.6371033087999</v>
      </c>
      <c r="J311" s="20">
        <f ca="1">SUM($C137:J137)</f>
        <v>-2369.6371033087999</v>
      </c>
      <c r="K311" s="20">
        <f ca="1">SUM($C137:K137)</f>
        <v>-2369.6371033087999</v>
      </c>
      <c r="L311" s="20">
        <f ca="1">SUM($C137:L137)</f>
        <v>-2369.6371033087999</v>
      </c>
      <c r="M311" s="20">
        <f ca="1">SUM($C137:M137)</f>
        <v>-2369.6371033087999</v>
      </c>
      <c r="N311" s="20">
        <f ca="1">SUM($C137:N137)</f>
        <v>-2369.6371033087999</v>
      </c>
      <c r="O311" s="20">
        <f ca="1">SUM($C137:O137)</f>
        <v>-2369.6371033087999</v>
      </c>
      <c r="P311" s="20">
        <f ca="1">SUM($C137:P137)</f>
        <v>-2369.6371033087999</v>
      </c>
      <c r="Q311" s="20">
        <f ca="1">SUM($C137:Q137)</f>
        <v>-2369.6371033087999</v>
      </c>
      <c r="R311" s="20">
        <f ca="1">SUM($C137:R137)</f>
        <v>-2369.6371033087999</v>
      </c>
      <c r="S311" s="20">
        <f ca="1">SUM($C137:S137)</f>
        <v>-2369.6371033087999</v>
      </c>
      <c r="T311" s="20">
        <f ca="1">SUM($C137:T137)</f>
        <v>-2369.6371033087999</v>
      </c>
      <c r="U311" s="20">
        <f ca="1">SUM($C137:U137)</f>
        <v>-2369.6371033087999</v>
      </c>
      <c r="V311" s="20">
        <f ca="1">SUM($C137:V137)</f>
        <v>-2369.6371033087999</v>
      </c>
      <c r="W311" s="20">
        <f ca="1">SUM($C137:W137)</f>
        <v>-2369.6371033087999</v>
      </c>
      <c r="X311" s="20">
        <f ca="1">SUM($C137:X137)</f>
        <v>-2369.6371033087999</v>
      </c>
      <c r="Y311" s="20">
        <f ca="1">SUM($C137:Y137)</f>
        <v>-2369.6371033087999</v>
      </c>
      <c r="Z311" s="20">
        <f ca="1">SUM($C137:Z137)</f>
        <v>-2369.6371033087999</v>
      </c>
      <c r="AA311" s="20">
        <f ca="1">SUM($C137:AA137)</f>
        <v>-2369.6371033087999</v>
      </c>
      <c r="AB311" s="20">
        <f ca="1">SUM($C137:AB137)</f>
        <v>-2369.6371033087999</v>
      </c>
      <c r="AC311" s="20">
        <f ca="1">SUM($C137:AC137)</f>
        <v>-2369.6371033087999</v>
      </c>
      <c r="AD311" s="20">
        <f ca="1">SUM($C137:AD137)</f>
        <v>-2369.6371033087999</v>
      </c>
      <c r="AE311" s="20">
        <f ca="1">SUM($C137:AE137)</f>
        <v>-2369.6371033087999</v>
      </c>
      <c r="AF311" s="20">
        <f ca="1">SUM($C137:AF137)</f>
        <v>-2369.6371033087999</v>
      </c>
      <c r="AG311" s="20">
        <f ca="1">SUM($C137:AG137)</f>
        <v>-2369.6371033087999</v>
      </c>
      <c r="AH311" s="20">
        <f ca="1">SUM($C137:AH137)</f>
        <v>-2369.6371033087999</v>
      </c>
      <c r="AI311" s="20">
        <f ca="1">SUM($C137:AI137)</f>
        <v>-2369.6371033087999</v>
      </c>
      <c r="AJ311" s="20">
        <f ca="1">SUM($C137:AJ137)</f>
        <v>-2369.6371033087999</v>
      </c>
      <c r="AK311" s="20">
        <f ca="1">SUM($C137:AK137)</f>
        <v>-2369.6371033087999</v>
      </c>
      <c r="AL311" s="20">
        <f ca="1">SUM($C137:AL137)</f>
        <v>-2369.6371033087999</v>
      </c>
      <c r="AM311" s="20">
        <f ca="1">SUM($C137:AM137)</f>
        <v>-2369.6371033087999</v>
      </c>
    </row>
    <row r="312" spans="1:39" x14ac:dyDescent="0.2">
      <c r="A312" s="22" t="str">
        <f>B$154</f>
        <v>Jewelry</v>
      </c>
      <c r="B312" s="19"/>
      <c r="C312" s="20">
        <f ca="1">SUM($C154:C154)</f>
        <v>0</v>
      </c>
      <c r="D312" s="20">
        <f ca="1">SUM($C154:D154)</f>
        <v>0</v>
      </c>
      <c r="E312" s="20">
        <f ca="1">SUM($C154:E154)</f>
        <v>0</v>
      </c>
      <c r="F312" s="20">
        <f ca="1">SUM($C154:F154)</f>
        <v>0</v>
      </c>
      <c r="G312" s="20">
        <f ca="1">SUM($C154:G154)</f>
        <v>0</v>
      </c>
      <c r="H312" s="20">
        <f ca="1">SUM($C154:H154)</f>
        <v>0</v>
      </c>
      <c r="I312" s="20">
        <f ca="1">SUM($C154:I154)</f>
        <v>0</v>
      </c>
      <c r="J312" s="20">
        <f ca="1">SUM($C154:J154)</f>
        <v>0</v>
      </c>
      <c r="K312" s="20">
        <f ca="1">SUM($C154:K154)</f>
        <v>0</v>
      </c>
      <c r="L312" s="20">
        <f ca="1">SUM($C154:L154)</f>
        <v>0</v>
      </c>
      <c r="M312" s="20">
        <f ca="1">SUM($C154:M154)</f>
        <v>0</v>
      </c>
      <c r="N312" s="20">
        <f ca="1">SUM($C154:N154)</f>
        <v>0</v>
      </c>
      <c r="O312" s="20">
        <f ca="1">SUM($C154:O154)</f>
        <v>0</v>
      </c>
      <c r="P312" s="20">
        <f ca="1">SUM($C154:P154)</f>
        <v>0</v>
      </c>
      <c r="Q312" s="20">
        <f ca="1">SUM($C154:Q154)</f>
        <v>0</v>
      </c>
      <c r="R312" s="20">
        <f ca="1">SUM($C154:R154)</f>
        <v>0</v>
      </c>
      <c r="S312" s="20">
        <f ca="1">SUM($C154:S154)</f>
        <v>0</v>
      </c>
      <c r="T312" s="20">
        <f ca="1">SUM($C154:T154)</f>
        <v>0</v>
      </c>
      <c r="U312" s="20">
        <f ca="1">SUM($C154:U154)</f>
        <v>0</v>
      </c>
      <c r="V312" s="20">
        <f ca="1">SUM($C154:V154)</f>
        <v>0</v>
      </c>
      <c r="W312" s="20">
        <f ca="1">SUM($C154:W154)</f>
        <v>0</v>
      </c>
      <c r="X312" s="20">
        <f ca="1">SUM($C154:X154)</f>
        <v>0</v>
      </c>
      <c r="Y312" s="20">
        <f ca="1">SUM($C154:Y154)</f>
        <v>0</v>
      </c>
      <c r="Z312" s="20">
        <f ca="1">SUM($C154:Z154)</f>
        <v>0</v>
      </c>
      <c r="AA312" s="20">
        <f ca="1">SUM($C154:AA154)</f>
        <v>0</v>
      </c>
      <c r="AB312" s="20">
        <f ca="1">SUM($C154:AB154)</f>
        <v>0</v>
      </c>
      <c r="AC312" s="20">
        <f ca="1">SUM($C154:AC154)</f>
        <v>0</v>
      </c>
      <c r="AD312" s="20">
        <f ca="1">SUM($C154:AD154)</f>
        <v>0</v>
      </c>
      <c r="AE312" s="20">
        <f ca="1">SUM($C154:AE154)</f>
        <v>0</v>
      </c>
      <c r="AF312" s="20">
        <f ca="1">SUM($C154:AF154)</f>
        <v>0</v>
      </c>
      <c r="AG312" s="20">
        <f ca="1">SUM($C154:AG154)</f>
        <v>0</v>
      </c>
      <c r="AH312" s="20">
        <f ca="1">SUM($C154:AH154)</f>
        <v>0</v>
      </c>
      <c r="AI312" s="20">
        <f ca="1">SUM($C154:AI154)</f>
        <v>0</v>
      </c>
      <c r="AJ312" s="20">
        <f ca="1">SUM($C154:AJ154)</f>
        <v>0</v>
      </c>
      <c r="AK312" s="20">
        <f ca="1">SUM($C154:AK154)</f>
        <v>0</v>
      </c>
      <c r="AL312" s="20">
        <f ca="1">SUM($C154:AL154)</f>
        <v>0</v>
      </c>
      <c r="AM312" s="20">
        <f ca="1">SUM($C154:AM154)</f>
        <v>0</v>
      </c>
    </row>
    <row r="313" spans="1:39" x14ac:dyDescent="0.2">
      <c r="A313" s="22" t="str">
        <f>B$171</f>
        <v>Gudja</v>
      </c>
      <c r="B313" s="19"/>
      <c r="C313" s="20">
        <f ca="1">SUM($C171:C171)</f>
        <v>0</v>
      </c>
      <c r="D313" s="20">
        <f ca="1">SUM($C171:D171)</f>
        <v>0</v>
      </c>
      <c r="E313" s="20">
        <f ca="1">SUM($C171:E171)</f>
        <v>0</v>
      </c>
      <c r="F313" s="20">
        <f ca="1">SUM($C171:F171)</f>
        <v>0</v>
      </c>
      <c r="G313" s="20">
        <f ca="1">SUM($C171:G171)</f>
        <v>-287.15625085893407</v>
      </c>
      <c r="H313" s="20">
        <f ca="1">SUM($C171:H171)</f>
        <v>-287.15625085893407</v>
      </c>
      <c r="I313" s="20">
        <f ca="1">SUM($C171:I171)</f>
        <v>-287.15625085893407</v>
      </c>
      <c r="J313" s="20">
        <f ca="1">SUM($C171:J171)</f>
        <v>-287.15625085893407</v>
      </c>
      <c r="K313" s="20">
        <f ca="1">SUM($C171:K171)</f>
        <v>-287.15625085893407</v>
      </c>
      <c r="L313" s="20">
        <f ca="1">SUM($C171:L171)</f>
        <v>-287.15625085893407</v>
      </c>
      <c r="M313" s="20">
        <f ca="1">SUM($C171:M171)</f>
        <v>-287.15625085893407</v>
      </c>
      <c r="N313" s="20">
        <f ca="1">SUM($C171:N171)</f>
        <v>-287.15625085893407</v>
      </c>
      <c r="O313" s="20">
        <f ca="1">SUM($C171:O171)</f>
        <v>-287.15625085893407</v>
      </c>
      <c r="P313" s="20">
        <f ca="1">SUM($C171:P171)</f>
        <v>-287.15625085893407</v>
      </c>
      <c r="Q313" s="20">
        <f ca="1">SUM($C171:Q171)</f>
        <v>-287.15625085893407</v>
      </c>
      <c r="R313" s="20">
        <f ca="1">SUM($C171:R171)</f>
        <v>-287.15625085893407</v>
      </c>
      <c r="S313" s="20">
        <f ca="1">SUM($C171:S171)</f>
        <v>-287.15625085893407</v>
      </c>
      <c r="T313" s="20">
        <f ca="1">SUM($C171:T171)</f>
        <v>-287.15625085893407</v>
      </c>
      <c r="U313" s="20">
        <f ca="1">SUM($C171:U171)</f>
        <v>-287.15625085893407</v>
      </c>
      <c r="V313" s="20">
        <f ca="1">SUM($C171:V171)</f>
        <v>-287.15625085893407</v>
      </c>
      <c r="W313" s="20">
        <f ca="1">SUM($C171:W171)</f>
        <v>-287.15625085893407</v>
      </c>
      <c r="X313" s="20">
        <f ca="1">SUM($C171:X171)</f>
        <v>-287.15625085893407</v>
      </c>
      <c r="Y313" s="20">
        <f ca="1">SUM($C171:Y171)</f>
        <v>-287.15625085893407</v>
      </c>
      <c r="Z313" s="20">
        <f ca="1">SUM($C171:Z171)</f>
        <v>-287.15625085893407</v>
      </c>
      <c r="AA313" s="20">
        <f ca="1">SUM($C171:AA171)</f>
        <v>-287.15625085893407</v>
      </c>
      <c r="AB313" s="20">
        <f ca="1">SUM($C171:AB171)</f>
        <v>-287.15625085893407</v>
      </c>
      <c r="AC313" s="20">
        <f ca="1">SUM($C171:AC171)</f>
        <v>-287.15625085893407</v>
      </c>
      <c r="AD313" s="20">
        <f ca="1">SUM($C171:AD171)</f>
        <v>-287.15625085893407</v>
      </c>
      <c r="AE313" s="20">
        <f ca="1">SUM($C171:AE171)</f>
        <v>-287.15625085893407</v>
      </c>
      <c r="AF313" s="20">
        <f ca="1">SUM($C171:AF171)</f>
        <v>-287.15625085893407</v>
      </c>
      <c r="AG313" s="20">
        <f ca="1">SUM($C171:AG171)</f>
        <v>-287.15625085893407</v>
      </c>
      <c r="AH313" s="20">
        <f ca="1">SUM($C171:AH171)</f>
        <v>-287.15625085893407</v>
      </c>
      <c r="AI313" s="20">
        <f ca="1">SUM($C171:AI171)</f>
        <v>-287.15625085893407</v>
      </c>
      <c r="AJ313" s="20">
        <f ca="1">SUM($C171:AJ171)</f>
        <v>-287.15625085893407</v>
      </c>
      <c r="AK313" s="20">
        <f ca="1">SUM($C171:AK171)</f>
        <v>-287.15625085893407</v>
      </c>
      <c r="AL313" s="20">
        <f ca="1">SUM($C171:AL171)</f>
        <v>-287.15625085893407</v>
      </c>
      <c r="AM313" s="20">
        <f ca="1">SUM($C171:AM171)</f>
        <v>-287.15625085893407</v>
      </c>
    </row>
    <row r="314" spans="1:39" x14ac:dyDescent="0.2">
      <c r="A314" s="22" t="str">
        <f>B$188</f>
        <v>Antiques</v>
      </c>
      <c r="B314" s="19"/>
      <c r="C314" s="20">
        <f ca="1">SUM($C188:C188)</f>
        <v>0</v>
      </c>
      <c r="D314" s="20">
        <f ca="1">SUM($C188:D188)</f>
        <v>0</v>
      </c>
      <c r="E314" s="20">
        <f ca="1">SUM($C188:E188)</f>
        <v>0</v>
      </c>
      <c r="F314" s="20">
        <f ca="1">SUM($C188:F188)</f>
        <v>0</v>
      </c>
      <c r="G314" s="20">
        <f ca="1">SUM($C188:G188)</f>
        <v>0</v>
      </c>
      <c r="H314" s="20">
        <f ca="1">SUM($C188:H188)</f>
        <v>0</v>
      </c>
      <c r="I314" s="20">
        <f ca="1">SUM($C188:I188)</f>
        <v>0</v>
      </c>
      <c r="J314" s="20">
        <f ca="1">SUM($C188:J188)</f>
        <v>0</v>
      </c>
      <c r="K314" s="20">
        <f ca="1">SUM($C188:K188)</f>
        <v>0</v>
      </c>
      <c r="L314" s="20">
        <f ca="1">SUM($C188:L188)</f>
        <v>0</v>
      </c>
      <c r="M314" s="20">
        <f ca="1">SUM($C188:M188)</f>
        <v>0</v>
      </c>
      <c r="N314" s="20">
        <f ca="1">SUM($C188:N188)</f>
        <v>0</v>
      </c>
      <c r="O314" s="20">
        <f ca="1">SUM($C188:O188)</f>
        <v>0</v>
      </c>
      <c r="P314" s="20">
        <f ca="1">SUM($C188:P188)</f>
        <v>0</v>
      </c>
      <c r="Q314" s="20">
        <f ca="1">SUM($C188:Q188)</f>
        <v>0</v>
      </c>
      <c r="R314" s="20">
        <f ca="1">SUM($C188:R188)</f>
        <v>0</v>
      </c>
      <c r="S314" s="20">
        <f ca="1">SUM($C188:S188)</f>
        <v>0</v>
      </c>
      <c r="T314" s="20">
        <f ca="1">SUM($C188:T188)</f>
        <v>0</v>
      </c>
      <c r="U314" s="20">
        <f ca="1">SUM($C188:U188)</f>
        <v>0</v>
      </c>
      <c r="V314" s="20">
        <f ca="1">SUM($C188:V188)</f>
        <v>0</v>
      </c>
      <c r="W314" s="20">
        <f ca="1">SUM($C188:W188)</f>
        <v>0</v>
      </c>
      <c r="X314" s="20">
        <f ca="1">SUM($C188:X188)</f>
        <v>0</v>
      </c>
      <c r="Y314" s="20">
        <f ca="1">SUM($C188:Y188)</f>
        <v>0</v>
      </c>
      <c r="Z314" s="20">
        <f ca="1">SUM($C188:Z188)</f>
        <v>0</v>
      </c>
      <c r="AA314" s="20">
        <f ca="1">SUM($C188:AA188)</f>
        <v>0</v>
      </c>
      <c r="AB314" s="20">
        <f ca="1">SUM($C188:AB188)</f>
        <v>0</v>
      </c>
      <c r="AC314" s="20">
        <f ca="1">SUM($C188:AC188)</f>
        <v>0</v>
      </c>
      <c r="AD314" s="20">
        <f ca="1">SUM($C188:AD188)</f>
        <v>0</v>
      </c>
      <c r="AE314" s="20">
        <f ca="1">SUM($C188:AE188)</f>
        <v>0</v>
      </c>
      <c r="AF314" s="20">
        <f ca="1">SUM($C188:AF188)</f>
        <v>0</v>
      </c>
      <c r="AG314" s="20">
        <f ca="1">SUM($C188:AG188)</f>
        <v>0</v>
      </c>
      <c r="AH314" s="20">
        <f ca="1">SUM($C188:AH188)</f>
        <v>0</v>
      </c>
      <c r="AI314" s="20">
        <f ca="1">SUM($C188:AI188)</f>
        <v>0</v>
      </c>
      <c r="AJ314" s="20">
        <f ca="1">SUM($C188:AJ188)</f>
        <v>0</v>
      </c>
      <c r="AK314" s="20">
        <f ca="1">SUM($C188:AK188)</f>
        <v>0</v>
      </c>
      <c r="AL314" s="20">
        <f ca="1">SUM($C188:AL188)</f>
        <v>0</v>
      </c>
      <c r="AM314" s="20">
        <f ca="1">SUM($C188:AM188)</f>
        <v>0</v>
      </c>
    </row>
    <row r="315" spans="1:39" x14ac:dyDescent="0.2">
      <c r="A315" s="22" t="str">
        <f>B$205</f>
        <v>Marsa</v>
      </c>
      <c r="B315" s="19"/>
      <c r="C315" s="20">
        <f ca="1">SUM($C205:C205)</f>
        <v>0</v>
      </c>
      <c r="D315" s="20">
        <f ca="1">SUM($C205:D205)</f>
        <v>0</v>
      </c>
      <c r="E315" s="20">
        <f ca="1">SUM($C205:E205)</f>
        <v>0</v>
      </c>
      <c r="F315" s="20">
        <f ca="1">SUM($C205:F205)</f>
        <v>0</v>
      </c>
      <c r="G315" s="20">
        <f ca="1">SUM($C205:G205)</f>
        <v>0</v>
      </c>
      <c r="H315" s="20">
        <f ca="1">SUM($C205:H205)</f>
        <v>0</v>
      </c>
      <c r="I315" s="20">
        <f ca="1">SUM($C205:I205)</f>
        <v>0</v>
      </c>
      <c r="J315" s="20">
        <f ca="1">SUM($C205:J205)</f>
        <v>0</v>
      </c>
      <c r="K315" s="20">
        <f ca="1">SUM($C205:K205)</f>
        <v>0</v>
      </c>
      <c r="L315" s="20">
        <f ca="1">SUM($C205:L205)</f>
        <v>0</v>
      </c>
      <c r="M315" s="20">
        <f ca="1">SUM($C205:M205)</f>
        <v>0</v>
      </c>
      <c r="N315" s="20">
        <f ca="1">SUM($C205:N205)</f>
        <v>0</v>
      </c>
      <c r="O315" s="20">
        <f ca="1">SUM($C205:O205)</f>
        <v>0</v>
      </c>
      <c r="P315" s="20">
        <f ca="1">SUM($C205:P205)</f>
        <v>0</v>
      </c>
      <c r="Q315" s="20">
        <f ca="1">SUM($C205:Q205)</f>
        <v>0</v>
      </c>
      <c r="R315" s="20">
        <f ca="1">SUM($C205:R205)</f>
        <v>0</v>
      </c>
      <c r="S315" s="20">
        <f ca="1">SUM($C205:S205)</f>
        <v>0</v>
      </c>
      <c r="T315" s="20">
        <f ca="1">SUM($C205:T205)</f>
        <v>0</v>
      </c>
      <c r="U315" s="20">
        <f ca="1">SUM($C205:U205)</f>
        <v>0</v>
      </c>
      <c r="V315" s="20">
        <f ca="1">SUM($C205:V205)</f>
        <v>0</v>
      </c>
      <c r="W315" s="20">
        <f ca="1">SUM($C205:W205)</f>
        <v>0</v>
      </c>
      <c r="X315" s="20">
        <f ca="1">SUM($C205:X205)</f>
        <v>0</v>
      </c>
      <c r="Y315" s="20">
        <f ca="1">SUM($C205:Y205)</f>
        <v>0</v>
      </c>
      <c r="Z315" s="20">
        <f ca="1">SUM($C205:Z205)</f>
        <v>0</v>
      </c>
      <c r="AA315" s="20">
        <f ca="1">SUM($C205:AA205)</f>
        <v>0</v>
      </c>
      <c r="AB315" s="20">
        <f ca="1">SUM($C205:AB205)</f>
        <v>0</v>
      </c>
      <c r="AC315" s="20">
        <f ca="1">SUM($C205:AC205)</f>
        <v>0</v>
      </c>
      <c r="AD315" s="20">
        <f ca="1">SUM($C205:AD205)</f>
        <v>0</v>
      </c>
      <c r="AE315" s="20">
        <f ca="1">SUM($C205:AE205)</f>
        <v>0</v>
      </c>
      <c r="AF315" s="20">
        <f ca="1">SUM($C205:AF205)</f>
        <v>0</v>
      </c>
      <c r="AG315" s="20">
        <f ca="1">SUM($C205:AG205)</f>
        <v>0</v>
      </c>
      <c r="AH315" s="20">
        <f ca="1">SUM($C205:AH205)</f>
        <v>0</v>
      </c>
      <c r="AI315" s="20">
        <f ca="1">SUM($C205:AI205)</f>
        <v>0</v>
      </c>
      <c r="AJ315" s="20">
        <f ca="1">SUM($C205:AJ205)</f>
        <v>0</v>
      </c>
      <c r="AK315" s="20">
        <f ca="1">SUM($C205:AK205)</f>
        <v>0</v>
      </c>
      <c r="AL315" s="20">
        <f ca="1">SUM($C205:AL205)</f>
        <v>0</v>
      </c>
      <c r="AM315" s="20">
        <f ca="1">SUM($C205:AM205)</f>
        <v>0</v>
      </c>
    </row>
    <row r="316" spans="1:39" x14ac:dyDescent="0.2">
      <c r="A316" s="22" t="str">
        <f>B$222</f>
        <v>Gzira</v>
      </c>
      <c r="B316" s="19"/>
      <c r="C316" s="20">
        <f ca="1">SUM($C222:C222)</f>
        <v>0</v>
      </c>
      <c r="D316" s="20">
        <f ca="1">SUM($C222:D222)</f>
        <v>0</v>
      </c>
      <c r="E316" s="20">
        <f ca="1">SUM($C222:E222)</f>
        <v>0</v>
      </c>
      <c r="F316" s="20">
        <f ca="1">SUM($C222:F222)</f>
        <v>0</v>
      </c>
      <c r="G316" s="20">
        <f ca="1">SUM($C222:G222)</f>
        <v>0</v>
      </c>
      <c r="H316" s="20">
        <f ca="1">SUM($C222:H222)</f>
        <v>0</v>
      </c>
      <c r="I316" s="20">
        <f ca="1">SUM($C222:I222)</f>
        <v>0</v>
      </c>
      <c r="J316" s="20">
        <f ca="1">SUM($C222:J222)</f>
        <v>0</v>
      </c>
      <c r="K316" s="20">
        <f ca="1">SUM($C222:K222)</f>
        <v>0</v>
      </c>
      <c r="L316" s="20">
        <f ca="1">SUM($C222:L222)</f>
        <v>0</v>
      </c>
      <c r="M316" s="20">
        <f ca="1">SUM($C222:M222)</f>
        <v>0</v>
      </c>
      <c r="N316" s="20">
        <f ca="1">SUM($C222:N222)</f>
        <v>0</v>
      </c>
      <c r="O316" s="20">
        <f ca="1">SUM($C222:O222)</f>
        <v>0</v>
      </c>
      <c r="P316" s="20">
        <f ca="1">SUM($C222:P222)</f>
        <v>0</v>
      </c>
      <c r="Q316" s="20">
        <f ca="1">SUM($C222:Q222)</f>
        <v>0</v>
      </c>
      <c r="R316" s="20">
        <f ca="1">SUM($C222:R222)</f>
        <v>0</v>
      </c>
      <c r="S316" s="20">
        <f ca="1">SUM($C222:S222)</f>
        <v>0</v>
      </c>
      <c r="T316" s="20">
        <f ca="1">SUM($C222:T222)</f>
        <v>0</v>
      </c>
      <c r="U316" s="20">
        <f ca="1">SUM($C222:U222)</f>
        <v>0</v>
      </c>
      <c r="V316" s="20">
        <f ca="1">SUM($C222:V222)</f>
        <v>0</v>
      </c>
      <c r="W316" s="20">
        <f ca="1">SUM($C222:W222)</f>
        <v>0</v>
      </c>
      <c r="X316" s="20">
        <f ca="1">SUM($C222:X222)</f>
        <v>0</v>
      </c>
      <c r="Y316" s="20">
        <f ca="1">SUM($C222:Y222)</f>
        <v>0</v>
      </c>
      <c r="Z316" s="20">
        <f ca="1">SUM($C222:Z222)</f>
        <v>0</v>
      </c>
      <c r="AA316" s="20">
        <f ca="1">SUM($C222:AA222)</f>
        <v>0</v>
      </c>
      <c r="AB316" s="20">
        <f ca="1">SUM($C222:AB222)</f>
        <v>0</v>
      </c>
      <c r="AC316" s="20">
        <f ca="1">SUM($C222:AC222)</f>
        <v>0</v>
      </c>
      <c r="AD316" s="20">
        <f ca="1">SUM($C222:AD222)</f>
        <v>0</v>
      </c>
      <c r="AE316" s="20">
        <f ca="1">SUM($C222:AE222)</f>
        <v>0</v>
      </c>
      <c r="AF316" s="20">
        <f ca="1">SUM($C222:AF222)</f>
        <v>0</v>
      </c>
      <c r="AG316" s="20">
        <f ca="1">SUM($C222:AG222)</f>
        <v>0</v>
      </c>
      <c r="AH316" s="20">
        <f ca="1">SUM($C222:AH222)</f>
        <v>0</v>
      </c>
      <c r="AI316" s="20">
        <f ca="1">SUM($C222:AI222)</f>
        <v>0</v>
      </c>
      <c r="AJ316" s="20">
        <f ca="1">SUM($C222:AJ222)</f>
        <v>0</v>
      </c>
      <c r="AK316" s="20">
        <f ca="1">SUM($C222:AK222)</f>
        <v>0</v>
      </c>
      <c r="AL316" s="20">
        <f ca="1">SUM($C222:AL222)</f>
        <v>0</v>
      </c>
      <c r="AM316" s="20">
        <f ca="1">SUM($C222:AM222)</f>
        <v>0</v>
      </c>
    </row>
    <row r="317" spans="1:39" x14ac:dyDescent="0.2">
      <c r="A317" s="22" t="str">
        <f>B$239</f>
        <v>Boat</v>
      </c>
      <c r="B317" s="19"/>
      <c r="C317" s="20">
        <f ca="1">SUM($C239:C239)</f>
        <v>0</v>
      </c>
      <c r="D317" s="20">
        <f ca="1">SUM($C239:D239)</f>
        <v>0</v>
      </c>
      <c r="E317" s="20">
        <f ca="1">SUM($C239:E239)</f>
        <v>0</v>
      </c>
      <c r="F317" s="20">
        <f ca="1">SUM($C239:F239)</f>
        <v>0</v>
      </c>
      <c r="G317" s="20">
        <f ca="1">SUM($C239:G239)</f>
        <v>0</v>
      </c>
      <c r="H317" s="20">
        <f ca="1">SUM($C239:H239)</f>
        <v>0</v>
      </c>
      <c r="I317" s="20">
        <f ca="1">SUM($C239:I239)</f>
        <v>0</v>
      </c>
      <c r="J317" s="20">
        <f ca="1">SUM($C239:J239)</f>
        <v>0</v>
      </c>
      <c r="K317" s="20">
        <f ca="1">SUM($C239:K239)</f>
        <v>0</v>
      </c>
      <c r="L317" s="20">
        <f ca="1">SUM($C239:L239)</f>
        <v>0</v>
      </c>
      <c r="M317" s="20">
        <f ca="1">SUM($C239:M239)</f>
        <v>0</v>
      </c>
      <c r="N317" s="20">
        <f ca="1">SUM($C239:N239)</f>
        <v>0</v>
      </c>
      <c r="O317" s="20">
        <f ca="1">SUM($C239:O239)</f>
        <v>0</v>
      </c>
      <c r="P317" s="20">
        <f ca="1">SUM($C239:P239)</f>
        <v>0</v>
      </c>
      <c r="Q317" s="20">
        <f ca="1">SUM($C239:Q239)</f>
        <v>0</v>
      </c>
      <c r="R317" s="20">
        <f ca="1">SUM($C239:R239)</f>
        <v>0</v>
      </c>
      <c r="S317" s="20">
        <f ca="1">SUM($C239:S239)</f>
        <v>0</v>
      </c>
      <c r="T317" s="20">
        <f ca="1">SUM($C239:T239)</f>
        <v>0</v>
      </c>
      <c r="U317" s="20">
        <f ca="1">SUM($C239:U239)</f>
        <v>0</v>
      </c>
      <c r="V317" s="20">
        <f ca="1">SUM($C239:V239)</f>
        <v>0</v>
      </c>
      <c r="W317" s="20">
        <f ca="1">SUM($C239:W239)</f>
        <v>0</v>
      </c>
      <c r="X317" s="20">
        <f ca="1">SUM($C239:X239)</f>
        <v>0</v>
      </c>
      <c r="Y317" s="20">
        <f ca="1">SUM($C239:Y239)</f>
        <v>0</v>
      </c>
      <c r="Z317" s="20">
        <f ca="1">SUM($C239:Z239)</f>
        <v>0</v>
      </c>
      <c r="AA317" s="20">
        <f ca="1">SUM($C239:AA239)</f>
        <v>0</v>
      </c>
      <c r="AB317" s="20">
        <f ca="1">SUM($C239:AB239)</f>
        <v>0</v>
      </c>
      <c r="AC317" s="20">
        <f ca="1">SUM($C239:AC239)</f>
        <v>0</v>
      </c>
      <c r="AD317" s="20">
        <f ca="1">SUM($C239:AD239)</f>
        <v>0</v>
      </c>
      <c r="AE317" s="20">
        <f ca="1">SUM($C239:AE239)</f>
        <v>0</v>
      </c>
      <c r="AF317" s="20">
        <f ca="1">SUM($C239:AF239)</f>
        <v>0</v>
      </c>
      <c r="AG317" s="20">
        <f ca="1">SUM($C239:AG239)</f>
        <v>0</v>
      </c>
      <c r="AH317" s="20">
        <f ca="1">SUM($C239:AH239)</f>
        <v>0</v>
      </c>
      <c r="AI317" s="20">
        <f ca="1">SUM($C239:AI239)</f>
        <v>0</v>
      </c>
      <c r="AJ317" s="20">
        <f ca="1">SUM($C239:AJ239)</f>
        <v>0</v>
      </c>
      <c r="AK317" s="20">
        <f ca="1">SUM($C239:AK239)</f>
        <v>0</v>
      </c>
      <c r="AL317" s="20">
        <f ca="1">SUM($C239:AL239)</f>
        <v>0</v>
      </c>
      <c r="AM317" s="20">
        <f ca="1">SUM($C239:AM239)</f>
        <v>0</v>
      </c>
    </row>
    <row r="318" spans="1:39" x14ac:dyDescent="0.2">
      <c r="A318" s="22" t="str">
        <f>B$256</f>
        <v>Qormi</v>
      </c>
      <c r="B318" s="19"/>
      <c r="C318" s="20">
        <f ca="1">SUM($C256:C256)</f>
        <v>0</v>
      </c>
      <c r="D318" s="20">
        <f ca="1">SUM($C256:D256)</f>
        <v>0</v>
      </c>
      <c r="E318" s="20">
        <f ca="1">SUM($C256:E256)</f>
        <v>0</v>
      </c>
      <c r="F318" s="20">
        <f ca="1">SUM($C256:F256)</f>
        <v>0</v>
      </c>
      <c r="G318" s="20">
        <f ca="1">SUM($C256:G256)</f>
        <v>0</v>
      </c>
      <c r="H318" s="20">
        <f ca="1">SUM($C256:H256)</f>
        <v>0</v>
      </c>
      <c r="I318" s="20">
        <f ca="1">SUM($C256:I256)</f>
        <v>0</v>
      </c>
      <c r="J318" s="20">
        <f ca="1">SUM($C256:J256)</f>
        <v>0</v>
      </c>
      <c r="K318" s="20">
        <f ca="1">SUM($C256:K256)</f>
        <v>0</v>
      </c>
      <c r="L318" s="20">
        <f ca="1">SUM($C256:L256)</f>
        <v>0</v>
      </c>
      <c r="M318" s="20">
        <f ca="1">SUM($C256:M256)</f>
        <v>0</v>
      </c>
      <c r="N318" s="20">
        <f ca="1">SUM($C256:N256)</f>
        <v>0</v>
      </c>
      <c r="O318" s="20">
        <f ca="1">SUM($C256:O256)</f>
        <v>0</v>
      </c>
      <c r="P318" s="20">
        <f ca="1">SUM($C256:P256)</f>
        <v>0</v>
      </c>
      <c r="Q318" s="20">
        <f ca="1">SUM($C256:Q256)</f>
        <v>0</v>
      </c>
      <c r="R318" s="20">
        <f ca="1">SUM($C256:R256)</f>
        <v>0</v>
      </c>
      <c r="S318" s="20">
        <f ca="1">SUM($C256:S256)</f>
        <v>0</v>
      </c>
      <c r="T318" s="20">
        <f ca="1">SUM($C256:T256)</f>
        <v>0</v>
      </c>
      <c r="U318" s="20">
        <f ca="1">SUM($C256:U256)</f>
        <v>0</v>
      </c>
      <c r="V318" s="20">
        <f ca="1">SUM($C256:V256)</f>
        <v>0</v>
      </c>
      <c r="W318" s="20">
        <f ca="1">SUM($C256:W256)</f>
        <v>0</v>
      </c>
      <c r="X318" s="20">
        <f ca="1">SUM($C256:X256)</f>
        <v>0</v>
      </c>
      <c r="Y318" s="20">
        <f ca="1">SUM($C256:Y256)</f>
        <v>0</v>
      </c>
      <c r="Z318" s="20">
        <f ca="1">SUM($C256:Z256)</f>
        <v>0</v>
      </c>
      <c r="AA318" s="20">
        <f ca="1">SUM($C256:AA256)</f>
        <v>0</v>
      </c>
      <c r="AB318" s="20">
        <f ca="1">SUM($C256:AB256)</f>
        <v>0</v>
      </c>
      <c r="AC318" s="20">
        <f ca="1">SUM($C256:AC256)</f>
        <v>0</v>
      </c>
      <c r="AD318" s="20">
        <f ca="1">SUM($C256:AD256)</f>
        <v>0</v>
      </c>
      <c r="AE318" s="20">
        <f ca="1">SUM($C256:AE256)</f>
        <v>0</v>
      </c>
      <c r="AF318" s="20">
        <f ca="1">SUM($C256:AF256)</f>
        <v>0</v>
      </c>
      <c r="AG318" s="20">
        <f ca="1">SUM($C256:AG256)</f>
        <v>0</v>
      </c>
      <c r="AH318" s="20">
        <f ca="1">SUM($C256:AH256)</f>
        <v>0</v>
      </c>
      <c r="AI318" s="20">
        <f ca="1">SUM($C256:AI256)</f>
        <v>0</v>
      </c>
      <c r="AJ318" s="20">
        <f ca="1">SUM($C256:AJ256)</f>
        <v>0</v>
      </c>
      <c r="AK318" s="20">
        <f ca="1">SUM($C256:AK256)</f>
        <v>0</v>
      </c>
      <c r="AL318" s="20">
        <f ca="1">SUM($C256:AL256)</f>
        <v>0</v>
      </c>
      <c r="AM318" s="20">
        <f ca="1">SUM($C256:AM256)</f>
        <v>0</v>
      </c>
    </row>
    <row r="319" spans="1:39" x14ac:dyDescent="0.2">
      <c r="A319" s="22" t="str">
        <f>B$273</f>
        <v>Sliema</v>
      </c>
      <c r="B319" s="19"/>
      <c r="C319" s="20">
        <f ca="1">SUM($C273:C273)</f>
        <v>0</v>
      </c>
      <c r="D319" s="20">
        <f ca="1">SUM($C273:D273)</f>
        <v>0</v>
      </c>
      <c r="E319" s="20">
        <f ca="1">SUM($C273:E273)</f>
        <v>0</v>
      </c>
      <c r="F319" s="20">
        <f ca="1">SUM($C273:F273)</f>
        <v>0</v>
      </c>
      <c r="G319" s="20">
        <f ca="1">SUM($C273:G273)</f>
        <v>0</v>
      </c>
      <c r="H319" s="20">
        <f ca="1">SUM($C273:H273)</f>
        <v>0</v>
      </c>
      <c r="I319" s="20">
        <f ca="1">SUM($C273:I273)</f>
        <v>0</v>
      </c>
      <c r="J319" s="20">
        <f ca="1">SUM($C273:J273)</f>
        <v>0</v>
      </c>
      <c r="K319" s="20">
        <f ca="1">SUM($C273:K273)</f>
        <v>0</v>
      </c>
      <c r="L319" s="20">
        <f ca="1">SUM($C273:L273)</f>
        <v>0</v>
      </c>
      <c r="M319" s="20">
        <f ca="1">SUM($C273:M273)</f>
        <v>0</v>
      </c>
      <c r="N319" s="20">
        <f ca="1">SUM($C273:N273)</f>
        <v>0</v>
      </c>
      <c r="O319" s="20">
        <f ca="1">SUM($C273:O273)</f>
        <v>0</v>
      </c>
      <c r="P319" s="20">
        <f ca="1">SUM($C273:P273)</f>
        <v>0</v>
      </c>
      <c r="Q319" s="20">
        <f ca="1">SUM($C273:Q273)</f>
        <v>0</v>
      </c>
      <c r="R319" s="20">
        <f ca="1">SUM($C273:R273)</f>
        <v>0</v>
      </c>
      <c r="S319" s="20">
        <f ca="1">SUM($C273:S273)</f>
        <v>0</v>
      </c>
      <c r="T319" s="20">
        <f ca="1">SUM($C273:T273)</f>
        <v>0</v>
      </c>
      <c r="U319" s="20">
        <f ca="1">SUM($C273:U273)</f>
        <v>0</v>
      </c>
      <c r="V319" s="20">
        <f ca="1">SUM($C273:V273)</f>
        <v>0</v>
      </c>
      <c r="W319" s="20">
        <f ca="1">SUM($C273:W273)</f>
        <v>0</v>
      </c>
      <c r="X319" s="20">
        <f ca="1">SUM($C273:X273)</f>
        <v>0</v>
      </c>
      <c r="Y319" s="20">
        <f ca="1">SUM($C273:Y273)</f>
        <v>0</v>
      </c>
      <c r="Z319" s="20">
        <f ca="1">SUM($C273:Z273)</f>
        <v>0</v>
      </c>
      <c r="AA319" s="20">
        <f ca="1">SUM($C273:AA273)</f>
        <v>0</v>
      </c>
      <c r="AB319" s="20">
        <f ca="1">SUM($C273:AB273)</f>
        <v>0</v>
      </c>
      <c r="AC319" s="20">
        <f ca="1">SUM($C273:AC273)</f>
        <v>0</v>
      </c>
      <c r="AD319" s="20">
        <f ca="1">SUM($C273:AD273)</f>
        <v>0</v>
      </c>
      <c r="AE319" s="20">
        <f ca="1">SUM($C273:AE273)</f>
        <v>0</v>
      </c>
      <c r="AF319" s="20">
        <f ca="1">SUM($C273:AF273)</f>
        <v>0</v>
      </c>
      <c r="AG319" s="20">
        <f ca="1">SUM($C273:AG273)</f>
        <v>0</v>
      </c>
      <c r="AH319" s="20">
        <f ca="1">SUM($C273:AH273)</f>
        <v>0</v>
      </c>
      <c r="AI319" s="20">
        <f ca="1">SUM($C273:AI273)</f>
        <v>0</v>
      </c>
      <c r="AJ319" s="20">
        <f ca="1">SUM($C273:AJ273)</f>
        <v>0</v>
      </c>
      <c r="AK319" s="20">
        <f ca="1">SUM($C273:AK273)</f>
        <v>0</v>
      </c>
      <c r="AL319" s="20">
        <f ca="1">SUM($C273:AL273)</f>
        <v>0</v>
      </c>
      <c r="AM319" s="20">
        <f ca="1">SUM($C273:AM273)</f>
        <v>0</v>
      </c>
    </row>
    <row r="320" spans="1:39" x14ac:dyDescent="0.2">
      <c r="A320" s="21"/>
      <c r="B320" s="19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</row>
    <row r="321" spans="1:39" x14ac:dyDescent="0.2">
      <c r="A321" s="3" t="s">
        <v>205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x14ac:dyDescent="0.2">
      <c r="A322" s="16" t="str">
        <f>A298</f>
        <v>Sliema</v>
      </c>
      <c r="C322" s="7">
        <f t="shared" ref="C322:AM328" ca="1" si="169">IFERROR(IF(VLOOKUP($A322,$309:$319,C$1+2,FALSE)=0,C83,0),C83)</f>
        <v>-46207.530015832221</v>
      </c>
      <c r="D322" s="7">
        <f t="shared" ca="1" si="169"/>
        <v>-41529.784875172016</v>
      </c>
      <c r="E322" s="7">
        <f t="shared" ca="1" si="169"/>
        <v>-36709.76163986107</v>
      </c>
      <c r="F322" s="7">
        <f t="shared" ca="1" si="169"/>
        <v>-31743.132785502858</v>
      </c>
      <c r="G322" s="7">
        <f t="shared" ca="1" si="169"/>
        <v>-26625.439161905048</v>
      </c>
      <c r="H322" s="7">
        <f t="shared" ca="1" si="169"/>
        <v>-21352.085989555409</v>
      </c>
      <c r="I322" s="7">
        <f t="shared" ca="1" si="169"/>
        <v>-15918.338734325836</v>
      </c>
      <c r="J322" s="7">
        <f t="shared" ca="1" si="169"/>
        <v>-10319.318856702368</v>
      </c>
      <c r="K322" s="7">
        <f t="shared" ca="1" si="169"/>
        <v>-4549.9994317232195</v>
      </c>
      <c r="L322" s="7">
        <f t="shared" ca="1" si="169"/>
        <v>0</v>
      </c>
      <c r="M322" s="7">
        <f t="shared" ca="1" si="169"/>
        <v>0</v>
      </c>
      <c r="N322" s="7">
        <f t="shared" ca="1" si="169"/>
        <v>0</v>
      </c>
      <c r="O322" s="7">
        <f t="shared" ca="1" si="169"/>
        <v>0</v>
      </c>
      <c r="P322" s="7">
        <f t="shared" ca="1" si="169"/>
        <v>0</v>
      </c>
      <c r="Q322" s="7">
        <f t="shared" ca="1" si="169"/>
        <v>0</v>
      </c>
      <c r="R322" s="7">
        <f t="shared" ca="1" si="169"/>
        <v>0</v>
      </c>
      <c r="S322" s="7">
        <f t="shared" ca="1" si="169"/>
        <v>0</v>
      </c>
      <c r="T322" s="7">
        <f t="shared" ca="1" si="169"/>
        <v>0</v>
      </c>
      <c r="U322" s="7">
        <f t="shared" ca="1" si="169"/>
        <v>0</v>
      </c>
      <c r="V322" s="7">
        <f t="shared" ca="1" si="169"/>
        <v>0</v>
      </c>
      <c r="W322" s="7">
        <f t="shared" ca="1" si="169"/>
        <v>0</v>
      </c>
      <c r="X322" s="7">
        <f t="shared" ca="1" si="169"/>
        <v>0</v>
      </c>
      <c r="Y322" s="7">
        <f t="shared" ca="1" si="169"/>
        <v>0</v>
      </c>
      <c r="Z322" s="7">
        <f t="shared" ca="1" si="169"/>
        <v>0</v>
      </c>
      <c r="AA322" s="7">
        <f t="shared" ca="1" si="169"/>
        <v>0</v>
      </c>
      <c r="AB322" s="7">
        <f t="shared" ca="1" si="169"/>
        <v>0</v>
      </c>
      <c r="AC322" s="7">
        <f t="shared" ca="1" si="169"/>
        <v>0</v>
      </c>
      <c r="AD322" s="7">
        <f t="shared" ca="1" si="169"/>
        <v>0</v>
      </c>
      <c r="AE322" s="7">
        <f t="shared" ca="1" si="169"/>
        <v>0</v>
      </c>
      <c r="AF322" s="7">
        <f t="shared" ca="1" si="169"/>
        <v>0</v>
      </c>
      <c r="AG322" s="7">
        <f t="shared" ca="1" si="169"/>
        <v>0</v>
      </c>
      <c r="AH322" s="7">
        <f t="shared" ca="1" si="169"/>
        <v>0</v>
      </c>
      <c r="AI322" s="7">
        <f t="shared" ca="1" si="169"/>
        <v>0</v>
      </c>
      <c r="AJ322" s="7">
        <f t="shared" ca="1" si="169"/>
        <v>0</v>
      </c>
      <c r="AK322" s="7">
        <f t="shared" ca="1" si="169"/>
        <v>0</v>
      </c>
      <c r="AL322" s="7">
        <f t="shared" ca="1" si="169"/>
        <v>0</v>
      </c>
      <c r="AM322" s="7">
        <f t="shared" ca="1" si="169"/>
        <v>0</v>
      </c>
    </row>
    <row r="323" spans="1:39" x14ac:dyDescent="0.2">
      <c r="A323" s="16" t="str">
        <f t="shared" ref="A323:A331" si="170">A299</f>
        <v>Gzira</v>
      </c>
      <c r="C323" s="7">
        <f t="shared" ca="1" si="169"/>
        <v>-6627.6670411890118</v>
      </c>
      <c r="D323" s="7">
        <f t="shared" ca="1" si="169"/>
        <v>-4339.3195483066884</v>
      </c>
      <c r="E323" s="7">
        <f t="shared" ca="1" si="169"/>
        <v>-2004.7832357051393</v>
      </c>
      <c r="F323" s="7">
        <f t="shared" ca="1" si="169"/>
        <v>0</v>
      </c>
      <c r="G323" s="7">
        <f t="shared" ca="1" si="169"/>
        <v>0</v>
      </c>
      <c r="H323" s="7">
        <f t="shared" ca="1" si="169"/>
        <v>0</v>
      </c>
      <c r="I323" s="7">
        <f t="shared" ca="1" si="169"/>
        <v>0</v>
      </c>
      <c r="J323" s="7">
        <f t="shared" ca="1" si="169"/>
        <v>0</v>
      </c>
      <c r="K323" s="7">
        <f t="shared" ca="1" si="169"/>
        <v>0</v>
      </c>
      <c r="L323" s="7">
        <f t="shared" ca="1" si="169"/>
        <v>0</v>
      </c>
      <c r="M323" s="7">
        <f t="shared" ca="1" si="169"/>
        <v>0</v>
      </c>
      <c r="N323" s="7">
        <f t="shared" ca="1" si="169"/>
        <v>0</v>
      </c>
      <c r="O323" s="7">
        <f t="shared" ca="1" si="169"/>
        <v>0</v>
      </c>
      <c r="P323" s="7">
        <f t="shared" ca="1" si="169"/>
        <v>0</v>
      </c>
      <c r="Q323" s="7">
        <f t="shared" ca="1" si="169"/>
        <v>0</v>
      </c>
      <c r="R323" s="7">
        <f t="shared" ca="1" si="169"/>
        <v>0</v>
      </c>
      <c r="S323" s="7">
        <f t="shared" ca="1" si="169"/>
        <v>0</v>
      </c>
      <c r="T323" s="7">
        <f t="shared" ca="1" si="169"/>
        <v>0</v>
      </c>
      <c r="U323" s="7">
        <f t="shared" ca="1" si="169"/>
        <v>0</v>
      </c>
      <c r="V323" s="7">
        <f t="shared" ca="1" si="169"/>
        <v>0</v>
      </c>
      <c r="W323" s="7">
        <f t="shared" ca="1" si="169"/>
        <v>0</v>
      </c>
      <c r="X323" s="7">
        <f t="shared" ca="1" si="169"/>
        <v>0</v>
      </c>
      <c r="Y323" s="7">
        <f t="shared" ca="1" si="169"/>
        <v>0</v>
      </c>
      <c r="Z323" s="7">
        <f t="shared" ca="1" si="169"/>
        <v>0</v>
      </c>
      <c r="AA323" s="7">
        <f t="shared" ca="1" si="169"/>
        <v>0</v>
      </c>
      <c r="AB323" s="7">
        <f t="shared" ca="1" si="169"/>
        <v>0</v>
      </c>
      <c r="AC323" s="7">
        <f t="shared" ca="1" si="169"/>
        <v>0</v>
      </c>
      <c r="AD323" s="7">
        <f t="shared" ca="1" si="169"/>
        <v>0</v>
      </c>
      <c r="AE323" s="7">
        <f t="shared" ca="1" si="169"/>
        <v>0</v>
      </c>
      <c r="AF323" s="7">
        <f t="shared" ca="1" si="169"/>
        <v>0</v>
      </c>
      <c r="AG323" s="7">
        <f t="shared" ca="1" si="169"/>
        <v>0</v>
      </c>
      <c r="AH323" s="7">
        <f t="shared" ca="1" si="169"/>
        <v>0</v>
      </c>
      <c r="AI323" s="7">
        <f t="shared" ca="1" si="169"/>
        <v>0</v>
      </c>
      <c r="AJ323" s="7">
        <f t="shared" ca="1" si="169"/>
        <v>0</v>
      </c>
      <c r="AK323" s="7">
        <f t="shared" ca="1" si="169"/>
        <v>0</v>
      </c>
      <c r="AL323" s="7">
        <f t="shared" ca="1" si="169"/>
        <v>0</v>
      </c>
      <c r="AM323" s="7">
        <f t="shared" ca="1" si="169"/>
        <v>0</v>
      </c>
    </row>
    <row r="324" spans="1:39" x14ac:dyDescent="0.2">
      <c r="A324" s="16" t="str">
        <f t="shared" si="170"/>
        <v>Qormi</v>
      </c>
      <c r="C324" s="7">
        <f t="shared" ca="1" si="169"/>
        <v>-13089.450262401593</v>
      </c>
      <c r="D324" s="7">
        <f t="shared" ca="1" si="169"/>
        <v>-10689.417507150618</v>
      </c>
      <c r="E324" s="7">
        <f t="shared" ca="1" si="169"/>
        <v>-8166.5945211626622</v>
      </c>
      <c r="F324" s="7">
        <f t="shared" ca="1" si="169"/>
        <v>-5514.6991231919146</v>
      </c>
      <c r="G324" s="7">
        <f t="shared" ca="1" si="169"/>
        <v>-2727.1277236771257</v>
      </c>
      <c r="H324" s="7">
        <f t="shared" ca="1" si="169"/>
        <v>0</v>
      </c>
      <c r="I324" s="7">
        <f t="shared" ca="1" si="169"/>
        <v>0</v>
      </c>
      <c r="J324" s="7">
        <f t="shared" ca="1" si="169"/>
        <v>0</v>
      </c>
      <c r="K324" s="7">
        <f t="shared" ca="1" si="169"/>
        <v>0</v>
      </c>
      <c r="L324" s="7">
        <f t="shared" ca="1" si="169"/>
        <v>0</v>
      </c>
      <c r="M324" s="7">
        <f t="shared" ca="1" si="169"/>
        <v>0</v>
      </c>
      <c r="N324" s="7">
        <f t="shared" ca="1" si="169"/>
        <v>0</v>
      </c>
      <c r="O324" s="7">
        <f t="shared" ca="1" si="169"/>
        <v>0</v>
      </c>
      <c r="P324" s="7">
        <f t="shared" ca="1" si="169"/>
        <v>0</v>
      </c>
      <c r="Q324" s="7">
        <f t="shared" ca="1" si="169"/>
        <v>0</v>
      </c>
      <c r="R324" s="7">
        <f t="shared" ca="1" si="169"/>
        <v>0</v>
      </c>
      <c r="S324" s="7">
        <f t="shared" ca="1" si="169"/>
        <v>0</v>
      </c>
      <c r="T324" s="7">
        <f t="shared" ca="1" si="169"/>
        <v>0</v>
      </c>
      <c r="U324" s="7">
        <f t="shared" ca="1" si="169"/>
        <v>0</v>
      </c>
      <c r="V324" s="7">
        <f t="shared" ca="1" si="169"/>
        <v>0</v>
      </c>
      <c r="W324" s="7">
        <f t="shared" ca="1" si="169"/>
        <v>0</v>
      </c>
      <c r="X324" s="7">
        <f t="shared" ca="1" si="169"/>
        <v>0</v>
      </c>
      <c r="Y324" s="7">
        <f t="shared" ca="1" si="169"/>
        <v>0</v>
      </c>
      <c r="Z324" s="7">
        <f t="shared" ca="1" si="169"/>
        <v>0</v>
      </c>
      <c r="AA324" s="7">
        <f t="shared" ca="1" si="169"/>
        <v>0</v>
      </c>
      <c r="AB324" s="7">
        <f t="shared" ca="1" si="169"/>
        <v>0</v>
      </c>
      <c r="AC324" s="7">
        <f t="shared" ca="1" si="169"/>
        <v>0</v>
      </c>
      <c r="AD324" s="7">
        <f t="shared" ca="1" si="169"/>
        <v>0</v>
      </c>
      <c r="AE324" s="7">
        <f t="shared" ca="1" si="169"/>
        <v>0</v>
      </c>
      <c r="AF324" s="7">
        <f t="shared" ca="1" si="169"/>
        <v>0</v>
      </c>
      <c r="AG324" s="7">
        <f t="shared" ca="1" si="169"/>
        <v>0</v>
      </c>
      <c r="AH324" s="7">
        <f t="shared" ca="1" si="169"/>
        <v>0</v>
      </c>
      <c r="AI324" s="7">
        <f t="shared" ca="1" si="169"/>
        <v>0</v>
      </c>
      <c r="AJ324" s="7">
        <f t="shared" ca="1" si="169"/>
        <v>0</v>
      </c>
      <c r="AK324" s="7">
        <f t="shared" ca="1" si="169"/>
        <v>0</v>
      </c>
      <c r="AL324" s="7">
        <f t="shared" ca="1" si="169"/>
        <v>0</v>
      </c>
      <c r="AM324" s="7">
        <f t="shared" ca="1" si="169"/>
        <v>0</v>
      </c>
    </row>
    <row r="325" spans="1:39" x14ac:dyDescent="0.2">
      <c r="A325" s="16" t="str">
        <f t="shared" si="170"/>
        <v>Gudja</v>
      </c>
      <c r="C325" s="7">
        <f t="shared" ca="1" si="169"/>
        <v>-3952.5608629982789</v>
      </c>
      <c r="D325" s="7">
        <f t="shared" ca="1" si="169"/>
        <v>-3063.4916845977205</v>
      </c>
      <c r="E325" s="7">
        <f t="shared" ca="1" si="169"/>
        <v>-2156.4772176748579</v>
      </c>
      <c r="F325" s="7">
        <f t="shared" ca="1" si="169"/>
        <v>-1231.15524814336</v>
      </c>
      <c r="G325" s="7">
        <f t="shared" ca="1" si="169"/>
        <v>0</v>
      </c>
      <c r="H325" s="7">
        <f t="shared" ca="1" si="169"/>
        <v>0</v>
      </c>
      <c r="I325" s="7">
        <f t="shared" ca="1" si="169"/>
        <v>0</v>
      </c>
      <c r="J325" s="7">
        <f t="shared" ca="1" si="169"/>
        <v>0</v>
      </c>
      <c r="K325" s="7">
        <f t="shared" ca="1" si="169"/>
        <v>0</v>
      </c>
      <c r="L325" s="7">
        <f t="shared" ca="1" si="169"/>
        <v>0</v>
      </c>
      <c r="M325" s="7">
        <f t="shared" ca="1" si="169"/>
        <v>0</v>
      </c>
      <c r="N325" s="7">
        <f t="shared" ca="1" si="169"/>
        <v>0</v>
      </c>
      <c r="O325" s="7">
        <f t="shared" ca="1" si="169"/>
        <v>0</v>
      </c>
      <c r="P325" s="7">
        <f t="shared" ca="1" si="169"/>
        <v>0</v>
      </c>
      <c r="Q325" s="7">
        <f t="shared" ca="1" si="169"/>
        <v>0</v>
      </c>
      <c r="R325" s="7">
        <f t="shared" ca="1" si="169"/>
        <v>0</v>
      </c>
      <c r="S325" s="7">
        <f t="shared" ca="1" si="169"/>
        <v>0</v>
      </c>
      <c r="T325" s="7">
        <f t="shared" ca="1" si="169"/>
        <v>0</v>
      </c>
      <c r="U325" s="7">
        <f t="shared" ca="1" si="169"/>
        <v>0</v>
      </c>
      <c r="V325" s="7">
        <f t="shared" ca="1" si="169"/>
        <v>0</v>
      </c>
      <c r="W325" s="7">
        <f t="shared" ca="1" si="169"/>
        <v>0</v>
      </c>
      <c r="X325" s="7">
        <f t="shared" ca="1" si="169"/>
        <v>0</v>
      </c>
      <c r="Y325" s="7">
        <f t="shared" ca="1" si="169"/>
        <v>0</v>
      </c>
      <c r="Z325" s="7">
        <f t="shared" ca="1" si="169"/>
        <v>0</v>
      </c>
      <c r="AA325" s="7">
        <f t="shared" ca="1" si="169"/>
        <v>0</v>
      </c>
      <c r="AB325" s="7">
        <f t="shared" ca="1" si="169"/>
        <v>0</v>
      </c>
      <c r="AC325" s="7">
        <f t="shared" ca="1" si="169"/>
        <v>0</v>
      </c>
      <c r="AD325" s="7">
        <f t="shared" ca="1" si="169"/>
        <v>0</v>
      </c>
      <c r="AE325" s="7">
        <f t="shared" ca="1" si="169"/>
        <v>0</v>
      </c>
      <c r="AF325" s="7">
        <f t="shared" ca="1" si="169"/>
        <v>0</v>
      </c>
      <c r="AG325" s="7">
        <f t="shared" ca="1" si="169"/>
        <v>0</v>
      </c>
      <c r="AH325" s="7">
        <f t="shared" ca="1" si="169"/>
        <v>0</v>
      </c>
      <c r="AI325" s="7">
        <f t="shared" ca="1" si="169"/>
        <v>0</v>
      </c>
      <c r="AJ325" s="7">
        <f t="shared" ca="1" si="169"/>
        <v>0</v>
      </c>
      <c r="AK325" s="7">
        <f t="shared" ca="1" si="169"/>
        <v>0</v>
      </c>
      <c r="AL325" s="7">
        <f t="shared" ca="1" si="169"/>
        <v>0</v>
      </c>
      <c r="AM325" s="7">
        <f t="shared" ca="1" si="169"/>
        <v>0</v>
      </c>
    </row>
    <row r="326" spans="1:39" x14ac:dyDescent="0.2">
      <c r="A326" s="16" t="str">
        <f t="shared" si="170"/>
        <v>Marsa</v>
      </c>
      <c r="C326" s="7">
        <f t="shared" ca="1" si="169"/>
        <v>-8551.2061659277369</v>
      </c>
      <c r="D326" s="7">
        <f t="shared" ca="1" si="169"/>
        <v>-7351.3333523807905</v>
      </c>
      <c r="E326" s="7">
        <f t="shared" ca="1" si="169"/>
        <v>-6114.965259035298</v>
      </c>
      <c r="F326" s="7">
        <f t="shared" ca="1" si="169"/>
        <v>-4840.9918470333869</v>
      </c>
      <c r="G326" s="7">
        <f t="shared" ca="1" si="169"/>
        <v>-3528.2693146230595</v>
      </c>
      <c r="H326" s="7">
        <f t="shared" ca="1" si="169"/>
        <v>-2175.6190702275599</v>
      </c>
      <c r="I326" s="7">
        <f t="shared" ca="1" si="169"/>
        <v>-781.82667427947126</v>
      </c>
      <c r="J326" s="7">
        <f t="shared" ca="1" si="169"/>
        <v>0</v>
      </c>
      <c r="K326" s="7">
        <f t="shared" ca="1" si="169"/>
        <v>0</v>
      </c>
      <c r="L326" s="7">
        <f t="shared" ca="1" si="169"/>
        <v>0</v>
      </c>
      <c r="M326" s="7">
        <f t="shared" ca="1" si="169"/>
        <v>0</v>
      </c>
      <c r="N326" s="7">
        <f t="shared" ca="1" si="169"/>
        <v>0</v>
      </c>
      <c r="O326" s="7">
        <f t="shared" ca="1" si="169"/>
        <v>0</v>
      </c>
      <c r="P326" s="7">
        <f t="shared" ca="1" si="169"/>
        <v>0</v>
      </c>
      <c r="Q326" s="7">
        <f t="shared" ca="1" si="169"/>
        <v>0</v>
      </c>
      <c r="R326" s="7">
        <f t="shared" ca="1" si="169"/>
        <v>0</v>
      </c>
      <c r="S326" s="7">
        <f t="shared" ca="1" si="169"/>
        <v>0</v>
      </c>
      <c r="T326" s="7">
        <f t="shared" ca="1" si="169"/>
        <v>0</v>
      </c>
      <c r="U326" s="7">
        <f t="shared" ca="1" si="169"/>
        <v>0</v>
      </c>
      <c r="V326" s="7">
        <f t="shared" ca="1" si="169"/>
        <v>0</v>
      </c>
      <c r="W326" s="7">
        <f t="shared" ca="1" si="169"/>
        <v>0</v>
      </c>
      <c r="X326" s="7">
        <f t="shared" ca="1" si="169"/>
        <v>0</v>
      </c>
      <c r="Y326" s="7">
        <f t="shared" ca="1" si="169"/>
        <v>0</v>
      </c>
      <c r="Z326" s="7">
        <f t="shared" ca="1" si="169"/>
        <v>0</v>
      </c>
      <c r="AA326" s="7">
        <f t="shared" ca="1" si="169"/>
        <v>0</v>
      </c>
      <c r="AB326" s="7">
        <f t="shared" ca="1" si="169"/>
        <v>0</v>
      </c>
      <c r="AC326" s="7">
        <f t="shared" ca="1" si="169"/>
        <v>0</v>
      </c>
      <c r="AD326" s="7">
        <f t="shared" ca="1" si="169"/>
        <v>0</v>
      </c>
      <c r="AE326" s="7">
        <f t="shared" ca="1" si="169"/>
        <v>0</v>
      </c>
      <c r="AF326" s="7">
        <f t="shared" ca="1" si="169"/>
        <v>0</v>
      </c>
      <c r="AG326" s="7">
        <f t="shared" ca="1" si="169"/>
        <v>0</v>
      </c>
      <c r="AH326" s="7">
        <f t="shared" ca="1" si="169"/>
        <v>0</v>
      </c>
      <c r="AI326" s="7">
        <f t="shared" ca="1" si="169"/>
        <v>0</v>
      </c>
      <c r="AJ326" s="7">
        <f t="shared" ca="1" si="169"/>
        <v>0</v>
      </c>
      <c r="AK326" s="7">
        <f t="shared" ca="1" si="169"/>
        <v>0</v>
      </c>
      <c r="AL326" s="7">
        <f t="shared" ca="1" si="169"/>
        <v>0</v>
      </c>
      <c r="AM326" s="7">
        <f t="shared" ca="1" si="169"/>
        <v>0</v>
      </c>
    </row>
    <row r="327" spans="1:39" x14ac:dyDescent="0.2">
      <c r="A327" s="16" t="str">
        <f t="shared" si="170"/>
        <v>Jewelry</v>
      </c>
      <c r="C327" s="7">
        <f ca="1">IFERROR(IF(VLOOKUP($A327,$309:$319,C$1+2,FALSE)=0,C88,0),C88)</f>
        <v>-1804.7138362359074</v>
      </c>
      <c r="D327" s="7">
        <f t="shared" ca="1" si="169"/>
        <v>-947.12722711486958</v>
      </c>
      <c r="E327" s="7">
        <f t="shared" ca="1" si="169"/>
        <v>-63.456300641196776</v>
      </c>
      <c r="F327" s="7">
        <f t="shared" ca="1" si="169"/>
        <v>0</v>
      </c>
      <c r="G327" s="7">
        <f t="shared" ca="1" si="169"/>
        <v>0</v>
      </c>
      <c r="H327" s="7">
        <f t="shared" ca="1" si="169"/>
        <v>0</v>
      </c>
      <c r="I327" s="7">
        <f t="shared" ca="1" si="169"/>
        <v>0</v>
      </c>
      <c r="J327" s="7">
        <f t="shared" ca="1" si="169"/>
        <v>0</v>
      </c>
      <c r="K327" s="7">
        <f t="shared" ca="1" si="169"/>
        <v>0</v>
      </c>
      <c r="L327" s="7">
        <f t="shared" ca="1" si="169"/>
        <v>0</v>
      </c>
      <c r="M327" s="7">
        <f t="shared" ca="1" si="169"/>
        <v>0</v>
      </c>
      <c r="N327" s="7">
        <f t="shared" ca="1" si="169"/>
        <v>0</v>
      </c>
      <c r="O327" s="7">
        <f t="shared" ca="1" si="169"/>
        <v>0</v>
      </c>
      <c r="P327" s="7">
        <f t="shared" ca="1" si="169"/>
        <v>0</v>
      </c>
      <c r="Q327" s="7">
        <f t="shared" ca="1" si="169"/>
        <v>0</v>
      </c>
      <c r="R327" s="7">
        <f t="shared" ca="1" si="169"/>
        <v>0</v>
      </c>
      <c r="S327" s="7">
        <f t="shared" ca="1" si="169"/>
        <v>0</v>
      </c>
      <c r="T327" s="7">
        <f t="shared" ca="1" si="169"/>
        <v>0</v>
      </c>
      <c r="U327" s="7">
        <f t="shared" ca="1" si="169"/>
        <v>0</v>
      </c>
      <c r="V327" s="7">
        <f t="shared" ca="1" si="169"/>
        <v>0</v>
      </c>
      <c r="W327" s="7">
        <f t="shared" ca="1" si="169"/>
        <v>0</v>
      </c>
      <c r="X327" s="7">
        <f t="shared" ca="1" si="169"/>
        <v>0</v>
      </c>
      <c r="Y327" s="7">
        <f t="shared" ca="1" si="169"/>
        <v>0</v>
      </c>
      <c r="Z327" s="7">
        <f t="shared" ca="1" si="169"/>
        <v>0</v>
      </c>
      <c r="AA327" s="7">
        <f t="shared" ca="1" si="169"/>
        <v>0</v>
      </c>
      <c r="AB327" s="7">
        <f t="shared" ca="1" si="169"/>
        <v>0</v>
      </c>
      <c r="AC327" s="7">
        <f t="shared" ca="1" si="169"/>
        <v>0</v>
      </c>
      <c r="AD327" s="7">
        <f t="shared" ca="1" si="169"/>
        <v>0</v>
      </c>
      <c r="AE327" s="7">
        <f t="shared" ca="1" si="169"/>
        <v>0</v>
      </c>
      <c r="AF327" s="7">
        <f t="shared" ca="1" si="169"/>
        <v>0</v>
      </c>
      <c r="AG327" s="7">
        <f t="shared" ca="1" si="169"/>
        <v>0</v>
      </c>
      <c r="AH327" s="7">
        <f t="shared" ca="1" si="169"/>
        <v>0</v>
      </c>
      <c r="AI327" s="7">
        <f t="shared" ca="1" si="169"/>
        <v>0</v>
      </c>
      <c r="AJ327" s="7">
        <f t="shared" ca="1" si="169"/>
        <v>0</v>
      </c>
      <c r="AK327" s="7">
        <f t="shared" ca="1" si="169"/>
        <v>0</v>
      </c>
      <c r="AL327" s="7">
        <f t="shared" ca="1" si="169"/>
        <v>0</v>
      </c>
      <c r="AM327" s="7">
        <f t="shared" ca="1" si="169"/>
        <v>0</v>
      </c>
    </row>
    <row r="328" spans="1:39" x14ac:dyDescent="0.2">
      <c r="A328" s="16" t="str">
        <f t="shared" si="170"/>
        <v>Car</v>
      </c>
      <c r="C328" s="7">
        <f ca="1">IFERROR(IF(VLOOKUP($A328,$309:$319,C$1+2,FALSE)=0,C89,0),C89)</f>
        <v>-5234.2745926297666</v>
      </c>
      <c r="D328" s="7">
        <f t="shared" ca="1" si="169"/>
        <v>-4298.4122995765474</v>
      </c>
      <c r="E328" s="7">
        <f t="shared" ca="1" si="169"/>
        <v>-3343.6602291314293</v>
      </c>
      <c r="F328" s="7">
        <f t="shared" ca="1" si="169"/>
        <v>0</v>
      </c>
      <c r="G328" s="7">
        <f t="shared" ca="1" si="169"/>
        <v>0</v>
      </c>
      <c r="H328" s="7">
        <f t="shared" ca="1" si="169"/>
        <v>0</v>
      </c>
      <c r="I328" s="7">
        <f t="shared" ca="1" si="169"/>
        <v>0</v>
      </c>
      <c r="J328" s="7">
        <f t="shared" ca="1" si="169"/>
        <v>0</v>
      </c>
      <c r="K328" s="7">
        <f t="shared" ca="1" si="169"/>
        <v>0</v>
      </c>
      <c r="L328" s="7">
        <f t="shared" ca="1" si="169"/>
        <v>0</v>
      </c>
      <c r="M328" s="7">
        <f t="shared" ca="1" si="169"/>
        <v>0</v>
      </c>
      <c r="N328" s="7">
        <f t="shared" ca="1" si="169"/>
        <v>0</v>
      </c>
      <c r="O328" s="7">
        <f t="shared" ca="1" si="169"/>
        <v>0</v>
      </c>
      <c r="P328" s="7">
        <f t="shared" ca="1" si="169"/>
        <v>0</v>
      </c>
      <c r="Q328" s="7">
        <f t="shared" ca="1" si="169"/>
        <v>0</v>
      </c>
      <c r="R328" s="7">
        <f t="shared" ca="1" si="169"/>
        <v>0</v>
      </c>
      <c r="S328" s="7">
        <f t="shared" ca="1" si="169"/>
        <v>0</v>
      </c>
      <c r="T328" s="7">
        <f t="shared" ca="1" si="169"/>
        <v>0</v>
      </c>
      <c r="U328" s="7">
        <f t="shared" ca="1" si="169"/>
        <v>0</v>
      </c>
      <c r="V328" s="7">
        <f t="shared" ca="1" si="169"/>
        <v>0</v>
      </c>
      <c r="W328" s="7">
        <f t="shared" ca="1" si="169"/>
        <v>0</v>
      </c>
      <c r="X328" s="7">
        <f t="shared" ca="1" si="169"/>
        <v>0</v>
      </c>
      <c r="Y328" s="7">
        <f t="shared" ca="1" si="169"/>
        <v>0</v>
      </c>
      <c r="Z328" s="7">
        <f t="shared" ca="1" si="169"/>
        <v>0</v>
      </c>
      <c r="AA328" s="7">
        <f t="shared" ca="1" si="169"/>
        <v>0</v>
      </c>
      <c r="AB328" s="7">
        <f t="shared" ca="1" si="169"/>
        <v>0</v>
      </c>
      <c r="AC328" s="7">
        <f t="shared" ca="1" si="169"/>
        <v>0</v>
      </c>
      <c r="AD328" s="7">
        <f t="shared" ca="1" si="169"/>
        <v>0</v>
      </c>
      <c r="AE328" s="7">
        <f t="shared" ca="1" si="169"/>
        <v>0</v>
      </c>
      <c r="AF328" s="7">
        <f t="shared" ca="1" si="169"/>
        <v>0</v>
      </c>
      <c r="AG328" s="7">
        <f t="shared" ca="1" si="169"/>
        <v>0</v>
      </c>
      <c r="AH328" s="7">
        <f t="shared" ca="1" si="169"/>
        <v>0</v>
      </c>
      <c r="AI328" s="7">
        <f t="shared" ca="1" si="169"/>
        <v>0</v>
      </c>
      <c r="AJ328" s="7">
        <f t="shared" ca="1" si="169"/>
        <v>0</v>
      </c>
      <c r="AK328" s="7">
        <f t="shared" ca="1" si="169"/>
        <v>0</v>
      </c>
      <c r="AL328" s="7">
        <f t="shared" ref="AL328:AM328" ca="1" si="171">IFERROR(IF(VLOOKUP($A328,$309:$319,AL$1+2,FALSE)=0,AL89,0),AL89)</f>
        <v>0</v>
      </c>
      <c r="AM328" s="7">
        <f t="shared" ca="1" si="171"/>
        <v>0</v>
      </c>
    </row>
    <row r="329" spans="1:39" x14ac:dyDescent="0.2">
      <c r="A329" s="16" t="str">
        <f t="shared" si="170"/>
        <v>Painting</v>
      </c>
      <c r="C329" s="7">
        <f ca="1">IFERROR(IF(VLOOKUP($A329,$309:$319,C$1+2,FALSE)=0,C90,0),C90)</f>
        <v>-6544.7251312007966</v>
      </c>
      <c r="D329" s="7">
        <f t="shared" ref="D329:AM331" ca="1" si="172">IFERROR(IF(VLOOKUP($A329,$309:$319,D$1+2,FALSE)=0,D90,0),D90)</f>
        <v>-5344.7087535753089</v>
      </c>
      <c r="E329" s="7">
        <f t="shared" ca="1" si="172"/>
        <v>0</v>
      </c>
      <c r="F329" s="7">
        <f t="shared" ca="1" si="172"/>
        <v>0</v>
      </c>
      <c r="G329" s="7">
        <f t="shared" ca="1" si="172"/>
        <v>0</v>
      </c>
      <c r="H329" s="7">
        <f t="shared" ca="1" si="172"/>
        <v>0</v>
      </c>
      <c r="I329" s="7">
        <f t="shared" ca="1" si="172"/>
        <v>0</v>
      </c>
      <c r="J329" s="7">
        <f t="shared" ca="1" si="172"/>
        <v>0</v>
      </c>
      <c r="K329" s="7">
        <f t="shared" ca="1" si="172"/>
        <v>0</v>
      </c>
      <c r="L329" s="7">
        <f t="shared" ca="1" si="172"/>
        <v>0</v>
      </c>
      <c r="M329" s="7">
        <f t="shared" ca="1" si="172"/>
        <v>0</v>
      </c>
      <c r="N329" s="7">
        <f t="shared" ca="1" si="172"/>
        <v>0</v>
      </c>
      <c r="O329" s="7">
        <f t="shared" ca="1" si="172"/>
        <v>0</v>
      </c>
      <c r="P329" s="7">
        <f t="shared" ca="1" si="172"/>
        <v>0</v>
      </c>
      <c r="Q329" s="7">
        <f t="shared" ca="1" si="172"/>
        <v>0</v>
      </c>
      <c r="R329" s="7">
        <f t="shared" ca="1" si="172"/>
        <v>0</v>
      </c>
      <c r="S329" s="7">
        <f t="shared" ca="1" si="172"/>
        <v>0</v>
      </c>
      <c r="T329" s="7">
        <f t="shared" ca="1" si="172"/>
        <v>0</v>
      </c>
      <c r="U329" s="7">
        <f t="shared" ca="1" si="172"/>
        <v>0</v>
      </c>
      <c r="V329" s="7">
        <f t="shared" ca="1" si="172"/>
        <v>0</v>
      </c>
      <c r="W329" s="7">
        <f t="shared" ca="1" si="172"/>
        <v>0</v>
      </c>
      <c r="X329" s="7">
        <f t="shared" ca="1" si="172"/>
        <v>0</v>
      </c>
      <c r="Y329" s="7">
        <f t="shared" ca="1" si="172"/>
        <v>0</v>
      </c>
      <c r="Z329" s="7">
        <f t="shared" ca="1" si="172"/>
        <v>0</v>
      </c>
      <c r="AA329" s="7">
        <f t="shared" ca="1" si="172"/>
        <v>0</v>
      </c>
      <c r="AB329" s="7">
        <f t="shared" ca="1" si="172"/>
        <v>0</v>
      </c>
      <c r="AC329" s="7">
        <f t="shared" ca="1" si="172"/>
        <v>0</v>
      </c>
      <c r="AD329" s="7">
        <f t="shared" ca="1" si="172"/>
        <v>0</v>
      </c>
      <c r="AE329" s="7">
        <f t="shared" ca="1" si="172"/>
        <v>0</v>
      </c>
      <c r="AF329" s="7">
        <f t="shared" ca="1" si="172"/>
        <v>0</v>
      </c>
      <c r="AG329" s="7">
        <f t="shared" ca="1" si="172"/>
        <v>0</v>
      </c>
      <c r="AH329" s="7">
        <f t="shared" ca="1" si="172"/>
        <v>0</v>
      </c>
      <c r="AI329" s="7">
        <f t="shared" ca="1" si="172"/>
        <v>0</v>
      </c>
      <c r="AJ329" s="7">
        <f t="shared" ca="1" si="172"/>
        <v>0</v>
      </c>
      <c r="AK329" s="7">
        <f t="shared" ca="1" si="172"/>
        <v>0</v>
      </c>
      <c r="AL329" s="7">
        <f t="shared" ca="1" si="172"/>
        <v>0</v>
      </c>
      <c r="AM329" s="7">
        <f t="shared" ca="1" si="172"/>
        <v>0</v>
      </c>
    </row>
    <row r="330" spans="1:39" x14ac:dyDescent="0.2">
      <c r="A330" s="16" t="str">
        <f t="shared" si="170"/>
        <v>Boat</v>
      </c>
      <c r="C330" s="7">
        <f ca="1">IFERROR(IF(VLOOKUP($A330,$309:$319,C$1+2,FALSE)=0,C91,0),C91)</f>
        <v>-35663.316802941074</v>
      </c>
      <c r="D330" s="7">
        <f t="shared" ca="1" si="172"/>
        <v>-30165.561226487567</v>
      </c>
      <c r="E330" s="7">
        <f t="shared" ca="1" si="172"/>
        <v>-24328.716115912546</v>
      </c>
      <c r="F330" s="7">
        <f t="shared" ca="1" si="172"/>
        <v>-18131.867170725258</v>
      </c>
      <c r="G330" s="7">
        <f t="shared" ca="1" si="172"/>
        <v>-11552.810142144008</v>
      </c>
      <c r="H330" s="7">
        <f t="shared" ca="1" si="172"/>
        <v>-4567.971271908129</v>
      </c>
      <c r="I330" s="7">
        <f t="shared" ca="1" si="172"/>
        <v>0</v>
      </c>
      <c r="J330" s="7">
        <f t="shared" ca="1" si="172"/>
        <v>0</v>
      </c>
      <c r="K330" s="7">
        <f t="shared" ca="1" si="172"/>
        <v>0</v>
      </c>
      <c r="L330" s="7">
        <f t="shared" ca="1" si="172"/>
        <v>0</v>
      </c>
      <c r="M330" s="7">
        <f t="shared" ca="1" si="172"/>
        <v>0</v>
      </c>
      <c r="N330" s="7">
        <f t="shared" ca="1" si="172"/>
        <v>0</v>
      </c>
      <c r="O330" s="7">
        <f t="shared" ca="1" si="172"/>
        <v>0</v>
      </c>
      <c r="P330" s="7">
        <f t="shared" ca="1" si="172"/>
        <v>0</v>
      </c>
      <c r="Q330" s="7">
        <f t="shared" ca="1" si="172"/>
        <v>0</v>
      </c>
      <c r="R330" s="7">
        <f t="shared" ca="1" si="172"/>
        <v>0</v>
      </c>
      <c r="S330" s="7">
        <f t="shared" ca="1" si="172"/>
        <v>0</v>
      </c>
      <c r="T330" s="7">
        <f t="shared" ca="1" si="172"/>
        <v>0</v>
      </c>
      <c r="U330" s="7">
        <f t="shared" ca="1" si="172"/>
        <v>0</v>
      </c>
      <c r="V330" s="7">
        <f t="shared" ca="1" si="172"/>
        <v>0</v>
      </c>
      <c r="W330" s="7">
        <f t="shared" ca="1" si="172"/>
        <v>0</v>
      </c>
      <c r="X330" s="7">
        <f t="shared" ca="1" si="172"/>
        <v>0</v>
      </c>
      <c r="Y330" s="7">
        <f t="shared" ca="1" si="172"/>
        <v>0</v>
      </c>
      <c r="Z330" s="7">
        <f t="shared" ca="1" si="172"/>
        <v>0</v>
      </c>
      <c r="AA330" s="7">
        <f t="shared" ca="1" si="172"/>
        <v>0</v>
      </c>
      <c r="AB330" s="7">
        <f t="shared" ca="1" si="172"/>
        <v>0</v>
      </c>
      <c r="AC330" s="7">
        <f t="shared" ca="1" si="172"/>
        <v>0</v>
      </c>
      <c r="AD330" s="7">
        <f t="shared" ca="1" si="172"/>
        <v>0</v>
      </c>
      <c r="AE330" s="7">
        <f t="shared" ca="1" si="172"/>
        <v>0</v>
      </c>
      <c r="AF330" s="7">
        <f t="shared" ca="1" si="172"/>
        <v>0</v>
      </c>
      <c r="AG330" s="7">
        <f t="shared" ca="1" si="172"/>
        <v>0</v>
      </c>
      <c r="AH330" s="7">
        <f t="shared" ca="1" si="172"/>
        <v>0</v>
      </c>
      <c r="AI330" s="7">
        <f t="shared" ca="1" si="172"/>
        <v>0</v>
      </c>
      <c r="AJ330" s="7">
        <f t="shared" ca="1" si="172"/>
        <v>0</v>
      </c>
      <c r="AK330" s="7">
        <f t="shared" ca="1" si="172"/>
        <v>0</v>
      </c>
      <c r="AL330" s="7">
        <f t="shared" ca="1" si="172"/>
        <v>0</v>
      </c>
      <c r="AM330" s="7">
        <f t="shared" ca="1" si="172"/>
        <v>0</v>
      </c>
    </row>
    <row r="331" spans="1:39" x14ac:dyDescent="0.2">
      <c r="A331" s="16" t="str">
        <f t="shared" si="170"/>
        <v>Antiques</v>
      </c>
      <c r="C331" s="7">
        <f ca="1">IFERROR(IF(VLOOKUP($A331,$309:$319,C$1+2,FALSE)=0,C92,0),C92)</f>
        <v>-2783.6180442430355</v>
      </c>
      <c r="D331" s="7">
        <f t="shared" ca="1" si="172"/>
        <v>-1529.9823465461</v>
      </c>
      <c r="E331" s="7">
        <f t="shared" ca="1" si="172"/>
        <v>-238.21611948276723</v>
      </c>
      <c r="F331" s="7">
        <f t="shared" ca="1" si="172"/>
        <v>0</v>
      </c>
      <c r="G331" s="7">
        <f t="shared" ca="1" si="172"/>
        <v>0</v>
      </c>
      <c r="H331" s="7">
        <f t="shared" ca="1" si="172"/>
        <v>0</v>
      </c>
      <c r="I331" s="7">
        <f t="shared" ca="1" si="172"/>
        <v>0</v>
      </c>
      <c r="J331" s="7">
        <f t="shared" ca="1" si="172"/>
        <v>0</v>
      </c>
      <c r="K331" s="7">
        <f t="shared" ca="1" si="172"/>
        <v>0</v>
      </c>
      <c r="L331" s="7">
        <f t="shared" ca="1" si="172"/>
        <v>0</v>
      </c>
      <c r="M331" s="7">
        <f t="shared" ca="1" si="172"/>
        <v>0</v>
      </c>
      <c r="N331" s="7">
        <f t="shared" ca="1" si="172"/>
        <v>0</v>
      </c>
      <c r="O331" s="7">
        <f t="shared" ca="1" si="172"/>
        <v>0</v>
      </c>
      <c r="P331" s="7">
        <f t="shared" ca="1" si="172"/>
        <v>0</v>
      </c>
      <c r="Q331" s="7">
        <f t="shared" ca="1" si="172"/>
        <v>0</v>
      </c>
      <c r="R331" s="7">
        <f t="shared" ca="1" si="172"/>
        <v>0</v>
      </c>
      <c r="S331" s="7">
        <f t="shared" ca="1" si="172"/>
        <v>0</v>
      </c>
      <c r="T331" s="7">
        <f t="shared" ca="1" si="172"/>
        <v>0</v>
      </c>
      <c r="U331" s="7">
        <f t="shared" ca="1" si="172"/>
        <v>0</v>
      </c>
      <c r="V331" s="7">
        <f t="shared" ca="1" si="172"/>
        <v>0</v>
      </c>
      <c r="W331" s="7">
        <f t="shared" ca="1" si="172"/>
        <v>0</v>
      </c>
      <c r="X331" s="7">
        <f t="shared" ca="1" si="172"/>
        <v>0</v>
      </c>
      <c r="Y331" s="7">
        <f t="shared" ca="1" si="172"/>
        <v>0</v>
      </c>
      <c r="Z331" s="7">
        <f t="shared" ca="1" si="172"/>
        <v>0</v>
      </c>
      <c r="AA331" s="7">
        <f t="shared" ca="1" si="172"/>
        <v>0</v>
      </c>
      <c r="AB331" s="7">
        <f t="shared" ca="1" si="172"/>
        <v>0</v>
      </c>
      <c r="AC331" s="7">
        <f t="shared" ca="1" si="172"/>
        <v>0</v>
      </c>
      <c r="AD331" s="7">
        <f t="shared" ca="1" si="172"/>
        <v>0</v>
      </c>
      <c r="AE331" s="7">
        <f t="shared" ca="1" si="172"/>
        <v>0</v>
      </c>
      <c r="AF331" s="7">
        <f t="shared" ca="1" si="172"/>
        <v>0</v>
      </c>
      <c r="AG331" s="7">
        <f t="shared" ca="1" si="172"/>
        <v>0</v>
      </c>
      <c r="AH331" s="7">
        <f t="shared" ca="1" si="172"/>
        <v>0</v>
      </c>
      <c r="AI331" s="7">
        <f t="shared" ca="1" si="172"/>
        <v>0</v>
      </c>
      <c r="AJ331" s="7">
        <f t="shared" ca="1" si="172"/>
        <v>0</v>
      </c>
      <c r="AK331" s="7">
        <f t="shared" ca="1" si="172"/>
        <v>0</v>
      </c>
      <c r="AL331" s="7">
        <f t="shared" ca="1" si="172"/>
        <v>0</v>
      </c>
      <c r="AM331" s="7">
        <f t="shared" ca="1" si="172"/>
        <v>0</v>
      </c>
    </row>
    <row r="332" spans="1:39" x14ac:dyDescent="0.2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x14ac:dyDescent="0.2">
      <c r="A333" s="3" t="s">
        <v>60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x14ac:dyDescent="0.2">
      <c r="A334" s="16" t="str">
        <f t="shared" ref="A334:A341" si="173">A66</f>
        <v>Cash</v>
      </c>
      <c r="C334" s="7">
        <f ca="1">C281</f>
        <v>62809.375000000015</v>
      </c>
      <c r="D334" s="7">
        <f t="shared" ref="D334:AM334" ca="1" si="174">D281</f>
        <v>74162.215625000026</v>
      </c>
      <c r="E334" s="7">
        <f t="shared" ca="1" si="174"/>
        <v>108836.63850258292</v>
      </c>
      <c r="F334" s="7">
        <f t="shared" ca="1" si="174"/>
        <v>136558.72237352375</v>
      </c>
      <c r="G334" s="7">
        <f t="shared" ca="1" si="174"/>
        <v>155186.23146773444</v>
      </c>
      <c r="H334" s="7">
        <f t="shared" ca="1" si="174"/>
        <v>95871.068761315822</v>
      </c>
      <c r="I334" s="7">
        <f t="shared" ca="1" si="174"/>
        <v>152650.13853854901</v>
      </c>
      <c r="J334" s="7">
        <f t="shared" ca="1" si="174"/>
        <v>117603.97687614882</v>
      </c>
      <c r="K334" s="7">
        <f t="shared" ca="1" si="174"/>
        <v>63425.846909304215</v>
      </c>
      <c r="L334" s="7">
        <f t="shared" ca="1" si="174"/>
        <v>227601.38607478226</v>
      </c>
      <c r="M334" s="7">
        <f t="shared" ca="1" si="174"/>
        <v>156967.75167125103</v>
      </c>
      <c r="N334" s="7">
        <f t="shared" ca="1" si="174"/>
        <v>133948.42198653647</v>
      </c>
      <c r="O334" s="7">
        <f t="shared" ca="1" si="174"/>
        <v>109908.58294931796</v>
      </c>
      <c r="P334" s="7">
        <f t="shared" ca="1" si="174"/>
        <v>84710.371299332386</v>
      </c>
      <c r="Q334" s="7">
        <f t="shared" ca="1" si="174"/>
        <v>255039.88093280265</v>
      </c>
      <c r="R334" s="7">
        <f t="shared" ca="1" si="174"/>
        <v>221926.73459181545</v>
      </c>
      <c r="S334" s="7">
        <f t="shared" ca="1" si="174"/>
        <v>187342.12907091394</v>
      </c>
      <c r="T334" s="7">
        <f t="shared" ca="1" si="174"/>
        <v>169388.17075681413</v>
      </c>
      <c r="U334" s="7">
        <f t="shared" ca="1" si="174"/>
        <v>158467.39994305029</v>
      </c>
      <c r="V334" s="7">
        <f t="shared" ca="1" si="174"/>
        <v>146965.03158322335</v>
      </c>
      <c r="W334" s="7">
        <f t="shared" ca="1" si="174"/>
        <v>134874.43495894517</v>
      </c>
      <c r="X334" s="7">
        <f t="shared" ca="1" si="174"/>
        <v>122189.05086047624</v>
      </c>
      <c r="Y334" s="7">
        <f t="shared" ca="1" si="174"/>
        <v>87727.072302504312</v>
      </c>
      <c r="Z334" s="7">
        <f t="shared" ca="1" si="174"/>
        <v>107661.90431508944</v>
      </c>
      <c r="AA334" s="7">
        <f t="shared" ca="1" si="174"/>
        <v>459366.08753280132</v>
      </c>
      <c r="AB334" s="7">
        <f t="shared" ca="1" si="174"/>
        <v>419415.51303522848</v>
      </c>
      <c r="AC334" s="7">
        <f t="shared" ca="1" si="174"/>
        <v>377134.50377971405</v>
      </c>
      <c r="AD334" s="7">
        <f t="shared" ca="1" si="174"/>
        <v>332380.86560913397</v>
      </c>
      <c r="AE334" s="7">
        <f t="shared" ca="1" si="174"/>
        <v>295330.83126990055</v>
      </c>
      <c r="AF334" s="7">
        <f t="shared" ca="1" si="174"/>
        <v>256200.70760711445</v>
      </c>
      <c r="AG334" s="7">
        <f t="shared" ca="1" si="174"/>
        <v>214944.86998608289</v>
      </c>
      <c r="AH334" s="7">
        <f t="shared" ca="1" si="174"/>
        <v>171516.74448419805</v>
      </c>
      <c r="AI334" s="7">
        <f t="shared" ca="1" si="174"/>
        <v>125868.78989857668</v>
      </c>
      <c r="AJ334" s="7">
        <f t="shared" ca="1" si="174"/>
        <v>767799.70768192201</v>
      </c>
      <c r="AK334" s="7">
        <f t="shared" ca="1" si="174"/>
        <v>718939.60463251953</v>
      </c>
      <c r="AL334" s="7">
        <f t="shared" ca="1" si="174"/>
        <v>667484.16076395195</v>
      </c>
      <c r="AM334" s="7">
        <f t="shared" ca="1" si="174"/>
        <v>612640.66984162643</v>
      </c>
    </row>
    <row r="335" spans="1:39" x14ac:dyDescent="0.2">
      <c r="A335" s="16" t="str">
        <f t="shared" si="173"/>
        <v>Home</v>
      </c>
      <c r="C335" s="7">
        <f t="shared" ref="C335:AM335" ca="1" si="175">C67</f>
        <v>614962.9305229499</v>
      </c>
      <c r="D335" s="7">
        <f t="shared" ca="1" si="175"/>
        <v>633411.81843863847</v>
      </c>
      <c r="E335" s="7">
        <f t="shared" ca="1" si="175"/>
        <v>652414.17299179768</v>
      </c>
      <c r="F335" s="7">
        <f t="shared" ca="1" si="175"/>
        <v>671986.59818155167</v>
      </c>
      <c r="G335" s="7">
        <f t="shared" ca="1" si="175"/>
        <v>692146.19612699829</v>
      </c>
      <c r="H335" s="7">
        <f t="shared" ca="1" si="175"/>
        <v>712910.58201080828</v>
      </c>
      <c r="I335" s="7">
        <f t="shared" ca="1" si="175"/>
        <v>734297.89947113255</v>
      </c>
      <c r="J335" s="7">
        <f t="shared" ca="1" si="175"/>
        <v>756326.83645526657</v>
      </c>
      <c r="K335" s="7">
        <f t="shared" ca="1" si="175"/>
        <v>779016.64154892461</v>
      </c>
      <c r="L335" s="7">
        <f t="shared" ca="1" si="175"/>
        <v>802387.14079539233</v>
      </c>
      <c r="M335" s="7">
        <f t="shared" ca="1" si="175"/>
        <v>826458.75501925417</v>
      </c>
      <c r="N335" s="7">
        <f t="shared" ca="1" si="175"/>
        <v>851252.51766983187</v>
      </c>
      <c r="O335" s="7">
        <f t="shared" ca="1" si="175"/>
        <v>876790.09319992689</v>
      </c>
      <c r="P335" s="7">
        <f t="shared" ca="1" si="175"/>
        <v>903093.79599592474</v>
      </c>
      <c r="Q335" s="7">
        <f t="shared" ca="1" si="175"/>
        <v>930186.60987580253</v>
      </c>
      <c r="R335" s="7">
        <f t="shared" ca="1" si="175"/>
        <v>958092.20817207661</v>
      </c>
      <c r="S335" s="7">
        <f t="shared" ca="1" si="175"/>
        <v>986834.97441723896</v>
      </c>
      <c r="T335" s="7">
        <f t="shared" ca="1" si="175"/>
        <v>1016440.0236497562</v>
      </c>
      <c r="U335" s="7">
        <f t="shared" ca="1" si="175"/>
        <v>1046933.2243592489</v>
      </c>
      <c r="V335" s="7">
        <f t="shared" ca="1" si="175"/>
        <v>1078341.2210900264</v>
      </c>
      <c r="W335" s="7">
        <f t="shared" ca="1" si="175"/>
        <v>1110691.4577227272</v>
      </c>
      <c r="X335" s="7">
        <f t="shared" ca="1" si="175"/>
        <v>1144012.2014544092</v>
      </c>
      <c r="Y335" s="7">
        <f t="shared" ca="1" si="175"/>
        <v>1178332.5674980415</v>
      </c>
      <c r="Z335" s="7">
        <f t="shared" ca="1" si="175"/>
        <v>1213682.5445229828</v>
      </c>
      <c r="AA335" s="7">
        <f t="shared" ca="1" si="175"/>
        <v>1250093.0208586722</v>
      </c>
      <c r="AB335" s="7">
        <f t="shared" ca="1" si="175"/>
        <v>1287595.8114844323</v>
      </c>
      <c r="AC335" s="7">
        <f t="shared" ca="1" si="175"/>
        <v>1326223.6858289654</v>
      </c>
      <c r="AD335" s="7">
        <f t="shared" ca="1" si="175"/>
        <v>1366010.3964038345</v>
      </c>
      <c r="AE335" s="7">
        <f t="shared" ca="1" si="175"/>
        <v>1406990.7082959495</v>
      </c>
      <c r="AF335" s="7">
        <f t="shared" ca="1" si="175"/>
        <v>1449200.4295448281</v>
      </c>
      <c r="AG335" s="7">
        <f t="shared" ca="1" si="175"/>
        <v>1492676.4424311731</v>
      </c>
      <c r="AH335" s="7">
        <f t="shared" ca="1" si="175"/>
        <v>1537456.7357041084</v>
      </c>
      <c r="AI335" s="7">
        <f t="shared" ca="1" si="175"/>
        <v>1583580.4377752317</v>
      </c>
      <c r="AJ335" s="7">
        <f t="shared" ca="1" si="175"/>
        <v>1631087.8509084887</v>
      </c>
      <c r="AK335" s="7">
        <f t="shared" ca="1" si="175"/>
        <v>1680020.4864357435</v>
      </c>
      <c r="AL335" s="7">
        <f t="shared" ca="1" si="175"/>
        <v>1730421.1010288158</v>
      </c>
      <c r="AM335" s="7">
        <f t="shared" ca="1" si="175"/>
        <v>1782333.7340596803</v>
      </c>
    </row>
    <row r="336" spans="1:39" x14ac:dyDescent="0.2">
      <c r="A336" s="16" t="s">
        <v>51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x14ac:dyDescent="0.2">
      <c r="A337" s="17" t="str">
        <f t="shared" si="173"/>
        <v>Sliema</v>
      </c>
      <c r="C337" s="7">
        <f t="shared" ref="C337:AM341" ca="1" si="176">C298</f>
        <v>307481.46526147495</v>
      </c>
      <c r="D337" s="7">
        <f t="shared" ca="1" si="176"/>
        <v>316705.90921931923</v>
      </c>
      <c r="E337" s="7">
        <f t="shared" ca="1" si="176"/>
        <v>326207.08649589884</v>
      </c>
      <c r="F337" s="7">
        <f t="shared" ca="1" si="176"/>
        <v>335993.29909077584</v>
      </c>
      <c r="G337" s="7">
        <f t="shared" ca="1" si="176"/>
        <v>346073.09806349914</v>
      </c>
      <c r="H337" s="7">
        <f t="shared" ca="1" si="176"/>
        <v>356455.29100540414</v>
      </c>
      <c r="I337" s="7">
        <f t="shared" ca="1" si="176"/>
        <v>367148.94973556628</v>
      </c>
      <c r="J337" s="7">
        <f t="shared" ca="1" si="176"/>
        <v>378163.41822763329</v>
      </c>
      <c r="K337" s="7">
        <f t="shared" ca="1" si="176"/>
        <v>389508.32077446231</v>
      </c>
      <c r="L337" s="7">
        <f t="shared" ca="1" si="176"/>
        <v>401193.57039769617</v>
      </c>
      <c r="M337" s="7">
        <f t="shared" ca="1" si="176"/>
        <v>413229.37750962708</v>
      </c>
      <c r="N337" s="7">
        <f t="shared" ca="1" si="176"/>
        <v>425626.25883491593</v>
      </c>
      <c r="O337" s="7">
        <f t="shared" ca="1" si="176"/>
        <v>438395.04659996345</v>
      </c>
      <c r="P337" s="7">
        <f t="shared" ca="1" si="176"/>
        <v>451546.89799796237</v>
      </c>
      <c r="Q337" s="7">
        <f t="shared" ca="1" si="176"/>
        <v>465093.30493790127</v>
      </c>
      <c r="R337" s="7">
        <f t="shared" ca="1" si="176"/>
        <v>479046.10408603831</v>
      </c>
      <c r="S337" s="7">
        <f t="shared" ca="1" si="176"/>
        <v>493417.48720861948</v>
      </c>
      <c r="T337" s="7">
        <f t="shared" ca="1" si="176"/>
        <v>508220.01182487811</v>
      </c>
      <c r="U337" s="7">
        <f t="shared" ca="1" si="176"/>
        <v>523466.61217962444</v>
      </c>
      <c r="V337" s="7">
        <f t="shared" ca="1" si="176"/>
        <v>539170.61054501322</v>
      </c>
      <c r="W337" s="7">
        <f t="shared" ca="1" si="176"/>
        <v>555345.7288613636</v>
      </c>
      <c r="X337" s="7">
        <f t="shared" ca="1" si="176"/>
        <v>572006.10072720458</v>
      </c>
      <c r="Y337" s="7">
        <f t="shared" ca="1" si="176"/>
        <v>589166.28374902077</v>
      </c>
      <c r="Z337" s="7">
        <f t="shared" ca="1" si="176"/>
        <v>606841.27226149139</v>
      </c>
      <c r="AA337" s="7">
        <f t="shared" ca="1" si="176"/>
        <v>625046.51042933611</v>
      </c>
      <c r="AB337" s="7">
        <f t="shared" ca="1" si="176"/>
        <v>643797.90574221616</v>
      </c>
      <c r="AC337" s="7">
        <f t="shared" ca="1" si="176"/>
        <v>663111.8429144827</v>
      </c>
      <c r="AD337" s="7">
        <f t="shared" ca="1" si="176"/>
        <v>683005.19820191723</v>
      </c>
      <c r="AE337" s="7">
        <f t="shared" ca="1" si="176"/>
        <v>703495.35414797475</v>
      </c>
      <c r="AF337" s="7">
        <f t="shared" ca="1" si="176"/>
        <v>724600.21477241407</v>
      </c>
      <c r="AG337" s="7">
        <f t="shared" ca="1" si="176"/>
        <v>746338.22121558653</v>
      </c>
      <c r="AH337" s="7">
        <f t="shared" ca="1" si="176"/>
        <v>768728.36785205419</v>
      </c>
      <c r="AI337" s="7">
        <f t="shared" ca="1" si="176"/>
        <v>791790.21888761583</v>
      </c>
      <c r="AJ337" s="7">
        <f t="shared" ca="1" si="176"/>
        <v>0</v>
      </c>
      <c r="AK337" s="7">
        <f t="shared" ca="1" si="176"/>
        <v>0</v>
      </c>
      <c r="AL337" s="7">
        <f t="shared" ca="1" si="176"/>
        <v>0</v>
      </c>
      <c r="AM337" s="7">
        <f t="shared" ca="1" si="176"/>
        <v>0</v>
      </c>
    </row>
    <row r="338" spans="1:39" x14ac:dyDescent="0.2">
      <c r="A338" s="17" t="str">
        <f t="shared" si="173"/>
        <v>Gzira</v>
      </c>
      <c r="C338" s="7">
        <f t="shared" ca="1" si="176"/>
        <v>153740.73263073748</v>
      </c>
      <c r="D338" s="7">
        <f t="shared" ca="1" si="176"/>
        <v>158352.95460965962</v>
      </c>
      <c r="E338" s="7">
        <f t="shared" ca="1" si="176"/>
        <v>163103.54324794942</v>
      </c>
      <c r="F338" s="7">
        <f t="shared" ca="1" si="176"/>
        <v>167996.64954538792</v>
      </c>
      <c r="G338" s="7">
        <f t="shared" ca="1" si="176"/>
        <v>173036.54903174957</v>
      </c>
      <c r="H338" s="7">
        <f t="shared" ca="1" si="176"/>
        <v>178227.64550270207</v>
      </c>
      <c r="I338" s="7">
        <f t="shared" ca="1" si="176"/>
        <v>183574.47486778314</v>
      </c>
      <c r="J338" s="7">
        <f t="shared" ca="1" si="176"/>
        <v>189081.70911381664</v>
      </c>
      <c r="K338" s="7">
        <f t="shared" ca="1" si="176"/>
        <v>194754.16038723115</v>
      </c>
      <c r="L338" s="7">
        <f t="shared" ca="1" si="176"/>
        <v>200596.78519884808</v>
      </c>
      <c r="M338" s="7">
        <f t="shared" ca="1" si="176"/>
        <v>206614.68875481354</v>
      </c>
      <c r="N338" s="7">
        <f t="shared" ca="1" si="176"/>
        <v>212813.12941745797</v>
      </c>
      <c r="O338" s="7">
        <f t="shared" ca="1" si="176"/>
        <v>219197.52329998172</v>
      </c>
      <c r="P338" s="7">
        <f t="shared" ca="1" si="176"/>
        <v>225773.44899898118</v>
      </c>
      <c r="Q338" s="7">
        <f t="shared" ca="1" si="176"/>
        <v>0</v>
      </c>
      <c r="R338" s="7">
        <f t="shared" ca="1" si="176"/>
        <v>0</v>
      </c>
      <c r="S338" s="7">
        <f t="shared" ca="1" si="176"/>
        <v>0</v>
      </c>
      <c r="T338" s="7">
        <f t="shared" ca="1" si="176"/>
        <v>0</v>
      </c>
      <c r="U338" s="7">
        <f t="shared" ca="1" si="176"/>
        <v>0</v>
      </c>
      <c r="V338" s="7">
        <f t="shared" ca="1" si="176"/>
        <v>0</v>
      </c>
      <c r="W338" s="7">
        <f t="shared" ca="1" si="176"/>
        <v>0</v>
      </c>
      <c r="X338" s="7">
        <f t="shared" ca="1" si="176"/>
        <v>0</v>
      </c>
      <c r="Y338" s="7">
        <f t="shared" ca="1" si="176"/>
        <v>0</v>
      </c>
      <c r="Z338" s="7">
        <f t="shared" ca="1" si="176"/>
        <v>0</v>
      </c>
      <c r="AA338" s="7">
        <f t="shared" ca="1" si="176"/>
        <v>0</v>
      </c>
      <c r="AB338" s="7">
        <f t="shared" ca="1" si="176"/>
        <v>0</v>
      </c>
      <c r="AC338" s="7">
        <f t="shared" ca="1" si="176"/>
        <v>0</v>
      </c>
      <c r="AD338" s="7">
        <f t="shared" ca="1" si="176"/>
        <v>0</v>
      </c>
      <c r="AE338" s="7">
        <f t="shared" ca="1" si="176"/>
        <v>0</v>
      </c>
      <c r="AF338" s="7">
        <f t="shared" ca="1" si="176"/>
        <v>0</v>
      </c>
      <c r="AG338" s="7">
        <f t="shared" ca="1" si="176"/>
        <v>0</v>
      </c>
      <c r="AH338" s="7">
        <f t="shared" ca="1" si="176"/>
        <v>0</v>
      </c>
      <c r="AI338" s="7">
        <f t="shared" ca="1" si="176"/>
        <v>0</v>
      </c>
      <c r="AJ338" s="7">
        <f t="shared" ca="1" si="176"/>
        <v>0</v>
      </c>
      <c r="AK338" s="7">
        <f t="shared" ca="1" si="176"/>
        <v>0</v>
      </c>
      <c r="AL338" s="7">
        <f t="shared" ca="1" si="176"/>
        <v>0</v>
      </c>
      <c r="AM338" s="7">
        <f t="shared" ca="1" si="176"/>
        <v>0</v>
      </c>
    </row>
    <row r="339" spans="1:39" x14ac:dyDescent="0.2">
      <c r="A339" s="17" t="str">
        <f t="shared" si="173"/>
        <v>Qormi</v>
      </c>
      <c r="C339" s="7">
        <f t="shared" ca="1" si="176"/>
        <v>225486.40785841495</v>
      </c>
      <c r="D339" s="7">
        <f t="shared" ca="1" si="176"/>
        <v>232251.00009416742</v>
      </c>
      <c r="E339" s="7">
        <f t="shared" ca="1" si="176"/>
        <v>239218.53009699244</v>
      </c>
      <c r="F339" s="7">
        <f t="shared" ca="1" si="176"/>
        <v>246395.08599990222</v>
      </c>
      <c r="G339" s="7">
        <f t="shared" ca="1" si="176"/>
        <v>253786.93857989929</v>
      </c>
      <c r="H339" s="7">
        <f t="shared" ca="1" si="176"/>
        <v>261400.54673729627</v>
      </c>
      <c r="I339" s="7">
        <f t="shared" ca="1" si="176"/>
        <v>269242.56313941517</v>
      </c>
      <c r="J339" s="7">
        <f t="shared" ca="1" si="176"/>
        <v>277319.84003359766</v>
      </c>
      <c r="K339" s="7">
        <f t="shared" ca="1" si="176"/>
        <v>285639.43523460563</v>
      </c>
      <c r="L339" s="7">
        <f t="shared" ca="1" si="176"/>
        <v>294208.6182916438</v>
      </c>
      <c r="M339" s="7">
        <f t="shared" ca="1" si="176"/>
        <v>303034.87684039312</v>
      </c>
      <c r="N339" s="7">
        <f t="shared" ca="1" si="176"/>
        <v>312125.9231456049</v>
      </c>
      <c r="O339" s="7">
        <f t="shared" ca="1" si="176"/>
        <v>321489.70083997305</v>
      </c>
      <c r="P339" s="7">
        <f t="shared" ca="1" si="176"/>
        <v>331134.39186517225</v>
      </c>
      <c r="Q339" s="7">
        <f t="shared" ca="1" si="176"/>
        <v>341068.42362112744</v>
      </c>
      <c r="R339" s="7">
        <f t="shared" ca="1" si="176"/>
        <v>351300.47632976127</v>
      </c>
      <c r="S339" s="7">
        <f t="shared" ca="1" si="176"/>
        <v>361839.49061965413</v>
      </c>
      <c r="T339" s="7">
        <f t="shared" ca="1" si="176"/>
        <v>372694.67533824377</v>
      </c>
      <c r="U339" s="7">
        <f t="shared" ca="1" si="176"/>
        <v>383875.51559839112</v>
      </c>
      <c r="V339" s="7">
        <f t="shared" ca="1" si="176"/>
        <v>395391.7810663429</v>
      </c>
      <c r="W339" s="7">
        <f t="shared" ca="1" si="176"/>
        <v>407253.53449833317</v>
      </c>
      <c r="X339" s="7">
        <f t="shared" ca="1" si="176"/>
        <v>419471.14053328318</v>
      </c>
      <c r="Y339" s="7">
        <f t="shared" ca="1" si="176"/>
        <v>432055.2747492817</v>
      </c>
      <c r="Z339" s="7">
        <f t="shared" ca="1" si="176"/>
        <v>445016.93299176014</v>
      </c>
      <c r="AA339" s="7">
        <f t="shared" ca="1" si="176"/>
        <v>0</v>
      </c>
      <c r="AB339" s="7">
        <f t="shared" ca="1" si="176"/>
        <v>0</v>
      </c>
      <c r="AC339" s="7">
        <f t="shared" ca="1" si="176"/>
        <v>0</v>
      </c>
      <c r="AD339" s="7">
        <f t="shared" ca="1" si="176"/>
        <v>0</v>
      </c>
      <c r="AE339" s="7">
        <f t="shared" ca="1" si="176"/>
        <v>0</v>
      </c>
      <c r="AF339" s="7">
        <f t="shared" ca="1" si="176"/>
        <v>0</v>
      </c>
      <c r="AG339" s="7">
        <f t="shared" ca="1" si="176"/>
        <v>0</v>
      </c>
      <c r="AH339" s="7">
        <f t="shared" ca="1" si="176"/>
        <v>0</v>
      </c>
      <c r="AI339" s="7">
        <f t="shared" ca="1" si="176"/>
        <v>0</v>
      </c>
      <c r="AJ339" s="7">
        <f t="shared" ca="1" si="176"/>
        <v>0</v>
      </c>
      <c r="AK339" s="7">
        <f t="shared" ca="1" si="176"/>
        <v>0</v>
      </c>
      <c r="AL339" s="7">
        <f t="shared" ca="1" si="176"/>
        <v>0</v>
      </c>
      <c r="AM339" s="7">
        <f t="shared" ca="1" si="176"/>
        <v>0</v>
      </c>
    </row>
    <row r="340" spans="1:39" x14ac:dyDescent="0.2">
      <c r="A340" s="17" t="str">
        <f t="shared" si="173"/>
        <v>Gudja</v>
      </c>
      <c r="C340" s="7">
        <f t="shared" ca="1" si="176"/>
        <v>81995.057403059982</v>
      </c>
      <c r="D340" s="7">
        <f t="shared" ca="1" si="176"/>
        <v>84454.909125151782</v>
      </c>
      <c r="E340" s="7">
        <f t="shared" ca="1" si="176"/>
        <v>86988.556398906338</v>
      </c>
      <c r="F340" s="7">
        <f t="shared" ca="1" si="176"/>
        <v>89598.213090873527</v>
      </c>
      <c r="G340" s="7">
        <f t="shared" ca="1" si="176"/>
        <v>0</v>
      </c>
      <c r="H340" s="7">
        <f t="shared" ca="1" si="176"/>
        <v>0</v>
      </c>
      <c r="I340" s="7">
        <f t="shared" ca="1" si="176"/>
        <v>0</v>
      </c>
      <c r="J340" s="7">
        <f t="shared" ca="1" si="176"/>
        <v>0</v>
      </c>
      <c r="K340" s="7">
        <f t="shared" ca="1" si="176"/>
        <v>0</v>
      </c>
      <c r="L340" s="7">
        <f t="shared" ca="1" si="176"/>
        <v>0</v>
      </c>
      <c r="M340" s="7">
        <f t="shared" ca="1" si="176"/>
        <v>0</v>
      </c>
      <c r="N340" s="7">
        <f t="shared" ca="1" si="176"/>
        <v>0</v>
      </c>
      <c r="O340" s="7">
        <f t="shared" ca="1" si="176"/>
        <v>0</v>
      </c>
      <c r="P340" s="7">
        <f t="shared" ca="1" si="176"/>
        <v>0</v>
      </c>
      <c r="Q340" s="7">
        <f t="shared" ca="1" si="176"/>
        <v>0</v>
      </c>
      <c r="R340" s="7">
        <f t="shared" ca="1" si="176"/>
        <v>0</v>
      </c>
      <c r="S340" s="7">
        <f t="shared" ca="1" si="176"/>
        <v>0</v>
      </c>
      <c r="T340" s="7">
        <f t="shared" ca="1" si="176"/>
        <v>0</v>
      </c>
      <c r="U340" s="7">
        <f t="shared" ca="1" si="176"/>
        <v>0</v>
      </c>
      <c r="V340" s="7">
        <f t="shared" ca="1" si="176"/>
        <v>0</v>
      </c>
      <c r="W340" s="7">
        <f t="shared" ca="1" si="176"/>
        <v>0</v>
      </c>
      <c r="X340" s="7">
        <f t="shared" ca="1" si="176"/>
        <v>0</v>
      </c>
      <c r="Y340" s="7">
        <f t="shared" ca="1" si="176"/>
        <v>0</v>
      </c>
      <c r="Z340" s="7">
        <f t="shared" ca="1" si="176"/>
        <v>0</v>
      </c>
      <c r="AA340" s="7">
        <f t="shared" ca="1" si="176"/>
        <v>0</v>
      </c>
      <c r="AB340" s="7">
        <f t="shared" ca="1" si="176"/>
        <v>0</v>
      </c>
      <c r="AC340" s="7">
        <f t="shared" ca="1" si="176"/>
        <v>0</v>
      </c>
      <c r="AD340" s="7">
        <f t="shared" ca="1" si="176"/>
        <v>0</v>
      </c>
      <c r="AE340" s="7">
        <f t="shared" ca="1" si="176"/>
        <v>0</v>
      </c>
      <c r="AF340" s="7">
        <f t="shared" ca="1" si="176"/>
        <v>0</v>
      </c>
      <c r="AG340" s="7">
        <f t="shared" ca="1" si="176"/>
        <v>0</v>
      </c>
      <c r="AH340" s="7">
        <f t="shared" ca="1" si="176"/>
        <v>0</v>
      </c>
      <c r="AI340" s="7">
        <f t="shared" ca="1" si="176"/>
        <v>0</v>
      </c>
      <c r="AJ340" s="7">
        <f t="shared" ca="1" si="176"/>
        <v>0</v>
      </c>
      <c r="AK340" s="7">
        <f t="shared" ca="1" si="176"/>
        <v>0</v>
      </c>
      <c r="AL340" s="7">
        <f t="shared" ca="1" si="176"/>
        <v>0</v>
      </c>
      <c r="AM340" s="7">
        <f t="shared" ca="1" si="176"/>
        <v>0</v>
      </c>
    </row>
    <row r="341" spans="1:39" x14ac:dyDescent="0.2">
      <c r="A341" s="17" t="str">
        <f t="shared" si="173"/>
        <v>Marsa</v>
      </c>
      <c r="C341" s="7">
        <f t="shared" ca="1" si="176"/>
        <v>122992.58610458997</v>
      </c>
      <c r="D341" s="7">
        <f t="shared" ca="1" si="176"/>
        <v>126682.36368772767</v>
      </c>
      <c r="E341" s="7">
        <f t="shared" ca="1" si="176"/>
        <v>130482.83459835951</v>
      </c>
      <c r="F341" s="7">
        <f t="shared" ca="1" si="176"/>
        <v>134397.31963631031</v>
      </c>
      <c r="G341" s="7">
        <f t="shared" ca="1" si="176"/>
        <v>138429.23922539962</v>
      </c>
      <c r="H341" s="7">
        <f t="shared" ca="1" si="176"/>
        <v>142582.11640216163</v>
      </c>
      <c r="I341" s="7">
        <f t="shared" ca="1" si="176"/>
        <v>146859.57989422648</v>
      </c>
      <c r="J341" s="7">
        <f t="shared" ca="1" si="176"/>
        <v>151265.36729105329</v>
      </c>
      <c r="K341" s="7">
        <f t="shared" ca="1" si="176"/>
        <v>155803.32830978491</v>
      </c>
      <c r="L341" s="7">
        <f t="shared" ca="1" si="176"/>
        <v>0</v>
      </c>
      <c r="M341" s="7">
        <f t="shared" ca="1" si="176"/>
        <v>0</v>
      </c>
      <c r="N341" s="7">
        <f t="shared" ca="1" si="176"/>
        <v>0</v>
      </c>
      <c r="O341" s="7">
        <f t="shared" ca="1" si="176"/>
        <v>0</v>
      </c>
      <c r="P341" s="7">
        <f t="shared" ca="1" si="176"/>
        <v>0</v>
      </c>
      <c r="Q341" s="7">
        <f t="shared" ca="1" si="176"/>
        <v>0</v>
      </c>
      <c r="R341" s="7">
        <f t="shared" ca="1" si="176"/>
        <v>0</v>
      </c>
      <c r="S341" s="7">
        <f t="shared" ca="1" si="176"/>
        <v>0</v>
      </c>
      <c r="T341" s="7">
        <f t="shared" ca="1" si="176"/>
        <v>0</v>
      </c>
      <c r="U341" s="7">
        <f t="shared" ca="1" si="176"/>
        <v>0</v>
      </c>
      <c r="V341" s="7">
        <f t="shared" ca="1" si="176"/>
        <v>0</v>
      </c>
      <c r="W341" s="7">
        <f t="shared" ca="1" si="176"/>
        <v>0</v>
      </c>
      <c r="X341" s="7">
        <f t="shared" ca="1" si="176"/>
        <v>0</v>
      </c>
      <c r="Y341" s="7">
        <f t="shared" ca="1" si="176"/>
        <v>0</v>
      </c>
      <c r="Z341" s="7">
        <f t="shared" ca="1" si="176"/>
        <v>0</v>
      </c>
      <c r="AA341" s="7">
        <f t="shared" ca="1" si="176"/>
        <v>0</v>
      </c>
      <c r="AB341" s="7">
        <f t="shared" ca="1" si="176"/>
        <v>0</v>
      </c>
      <c r="AC341" s="7">
        <f t="shared" ca="1" si="176"/>
        <v>0</v>
      </c>
      <c r="AD341" s="7">
        <f t="shared" ca="1" si="176"/>
        <v>0</v>
      </c>
      <c r="AE341" s="7">
        <f t="shared" ca="1" si="176"/>
        <v>0</v>
      </c>
      <c r="AF341" s="7">
        <f t="shared" ca="1" si="176"/>
        <v>0</v>
      </c>
      <c r="AG341" s="7">
        <f t="shared" ca="1" si="176"/>
        <v>0</v>
      </c>
      <c r="AH341" s="7">
        <f t="shared" ca="1" si="176"/>
        <v>0</v>
      </c>
      <c r="AI341" s="7">
        <f t="shared" ca="1" si="176"/>
        <v>0</v>
      </c>
      <c r="AJ341" s="7">
        <f t="shared" ca="1" si="176"/>
        <v>0</v>
      </c>
      <c r="AK341" s="7">
        <f t="shared" ca="1" si="176"/>
        <v>0</v>
      </c>
      <c r="AL341" s="7">
        <f t="shared" ca="1" si="176"/>
        <v>0</v>
      </c>
      <c r="AM341" s="7">
        <f t="shared" ca="1" si="176"/>
        <v>0</v>
      </c>
    </row>
    <row r="342" spans="1:39" x14ac:dyDescent="0.2">
      <c r="A342" s="16" t="s">
        <v>194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x14ac:dyDescent="0.2">
      <c r="A343" s="17" t="str">
        <f>TEXT(Inputs!$B$87,"")</f>
        <v>Jewelry</v>
      </c>
      <c r="C343" s="7">
        <f ca="1">C303</f>
        <v>50831.955131348885</v>
      </c>
      <c r="D343" s="7">
        <f t="shared" ref="D343:AM347" ca="1" si="177">D303</f>
        <v>51848.594233975862</v>
      </c>
      <c r="E343" s="7">
        <f t="shared" ca="1" si="177"/>
        <v>52885.566118655377</v>
      </c>
      <c r="F343" s="7">
        <f t="shared" ca="1" si="177"/>
        <v>0</v>
      </c>
      <c r="G343" s="7">
        <f t="shared" ca="1" si="177"/>
        <v>0</v>
      </c>
      <c r="H343" s="7">
        <f t="shared" ca="1" si="177"/>
        <v>0</v>
      </c>
      <c r="I343" s="7">
        <f t="shared" ca="1" si="177"/>
        <v>0</v>
      </c>
      <c r="J343" s="7">
        <f t="shared" ca="1" si="177"/>
        <v>0</v>
      </c>
      <c r="K343" s="7">
        <f t="shared" ca="1" si="177"/>
        <v>0</v>
      </c>
      <c r="L343" s="7">
        <f t="shared" ca="1" si="177"/>
        <v>0</v>
      </c>
      <c r="M343" s="7">
        <f t="shared" ca="1" si="177"/>
        <v>0</v>
      </c>
      <c r="N343" s="7">
        <f t="shared" ca="1" si="177"/>
        <v>0</v>
      </c>
      <c r="O343" s="7">
        <f t="shared" ca="1" si="177"/>
        <v>0</v>
      </c>
      <c r="P343" s="7">
        <f t="shared" ca="1" si="177"/>
        <v>0</v>
      </c>
      <c r="Q343" s="7">
        <f t="shared" ca="1" si="177"/>
        <v>0</v>
      </c>
      <c r="R343" s="7">
        <f t="shared" ca="1" si="177"/>
        <v>0</v>
      </c>
      <c r="S343" s="7">
        <f t="shared" ca="1" si="177"/>
        <v>0</v>
      </c>
      <c r="T343" s="7">
        <f t="shared" ca="1" si="177"/>
        <v>0</v>
      </c>
      <c r="U343" s="7">
        <f t="shared" ca="1" si="177"/>
        <v>0</v>
      </c>
      <c r="V343" s="7">
        <f t="shared" ca="1" si="177"/>
        <v>0</v>
      </c>
      <c r="W343" s="7">
        <f t="shared" ca="1" si="177"/>
        <v>0</v>
      </c>
      <c r="X343" s="7">
        <f t="shared" ca="1" si="177"/>
        <v>0</v>
      </c>
      <c r="Y343" s="7">
        <f t="shared" ca="1" si="177"/>
        <v>0</v>
      </c>
      <c r="Z343" s="7">
        <f t="shared" ca="1" si="177"/>
        <v>0</v>
      </c>
      <c r="AA343" s="7">
        <f t="shared" ca="1" si="177"/>
        <v>0</v>
      </c>
      <c r="AB343" s="7">
        <f t="shared" ca="1" si="177"/>
        <v>0</v>
      </c>
      <c r="AC343" s="7">
        <f t="shared" ca="1" si="177"/>
        <v>0</v>
      </c>
      <c r="AD343" s="7">
        <f t="shared" ca="1" si="177"/>
        <v>0</v>
      </c>
      <c r="AE343" s="7">
        <f t="shared" ca="1" si="177"/>
        <v>0</v>
      </c>
      <c r="AF343" s="7">
        <f t="shared" ca="1" si="177"/>
        <v>0</v>
      </c>
      <c r="AG343" s="7">
        <f t="shared" ca="1" si="177"/>
        <v>0</v>
      </c>
      <c r="AH343" s="7">
        <f t="shared" ca="1" si="177"/>
        <v>0</v>
      </c>
      <c r="AI343" s="7">
        <f t="shared" ca="1" si="177"/>
        <v>0</v>
      </c>
      <c r="AJ343" s="7">
        <f t="shared" ca="1" si="177"/>
        <v>0</v>
      </c>
      <c r="AK343" s="7">
        <f t="shared" ca="1" si="177"/>
        <v>0</v>
      </c>
      <c r="AL343" s="7">
        <f t="shared" ca="1" si="177"/>
        <v>0</v>
      </c>
      <c r="AM343" s="7">
        <f t="shared" ca="1" si="177"/>
        <v>0</v>
      </c>
    </row>
    <row r="344" spans="1:39" x14ac:dyDescent="0.2">
      <c r="A344" s="17" t="str">
        <f>TEXT(Inputs!$B$92,"")</f>
        <v>Car</v>
      </c>
      <c r="C344" s="7">
        <f t="shared" ref="C344:R347" ca="1" si="178">C304</f>
        <v>38326.250080955608</v>
      </c>
      <c r="D344" s="7">
        <f t="shared" ca="1" si="178"/>
        <v>36409.937576907825</v>
      </c>
      <c r="E344" s="7">
        <f t="shared" ca="1" si="178"/>
        <v>34589.440698062434</v>
      </c>
      <c r="F344" s="7">
        <f t="shared" ca="1" si="178"/>
        <v>0</v>
      </c>
      <c r="G344" s="7">
        <f t="shared" ca="1" si="178"/>
        <v>0</v>
      </c>
      <c r="H344" s="7">
        <f t="shared" ca="1" si="178"/>
        <v>0</v>
      </c>
      <c r="I344" s="7">
        <f t="shared" ca="1" si="178"/>
        <v>0</v>
      </c>
      <c r="J344" s="7">
        <f t="shared" ca="1" si="178"/>
        <v>0</v>
      </c>
      <c r="K344" s="7">
        <f t="shared" ca="1" si="178"/>
        <v>0</v>
      </c>
      <c r="L344" s="7">
        <f t="shared" ca="1" si="178"/>
        <v>0</v>
      </c>
      <c r="M344" s="7">
        <f t="shared" ca="1" si="178"/>
        <v>0</v>
      </c>
      <c r="N344" s="7">
        <f t="shared" ca="1" si="178"/>
        <v>0</v>
      </c>
      <c r="O344" s="7">
        <f t="shared" ca="1" si="178"/>
        <v>0</v>
      </c>
      <c r="P344" s="7">
        <f t="shared" ca="1" si="178"/>
        <v>0</v>
      </c>
      <c r="Q344" s="7">
        <f t="shared" ca="1" si="178"/>
        <v>0</v>
      </c>
      <c r="R344" s="7">
        <f t="shared" ca="1" si="178"/>
        <v>0</v>
      </c>
      <c r="S344" s="7">
        <f t="shared" ca="1" si="177"/>
        <v>0</v>
      </c>
      <c r="T344" s="7">
        <f t="shared" ca="1" si="177"/>
        <v>0</v>
      </c>
      <c r="U344" s="7">
        <f t="shared" ca="1" si="177"/>
        <v>0</v>
      </c>
      <c r="V344" s="7">
        <f t="shared" ca="1" si="177"/>
        <v>0</v>
      </c>
      <c r="W344" s="7">
        <f t="shared" ca="1" si="177"/>
        <v>0</v>
      </c>
      <c r="X344" s="7">
        <f t="shared" ca="1" si="177"/>
        <v>0</v>
      </c>
      <c r="Y344" s="7">
        <f t="shared" ca="1" si="177"/>
        <v>0</v>
      </c>
      <c r="Z344" s="7">
        <f t="shared" ca="1" si="177"/>
        <v>0</v>
      </c>
      <c r="AA344" s="7">
        <f t="shared" ca="1" si="177"/>
        <v>0</v>
      </c>
      <c r="AB344" s="7">
        <f t="shared" ca="1" si="177"/>
        <v>0</v>
      </c>
      <c r="AC344" s="7">
        <f t="shared" ca="1" si="177"/>
        <v>0</v>
      </c>
      <c r="AD344" s="7">
        <f t="shared" ca="1" si="177"/>
        <v>0</v>
      </c>
      <c r="AE344" s="7">
        <f t="shared" ca="1" si="177"/>
        <v>0</v>
      </c>
      <c r="AF344" s="7">
        <f t="shared" ca="1" si="177"/>
        <v>0</v>
      </c>
      <c r="AG344" s="7">
        <f t="shared" ca="1" si="177"/>
        <v>0</v>
      </c>
      <c r="AH344" s="7">
        <f t="shared" ca="1" si="177"/>
        <v>0</v>
      </c>
      <c r="AI344" s="7">
        <f t="shared" ca="1" si="177"/>
        <v>0</v>
      </c>
      <c r="AJ344" s="7">
        <f t="shared" ca="1" si="177"/>
        <v>0</v>
      </c>
      <c r="AK344" s="7">
        <f t="shared" ca="1" si="177"/>
        <v>0</v>
      </c>
      <c r="AL344" s="7">
        <f t="shared" ca="1" si="177"/>
        <v>0</v>
      </c>
      <c r="AM344" s="7">
        <f t="shared" ca="1" si="177"/>
        <v>0</v>
      </c>
    </row>
    <row r="345" spans="1:39" x14ac:dyDescent="0.2">
      <c r="A345" s="17" t="str">
        <f>TEXT(Inputs!$B$97,"")</f>
        <v>Painting</v>
      </c>
      <c r="C345" s="7">
        <f t="shared" ca="1" si="178"/>
        <v>20498.764350764995</v>
      </c>
      <c r="D345" s="7">
        <f t="shared" ca="1" si="177"/>
        <v>21113.727281287946</v>
      </c>
      <c r="E345" s="7">
        <f t="shared" ca="1" si="177"/>
        <v>0</v>
      </c>
      <c r="F345" s="7">
        <f t="shared" ca="1" si="177"/>
        <v>0</v>
      </c>
      <c r="G345" s="7">
        <f t="shared" ca="1" si="177"/>
        <v>0</v>
      </c>
      <c r="H345" s="7">
        <f t="shared" ca="1" si="177"/>
        <v>0</v>
      </c>
      <c r="I345" s="7">
        <f t="shared" ca="1" si="177"/>
        <v>0</v>
      </c>
      <c r="J345" s="7">
        <f t="shared" ca="1" si="177"/>
        <v>0</v>
      </c>
      <c r="K345" s="7">
        <f t="shared" ca="1" si="177"/>
        <v>0</v>
      </c>
      <c r="L345" s="7">
        <f t="shared" ca="1" si="177"/>
        <v>0</v>
      </c>
      <c r="M345" s="7">
        <f t="shared" ca="1" si="177"/>
        <v>0</v>
      </c>
      <c r="N345" s="7">
        <f t="shared" ca="1" si="177"/>
        <v>0</v>
      </c>
      <c r="O345" s="7">
        <f t="shared" ca="1" si="177"/>
        <v>0</v>
      </c>
      <c r="P345" s="7">
        <f t="shared" ca="1" si="177"/>
        <v>0</v>
      </c>
      <c r="Q345" s="7">
        <f t="shared" ca="1" si="177"/>
        <v>0</v>
      </c>
      <c r="R345" s="7">
        <f t="shared" ca="1" si="177"/>
        <v>0</v>
      </c>
      <c r="S345" s="7">
        <f t="shared" ca="1" si="177"/>
        <v>0</v>
      </c>
      <c r="T345" s="7">
        <f t="shared" ca="1" si="177"/>
        <v>0</v>
      </c>
      <c r="U345" s="7">
        <f t="shared" ca="1" si="177"/>
        <v>0</v>
      </c>
      <c r="V345" s="7">
        <f t="shared" ca="1" si="177"/>
        <v>0</v>
      </c>
      <c r="W345" s="7">
        <f t="shared" ca="1" si="177"/>
        <v>0</v>
      </c>
      <c r="X345" s="7">
        <f t="shared" ca="1" si="177"/>
        <v>0</v>
      </c>
      <c r="Y345" s="7">
        <f t="shared" ca="1" si="177"/>
        <v>0</v>
      </c>
      <c r="Z345" s="7">
        <f t="shared" ca="1" si="177"/>
        <v>0</v>
      </c>
      <c r="AA345" s="7">
        <f t="shared" ca="1" si="177"/>
        <v>0</v>
      </c>
      <c r="AB345" s="7">
        <f t="shared" ca="1" si="177"/>
        <v>0</v>
      </c>
      <c r="AC345" s="7">
        <f t="shared" ca="1" si="177"/>
        <v>0</v>
      </c>
      <c r="AD345" s="7">
        <f t="shared" ca="1" si="177"/>
        <v>0</v>
      </c>
      <c r="AE345" s="7">
        <f t="shared" ca="1" si="177"/>
        <v>0</v>
      </c>
      <c r="AF345" s="7">
        <f t="shared" ca="1" si="177"/>
        <v>0</v>
      </c>
      <c r="AG345" s="7">
        <f t="shared" ca="1" si="177"/>
        <v>0</v>
      </c>
      <c r="AH345" s="7">
        <f t="shared" ca="1" si="177"/>
        <v>0</v>
      </c>
      <c r="AI345" s="7">
        <f t="shared" ca="1" si="177"/>
        <v>0</v>
      </c>
      <c r="AJ345" s="7">
        <f t="shared" ca="1" si="177"/>
        <v>0</v>
      </c>
      <c r="AK345" s="7">
        <f t="shared" ca="1" si="177"/>
        <v>0</v>
      </c>
      <c r="AL345" s="7">
        <f t="shared" ca="1" si="177"/>
        <v>0</v>
      </c>
      <c r="AM345" s="7">
        <f t="shared" ca="1" si="177"/>
        <v>0</v>
      </c>
    </row>
    <row r="346" spans="1:39" x14ac:dyDescent="0.2">
      <c r="A346" s="17" t="str">
        <f>TEXT(Inputs!$B$102,"")</f>
        <v>Boat</v>
      </c>
      <c r="C346" s="7">
        <f t="shared" ca="1" si="178"/>
        <v>172468.12536430024</v>
      </c>
      <c r="D346" s="7">
        <f t="shared" ca="1" si="177"/>
        <v>163844.71909608523</v>
      </c>
      <c r="E346" s="7">
        <f t="shared" ca="1" si="177"/>
        <v>155652.48314128097</v>
      </c>
      <c r="F346" s="7">
        <f t="shared" ca="1" si="177"/>
        <v>147869.85898421693</v>
      </c>
      <c r="G346" s="7">
        <f t="shared" ca="1" si="177"/>
        <v>140476.36603500607</v>
      </c>
      <c r="H346" s="7">
        <f t="shared" ca="1" si="177"/>
        <v>133452.54773325575</v>
      </c>
      <c r="I346" s="7">
        <f t="shared" ca="1" si="177"/>
        <v>126779.92034659296</v>
      </c>
      <c r="J346" s="7">
        <f t="shared" ca="1" si="177"/>
        <v>120440.9243292633</v>
      </c>
      <c r="K346" s="7">
        <f t="shared" ca="1" si="177"/>
        <v>114418.87811280013</v>
      </c>
      <c r="L346" s="7">
        <f t="shared" ca="1" si="177"/>
        <v>108697.93420716011</v>
      </c>
      <c r="M346" s="7">
        <f t="shared" ca="1" si="177"/>
        <v>103263.03749680211</v>
      </c>
      <c r="N346" s="7">
        <f t="shared" ca="1" si="177"/>
        <v>98099.885621961992</v>
      </c>
      <c r="O346" s="7">
        <f t="shared" ca="1" si="177"/>
        <v>93194.891340863891</v>
      </c>
      <c r="P346" s="7">
        <f t="shared" ca="1" si="177"/>
        <v>88535.146773820699</v>
      </c>
      <c r="Q346" s="7">
        <f t="shared" ca="1" si="177"/>
        <v>84108.389435129662</v>
      </c>
      <c r="R346" s="7">
        <f t="shared" ca="1" si="177"/>
        <v>79902.96996337318</v>
      </c>
      <c r="S346" s="7">
        <f t="shared" ca="1" si="177"/>
        <v>75907.821465204514</v>
      </c>
      <c r="T346" s="7">
        <f t="shared" ca="1" si="177"/>
        <v>72112.43039194429</v>
      </c>
      <c r="U346" s="7">
        <f t="shared" ca="1" si="177"/>
        <v>68506.808872347072</v>
      </c>
      <c r="V346" s="7">
        <f t="shared" ca="1" si="177"/>
        <v>65081.468428729713</v>
      </c>
      <c r="W346" s="7">
        <f t="shared" ca="1" si="177"/>
        <v>61827.395007293228</v>
      </c>
      <c r="X346" s="7">
        <f t="shared" ca="1" si="177"/>
        <v>58736.025256928566</v>
      </c>
      <c r="Y346" s="7">
        <f t="shared" ca="1" si="177"/>
        <v>55799.223994082138</v>
      </c>
      <c r="Z346" s="7">
        <f t="shared" ca="1" si="177"/>
        <v>0</v>
      </c>
      <c r="AA346" s="7">
        <f t="shared" ca="1" si="177"/>
        <v>0</v>
      </c>
      <c r="AB346" s="7">
        <f t="shared" ca="1" si="177"/>
        <v>0</v>
      </c>
      <c r="AC346" s="7">
        <f t="shared" ca="1" si="177"/>
        <v>0</v>
      </c>
      <c r="AD346" s="7">
        <f t="shared" ca="1" si="177"/>
        <v>0</v>
      </c>
      <c r="AE346" s="7">
        <f t="shared" ca="1" si="177"/>
        <v>0</v>
      </c>
      <c r="AF346" s="7">
        <f t="shared" ca="1" si="177"/>
        <v>0</v>
      </c>
      <c r="AG346" s="7">
        <f t="shared" ca="1" si="177"/>
        <v>0</v>
      </c>
      <c r="AH346" s="7">
        <f t="shared" ca="1" si="177"/>
        <v>0</v>
      </c>
      <c r="AI346" s="7">
        <f t="shared" ca="1" si="177"/>
        <v>0</v>
      </c>
      <c r="AJ346" s="7">
        <f t="shared" ca="1" si="177"/>
        <v>0</v>
      </c>
      <c r="AK346" s="7">
        <f t="shared" ca="1" si="177"/>
        <v>0</v>
      </c>
      <c r="AL346" s="7">
        <f t="shared" ca="1" si="177"/>
        <v>0</v>
      </c>
      <c r="AM346" s="7">
        <f t="shared" ca="1" si="177"/>
        <v>0</v>
      </c>
    </row>
    <row r="347" spans="1:39" x14ac:dyDescent="0.2">
      <c r="A347" s="17" t="str">
        <f>TEXT(Inputs!$B$107,"")</f>
        <v>Antiques</v>
      </c>
      <c r="C347" s="7">
        <f t="shared" ca="1" si="178"/>
        <v>83364.406415412173</v>
      </c>
      <c r="D347" s="7">
        <f t="shared" ca="1" si="177"/>
        <v>85031.694543720412</v>
      </c>
      <c r="E347" s="7">
        <f t="shared" ca="1" si="177"/>
        <v>86732.32843459482</v>
      </c>
      <c r="F347" s="7">
        <f t="shared" ca="1" si="177"/>
        <v>88466.975003286716</v>
      </c>
      <c r="G347" s="7">
        <f t="shared" ca="1" si="177"/>
        <v>90236.314503352449</v>
      </c>
      <c r="H347" s="7">
        <f t="shared" ca="1" si="177"/>
        <v>92041.040793419495</v>
      </c>
      <c r="I347" s="7">
        <f t="shared" ca="1" si="177"/>
        <v>0</v>
      </c>
      <c r="J347" s="7">
        <f t="shared" ca="1" si="177"/>
        <v>0</v>
      </c>
      <c r="K347" s="7">
        <f t="shared" ca="1" si="177"/>
        <v>0</v>
      </c>
      <c r="L347" s="7">
        <f t="shared" ca="1" si="177"/>
        <v>0</v>
      </c>
      <c r="M347" s="7">
        <f t="shared" ca="1" si="177"/>
        <v>0</v>
      </c>
      <c r="N347" s="7">
        <f t="shared" ca="1" si="177"/>
        <v>0</v>
      </c>
      <c r="O347" s="7">
        <f t="shared" ca="1" si="177"/>
        <v>0</v>
      </c>
      <c r="P347" s="7">
        <f t="shared" ca="1" si="177"/>
        <v>0</v>
      </c>
      <c r="Q347" s="7">
        <f t="shared" ca="1" si="177"/>
        <v>0</v>
      </c>
      <c r="R347" s="7">
        <f t="shared" ca="1" si="177"/>
        <v>0</v>
      </c>
      <c r="S347" s="7">
        <f t="shared" ca="1" si="177"/>
        <v>0</v>
      </c>
      <c r="T347" s="7">
        <f t="shared" ca="1" si="177"/>
        <v>0</v>
      </c>
      <c r="U347" s="7">
        <f t="shared" ca="1" si="177"/>
        <v>0</v>
      </c>
      <c r="V347" s="7">
        <f t="shared" ca="1" si="177"/>
        <v>0</v>
      </c>
      <c r="W347" s="7">
        <f t="shared" ca="1" si="177"/>
        <v>0</v>
      </c>
      <c r="X347" s="7">
        <f t="shared" ca="1" si="177"/>
        <v>0</v>
      </c>
      <c r="Y347" s="7">
        <f t="shared" ca="1" si="177"/>
        <v>0</v>
      </c>
      <c r="Z347" s="7">
        <f t="shared" ca="1" si="177"/>
        <v>0</v>
      </c>
      <c r="AA347" s="7">
        <f t="shared" ca="1" si="177"/>
        <v>0</v>
      </c>
      <c r="AB347" s="7">
        <f t="shared" ca="1" si="177"/>
        <v>0</v>
      </c>
      <c r="AC347" s="7">
        <f t="shared" ca="1" si="177"/>
        <v>0</v>
      </c>
      <c r="AD347" s="7">
        <f t="shared" ca="1" si="177"/>
        <v>0</v>
      </c>
      <c r="AE347" s="7">
        <f t="shared" ca="1" si="177"/>
        <v>0</v>
      </c>
      <c r="AF347" s="7">
        <f t="shared" ca="1" si="177"/>
        <v>0</v>
      </c>
      <c r="AG347" s="7">
        <f t="shared" ca="1" si="177"/>
        <v>0</v>
      </c>
      <c r="AH347" s="7">
        <f t="shared" ca="1" si="177"/>
        <v>0</v>
      </c>
      <c r="AI347" s="7">
        <f t="shared" ca="1" si="177"/>
        <v>0</v>
      </c>
      <c r="AJ347" s="7">
        <f t="shared" ca="1" si="177"/>
        <v>0</v>
      </c>
      <c r="AK347" s="7">
        <f t="shared" ca="1" si="177"/>
        <v>0</v>
      </c>
      <c r="AL347" s="7">
        <f t="shared" ca="1" si="177"/>
        <v>0</v>
      </c>
      <c r="AM347" s="7">
        <f t="shared" ca="1" si="177"/>
        <v>0</v>
      </c>
    </row>
    <row r="348" spans="1:39" x14ac:dyDescent="0.2">
      <c r="A348" s="16" t="str">
        <f t="shared" ref="A348:A355" si="179">A80</f>
        <v>Stock market equity investments</v>
      </c>
      <c r="C348" s="7">
        <f t="shared" ref="C348:AM348" ca="1" si="180">C105</f>
        <v>31987.064369139065</v>
      </c>
      <c r="D348" s="7">
        <f t="shared" ca="1" si="180"/>
        <v>27189.004713768205</v>
      </c>
      <c r="E348" s="7">
        <f t="shared" ca="1" si="180"/>
        <v>31987.064369139065</v>
      </c>
      <c r="F348" s="7">
        <f t="shared" ca="1" si="180"/>
        <v>0</v>
      </c>
      <c r="G348" s="7">
        <f t="shared" ca="1" si="180"/>
        <v>0</v>
      </c>
      <c r="H348" s="7">
        <f t="shared" ca="1" si="180"/>
        <v>0</v>
      </c>
      <c r="I348" s="7">
        <f t="shared" ca="1" si="180"/>
        <v>0</v>
      </c>
      <c r="J348" s="7">
        <f t="shared" ca="1" si="180"/>
        <v>0</v>
      </c>
      <c r="K348" s="7">
        <f t="shared" ca="1" si="180"/>
        <v>0</v>
      </c>
      <c r="L348" s="7">
        <f t="shared" ca="1" si="180"/>
        <v>0</v>
      </c>
      <c r="M348" s="7">
        <f t="shared" ca="1" si="180"/>
        <v>0</v>
      </c>
      <c r="N348" s="7">
        <f t="shared" ca="1" si="180"/>
        <v>0</v>
      </c>
      <c r="O348" s="7">
        <f t="shared" ca="1" si="180"/>
        <v>0</v>
      </c>
      <c r="P348" s="7">
        <f t="shared" ca="1" si="180"/>
        <v>0</v>
      </c>
      <c r="Q348" s="7">
        <f t="shared" ca="1" si="180"/>
        <v>0</v>
      </c>
      <c r="R348" s="7">
        <f t="shared" ca="1" si="180"/>
        <v>0</v>
      </c>
      <c r="S348" s="7">
        <f t="shared" ca="1" si="180"/>
        <v>0</v>
      </c>
      <c r="T348" s="7">
        <f t="shared" ca="1" si="180"/>
        <v>0</v>
      </c>
      <c r="U348" s="7">
        <f t="shared" ca="1" si="180"/>
        <v>0</v>
      </c>
      <c r="V348" s="7">
        <f t="shared" ca="1" si="180"/>
        <v>0</v>
      </c>
      <c r="W348" s="7">
        <f t="shared" ca="1" si="180"/>
        <v>0</v>
      </c>
      <c r="X348" s="7">
        <f t="shared" ca="1" si="180"/>
        <v>0</v>
      </c>
      <c r="Y348" s="7">
        <f t="shared" ca="1" si="180"/>
        <v>0</v>
      </c>
      <c r="Z348" s="7">
        <f t="shared" ca="1" si="180"/>
        <v>0</v>
      </c>
      <c r="AA348" s="7">
        <f t="shared" ca="1" si="180"/>
        <v>0</v>
      </c>
      <c r="AB348" s="7">
        <f t="shared" ca="1" si="180"/>
        <v>0</v>
      </c>
      <c r="AC348" s="7">
        <f t="shared" ca="1" si="180"/>
        <v>0</v>
      </c>
      <c r="AD348" s="7">
        <f t="shared" ca="1" si="180"/>
        <v>0</v>
      </c>
      <c r="AE348" s="7">
        <f t="shared" ca="1" si="180"/>
        <v>0</v>
      </c>
      <c r="AF348" s="7">
        <f t="shared" ca="1" si="180"/>
        <v>0</v>
      </c>
      <c r="AG348" s="7">
        <f t="shared" ca="1" si="180"/>
        <v>0</v>
      </c>
      <c r="AH348" s="7">
        <f t="shared" ca="1" si="180"/>
        <v>0</v>
      </c>
      <c r="AI348" s="7">
        <f t="shared" ca="1" si="180"/>
        <v>0</v>
      </c>
      <c r="AJ348" s="7">
        <f t="shared" ca="1" si="180"/>
        <v>0</v>
      </c>
      <c r="AK348" s="7">
        <f t="shared" ca="1" si="180"/>
        <v>0</v>
      </c>
      <c r="AL348" s="7">
        <f t="shared" ca="1" si="180"/>
        <v>0</v>
      </c>
      <c r="AM348" s="7">
        <f t="shared" ca="1" si="180"/>
        <v>0</v>
      </c>
    </row>
    <row r="349" spans="1:39" x14ac:dyDescent="0.2">
      <c r="A349" s="16" t="str">
        <f t="shared" si="179"/>
        <v>Home loan</v>
      </c>
      <c r="C349" s="7">
        <f t="shared" ref="C349:AM349" ca="1" si="181">C81</f>
        <v>-43173.554028497994</v>
      </c>
      <c r="D349" s="7">
        <f t="shared" ca="1" si="181"/>
        <v>-34753.61277530963</v>
      </c>
      <c r="E349" s="7">
        <f t="shared" ca="1" si="181"/>
        <v>-26077.570951749931</v>
      </c>
      <c r="F349" s="7">
        <f t="shared" ca="1" si="181"/>
        <v>-17137.639013905144</v>
      </c>
      <c r="G349" s="7">
        <f t="shared" ca="1" si="181"/>
        <v>-7925.7904914290921</v>
      </c>
      <c r="H349" s="7">
        <f t="shared" ca="1" si="181"/>
        <v>0</v>
      </c>
      <c r="I349" s="7">
        <f t="shared" ca="1" si="181"/>
        <v>0</v>
      </c>
      <c r="J349" s="7">
        <f t="shared" ca="1" si="181"/>
        <v>0</v>
      </c>
      <c r="K349" s="7">
        <f t="shared" ca="1" si="181"/>
        <v>0</v>
      </c>
      <c r="L349" s="7">
        <f t="shared" ca="1" si="181"/>
        <v>0</v>
      </c>
      <c r="M349" s="7">
        <f t="shared" ca="1" si="181"/>
        <v>0</v>
      </c>
      <c r="N349" s="7">
        <f t="shared" ca="1" si="181"/>
        <v>0</v>
      </c>
      <c r="O349" s="7">
        <f t="shared" ca="1" si="181"/>
        <v>0</v>
      </c>
      <c r="P349" s="7">
        <f t="shared" ca="1" si="181"/>
        <v>0</v>
      </c>
      <c r="Q349" s="7">
        <f t="shared" ca="1" si="181"/>
        <v>0</v>
      </c>
      <c r="R349" s="7">
        <f t="shared" ca="1" si="181"/>
        <v>0</v>
      </c>
      <c r="S349" s="7">
        <f t="shared" ca="1" si="181"/>
        <v>0</v>
      </c>
      <c r="T349" s="7">
        <f t="shared" ca="1" si="181"/>
        <v>0</v>
      </c>
      <c r="U349" s="7">
        <f t="shared" ca="1" si="181"/>
        <v>0</v>
      </c>
      <c r="V349" s="7">
        <f t="shared" ca="1" si="181"/>
        <v>0</v>
      </c>
      <c r="W349" s="7">
        <f t="shared" ca="1" si="181"/>
        <v>0</v>
      </c>
      <c r="X349" s="7">
        <f t="shared" ca="1" si="181"/>
        <v>0</v>
      </c>
      <c r="Y349" s="7">
        <f t="shared" ca="1" si="181"/>
        <v>0</v>
      </c>
      <c r="Z349" s="7">
        <f t="shared" ca="1" si="181"/>
        <v>0</v>
      </c>
      <c r="AA349" s="7">
        <f t="shared" ca="1" si="181"/>
        <v>0</v>
      </c>
      <c r="AB349" s="7">
        <f t="shared" ca="1" si="181"/>
        <v>0</v>
      </c>
      <c r="AC349" s="7">
        <f t="shared" ca="1" si="181"/>
        <v>0</v>
      </c>
      <c r="AD349" s="7">
        <f t="shared" ca="1" si="181"/>
        <v>0</v>
      </c>
      <c r="AE349" s="7">
        <f t="shared" ca="1" si="181"/>
        <v>0</v>
      </c>
      <c r="AF349" s="7">
        <f t="shared" ca="1" si="181"/>
        <v>0</v>
      </c>
      <c r="AG349" s="7">
        <f t="shared" ca="1" si="181"/>
        <v>0</v>
      </c>
      <c r="AH349" s="7">
        <f t="shared" ca="1" si="181"/>
        <v>0</v>
      </c>
      <c r="AI349" s="7">
        <f t="shared" ca="1" si="181"/>
        <v>0</v>
      </c>
      <c r="AJ349" s="7">
        <f t="shared" ca="1" si="181"/>
        <v>0</v>
      </c>
      <c r="AK349" s="7">
        <f t="shared" ca="1" si="181"/>
        <v>0</v>
      </c>
      <c r="AL349" s="7">
        <f t="shared" ca="1" si="181"/>
        <v>0</v>
      </c>
      <c r="AM349" s="7">
        <f t="shared" ca="1" si="181"/>
        <v>0</v>
      </c>
    </row>
    <row r="350" spans="1:39" x14ac:dyDescent="0.2">
      <c r="A350" s="16" t="str">
        <f t="shared" si="179"/>
        <v>Other asset loans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x14ac:dyDescent="0.2">
      <c r="A351" s="17" t="str">
        <f t="shared" si="179"/>
        <v>Sliema</v>
      </c>
      <c r="C351" s="7">
        <f t="shared" ref="C351:AM357" ca="1" si="182">C322</f>
        <v>-46207.530015832221</v>
      </c>
      <c r="D351" s="7">
        <f t="shared" ca="1" si="182"/>
        <v>-41529.784875172016</v>
      </c>
      <c r="E351" s="7">
        <f t="shared" ca="1" si="182"/>
        <v>-36709.76163986107</v>
      </c>
      <c r="F351" s="7">
        <f t="shared" ca="1" si="182"/>
        <v>-31743.132785502858</v>
      </c>
      <c r="G351" s="7">
        <f t="shared" ca="1" si="182"/>
        <v>-26625.439161905048</v>
      </c>
      <c r="H351" s="7">
        <f t="shared" ca="1" si="182"/>
        <v>-21352.085989555409</v>
      </c>
      <c r="I351" s="7">
        <f t="shared" ca="1" si="182"/>
        <v>-15918.338734325836</v>
      </c>
      <c r="J351" s="7">
        <f t="shared" ca="1" si="182"/>
        <v>-10319.318856702368</v>
      </c>
      <c r="K351" s="7">
        <f t="shared" ca="1" si="182"/>
        <v>-4549.9994317232195</v>
      </c>
      <c r="L351" s="7">
        <f t="shared" ca="1" si="182"/>
        <v>0</v>
      </c>
      <c r="M351" s="7">
        <f t="shared" ca="1" si="182"/>
        <v>0</v>
      </c>
      <c r="N351" s="7">
        <f t="shared" ca="1" si="182"/>
        <v>0</v>
      </c>
      <c r="O351" s="7">
        <f t="shared" ca="1" si="182"/>
        <v>0</v>
      </c>
      <c r="P351" s="7">
        <f t="shared" ca="1" si="182"/>
        <v>0</v>
      </c>
      <c r="Q351" s="7">
        <f t="shared" ca="1" si="182"/>
        <v>0</v>
      </c>
      <c r="R351" s="7">
        <f t="shared" ca="1" si="182"/>
        <v>0</v>
      </c>
      <c r="S351" s="7">
        <f t="shared" ca="1" si="182"/>
        <v>0</v>
      </c>
      <c r="T351" s="7">
        <f t="shared" ca="1" si="182"/>
        <v>0</v>
      </c>
      <c r="U351" s="7">
        <f t="shared" ca="1" si="182"/>
        <v>0</v>
      </c>
      <c r="V351" s="7">
        <f t="shared" ca="1" si="182"/>
        <v>0</v>
      </c>
      <c r="W351" s="7">
        <f t="shared" ca="1" si="182"/>
        <v>0</v>
      </c>
      <c r="X351" s="7">
        <f t="shared" ca="1" si="182"/>
        <v>0</v>
      </c>
      <c r="Y351" s="7">
        <f t="shared" ca="1" si="182"/>
        <v>0</v>
      </c>
      <c r="Z351" s="7">
        <f t="shared" ca="1" si="182"/>
        <v>0</v>
      </c>
      <c r="AA351" s="7">
        <f t="shared" ca="1" si="182"/>
        <v>0</v>
      </c>
      <c r="AB351" s="7">
        <f t="shared" ca="1" si="182"/>
        <v>0</v>
      </c>
      <c r="AC351" s="7">
        <f t="shared" ca="1" si="182"/>
        <v>0</v>
      </c>
      <c r="AD351" s="7">
        <f t="shared" ca="1" si="182"/>
        <v>0</v>
      </c>
      <c r="AE351" s="7">
        <f t="shared" ca="1" si="182"/>
        <v>0</v>
      </c>
      <c r="AF351" s="7">
        <f t="shared" ca="1" si="182"/>
        <v>0</v>
      </c>
      <c r="AG351" s="7">
        <f t="shared" ca="1" si="182"/>
        <v>0</v>
      </c>
      <c r="AH351" s="7">
        <f t="shared" ca="1" si="182"/>
        <v>0</v>
      </c>
      <c r="AI351" s="7">
        <f t="shared" ca="1" si="182"/>
        <v>0</v>
      </c>
      <c r="AJ351" s="7">
        <f t="shared" ca="1" si="182"/>
        <v>0</v>
      </c>
      <c r="AK351" s="7">
        <f t="shared" ca="1" si="182"/>
        <v>0</v>
      </c>
      <c r="AL351" s="7">
        <f t="shared" ca="1" si="182"/>
        <v>0</v>
      </c>
      <c r="AM351" s="7">
        <f t="shared" ca="1" si="182"/>
        <v>0</v>
      </c>
    </row>
    <row r="352" spans="1:39" x14ac:dyDescent="0.2">
      <c r="A352" s="17" t="str">
        <f t="shared" si="179"/>
        <v>Gzira</v>
      </c>
      <c r="C352" s="7">
        <f t="shared" ca="1" si="182"/>
        <v>-6627.6670411890118</v>
      </c>
      <c r="D352" s="7">
        <f t="shared" ca="1" si="182"/>
        <v>-4339.3195483066884</v>
      </c>
      <c r="E352" s="7">
        <f t="shared" ca="1" si="182"/>
        <v>-2004.7832357051393</v>
      </c>
      <c r="F352" s="7">
        <f t="shared" ca="1" si="182"/>
        <v>0</v>
      </c>
      <c r="G352" s="7">
        <f t="shared" ca="1" si="182"/>
        <v>0</v>
      </c>
      <c r="H352" s="7">
        <f t="shared" ca="1" si="182"/>
        <v>0</v>
      </c>
      <c r="I352" s="7">
        <f t="shared" ca="1" si="182"/>
        <v>0</v>
      </c>
      <c r="J352" s="7">
        <f t="shared" ca="1" si="182"/>
        <v>0</v>
      </c>
      <c r="K352" s="7">
        <f t="shared" ca="1" si="182"/>
        <v>0</v>
      </c>
      <c r="L352" s="7">
        <f t="shared" ca="1" si="182"/>
        <v>0</v>
      </c>
      <c r="M352" s="7">
        <f t="shared" ca="1" si="182"/>
        <v>0</v>
      </c>
      <c r="N352" s="7">
        <f t="shared" ca="1" si="182"/>
        <v>0</v>
      </c>
      <c r="O352" s="7">
        <f t="shared" ca="1" si="182"/>
        <v>0</v>
      </c>
      <c r="P352" s="7">
        <f t="shared" ca="1" si="182"/>
        <v>0</v>
      </c>
      <c r="Q352" s="7">
        <f t="shared" ca="1" si="182"/>
        <v>0</v>
      </c>
      <c r="R352" s="7">
        <f t="shared" ca="1" si="182"/>
        <v>0</v>
      </c>
      <c r="S352" s="7">
        <f t="shared" ca="1" si="182"/>
        <v>0</v>
      </c>
      <c r="T352" s="7">
        <f t="shared" ca="1" si="182"/>
        <v>0</v>
      </c>
      <c r="U352" s="7">
        <f t="shared" ca="1" si="182"/>
        <v>0</v>
      </c>
      <c r="V352" s="7">
        <f t="shared" ca="1" si="182"/>
        <v>0</v>
      </c>
      <c r="W352" s="7">
        <f t="shared" ca="1" si="182"/>
        <v>0</v>
      </c>
      <c r="X352" s="7">
        <f t="shared" ca="1" si="182"/>
        <v>0</v>
      </c>
      <c r="Y352" s="7">
        <f t="shared" ca="1" si="182"/>
        <v>0</v>
      </c>
      <c r="Z352" s="7">
        <f t="shared" ca="1" si="182"/>
        <v>0</v>
      </c>
      <c r="AA352" s="7">
        <f t="shared" ca="1" si="182"/>
        <v>0</v>
      </c>
      <c r="AB352" s="7">
        <f t="shared" ca="1" si="182"/>
        <v>0</v>
      </c>
      <c r="AC352" s="7">
        <f t="shared" ca="1" si="182"/>
        <v>0</v>
      </c>
      <c r="AD352" s="7">
        <f t="shared" ca="1" si="182"/>
        <v>0</v>
      </c>
      <c r="AE352" s="7">
        <f t="shared" ca="1" si="182"/>
        <v>0</v>
      </c>
      <c r="AF352" s="7">
        <f t="shared" ca="1" si="182"/>
        <v>0</v>
      </c>
      <c r="AG352" s="7">
        <f t="shared" ca="1" si="182"/>
        <v>0</v>
      </c>
      <c r="AH352" s="7">
        <f t="shared" ca="1" si="182"/>
        <v>0</v>
      </c>
      <c r="AI352" s="7">
        <f t="shared" ca="1" si="182"/>
        <v>0</v>
      </c>
      <c r="AJ352" s="7">
        <f t="shared" ca="1" si="182"/>
        <v>0</v>
      </c>
      <c r="AK352" s="7">
        <f t="shared" ca="1" si="182"/>
        <v>0</v>
      </c>
      <c r="AL352" s="7">
        <f t="shared" ca="1" si="182"/>
        <v>0</v>
      </c>
      <c r="AM352" s="7">
        <f t="shared" ca="1" si="182"/>
        <v>0</v>
      </c>
    </row>
    <row r="353" spans="1:39" x14ac:dyDescent="0.2">
      <c r="A353" s="17" t="str">
        <f t="shared" si="179"/>
        <v>Qormi</v>
      </c>
      <c r="C353" s="7">
        <f t="shared" ca="1" si="182"/>
        <v>-13089.450262401593</v>
      </c>
      <c r="D353" s="7">
        <f t="shared" ca="1" si="182"/>
        <v>-10689.417507150618</v>
      </c>
      <c r="E353" s="7">
        <f t="shared" ca="1" si="182"/>
        <v>-8166.5945211626622</v>
      </c>
      <c r="F353" s="7">
        <f t="shared" ca="1" si="182"/>
        <v>-5514.6991231919146</v>
      </c>
      <c r="G353" s="7">
        <f t="shared" ca="1" si="182"/>
        <v>-2727.1277236771257</v>
      </c>
      <c r="H353" s="7">
        <f t="shared" ca="1" si="182"/>
        <v>0</v>
      </c>
      <c r="I353" s="7">
        <f t="shared" ca="1" si="182"/>
        <v>0</v>
      </c>
      <c r="J353" s="7">
        <f t="shared" ca="1" si="182"/>
        <v>0</v>
      </c>
      <c r="K353" s="7">
        <f t="shared" ca="1" si="182"/>
        <v>0</v>
      </c>
      <c r="L353" s="7">
        <f t="shared" ca="1" si="182"/>
        <v>0</v>
      </c>
      <c r="M353" s="7">
        <f t="shared" ca="1" si="182"/>
        <v>0</v>
      </c>
      <c r="N353" s="7">
        <f t="shared" ca="1" si="182"/>
        <v>0</v>
      </c>
      <c r="O353" s="7">
        <f t="shared" ca="1" si="182"/>
        <v>0</v>
      </c>
      <c r="P353" s="7">
        <f t="shared" ca="1" si="182"/>
        <v>0</v>
      </c>
      <c r="Q353" s="7">
        <f t="shared" ca="1" si="182"/>
        <v>0</v>
      </c>
      <c r="R353" s="7">
        <f t="shared" ca="1" si="182"/>
        <v>0</v>
      </c>
      <c r="S353" s="7">
        <f t="shared" ca="1" si="182"/>
        <v>0</v>
      </c>
      <c r="T353" s="7">
        <f t="shared" ca="1" si="182"/>
        <v>0</v>
      </c>
      <c r="U353" s="7">
        <f t="shared" ca="1" si="182"/>
        <v>0</v>
      </c>
      <c r="V353" s="7">
        <f t="shared" ca="1" si="182"/>
        <v>0</v>
      </c>
      <c r="W353" s="7">
        <f t="shared" ca="1" si="182"/>
        <v>0</v>
      </c>
      <c r="X353" s="7">
        <f t="shared" ca="1" si="182"/>
        <v>0</v>
      </c>
      <c r="Y353" s="7">
        <f t="shared" ca="1" si="182"/>
        <v>0</v>
      </c>
      <c r="Z353" s="7">
        <f t="shared" ca="1" si="182"/>
        <v>0</v>
      </c>
      <c r="AA353" s="7">
        <f t="shared" ca="1" si="182"/>
        <v>0</v>
      </c>
      <c r="AB353" s="7">
        <f t="shared" ca="1" si="182"/>
        <v>0</v>
      </c>
      <c r="AC353" s="7">
        <f t="shared" ca="1" si="182"/>
        <v>0</v>
      </c>
      <c r="AD353" s="7">
        <f t="shared" ca="1" si="182"/>
        <v>0</v>
      </c>
      <c r="AE353" s="7">
        <f t="shared" ca="1" si="182"/>
        <v>0</v>
      </c>
      <c r="AF353" s="7">
        <f t="shared" ca="1" si="182"/>
        <v>0</v>
      </c>
      <c r="AG353" s="7">
        <f t="shared" ca="1" si="182"/>
        <v>0</v>
      </c>
      <c r="AH353" s="7">
        <f t="shared" ca="1" si="182"/>
        <v>0</v>
      </c>
      <c r="AI353" s="7">
        <f t="shared" ca="1" si="182"/>
        <v>0</v>
      </c>
      <c r="AJ353" s="7">
        <f t="shared" ca="1" si="182"/>
        <v>0</v>
      </c>
      <c r="AK353" s="7">
        <f t="shared" ca="1" si="182"/>
        <v>0</v>
      </c>
      <c r="AL353" s="7">
        <f t="shared" ca="1" si="182"/>
        <v>0</v>
      </c>
      <c r="AM353" s="7">
        <f t="shared" ca="1" si="182"/>
        <v>0</v>
      </c>
    </row>
    <row r="354" spans="1:39" x14ac:dyDescent="0.2">
      <c r="A354" s="17" t="str">
        <f t="shared" si="179"/>
        <v>Gudja</v>
      </c>
      <c r="C354" s="7">
        <f t="shared" ca="1" si="182"/>
        <v>-3952.5608629982789</v>
      </c>
      <c r="D354" s="7">
        <f t="shared" ca="1" si="182"/>
        <v>-3063.4916845977205</v>
      </c>
      <c r="E354" s="7">
        <f t="shared" ca="1" si="182"/>
        <v>-2156.4772176748579</v>
      </c>
      <c r="F354" s="7">
        <f t="shared" ca="1" si="182"/>
        <v>-1231.15524814336</v>
      </c>
      <c r="G354" s="7">
        <f t="shared" ca="1" si="182"/>
        <v>0</v>
      </c>
      <c r="H354" s="7">
        <f t="shared" ca="1" si="182"/>
        <v>0</v>
      </c>
      <c r="I354" s="7">
        <f t="shared" ca="1" si="182"/>
        <v>0</v>
      </c>
      <c r="J354" s="7">
        <f t="shared" ca="1" si="182"/>
        <v>0</v>
      </c>
      <c r="K354" s="7">
        <f t="shared" ca="1" si="182"/>
        <v>0</v>
      </c>
      <c r="L354" s="7">
        <f t="shared" ca="1" si="182"/>
        <v>0</v>
      </c>
      <c r="M354" s="7">
        <f t="shared" ca="1" si="182"/>
        <v>0</v>
      </c>
      <c r="N354" s="7">
        <f t="shared" ca="1" si="182"/>
        <v>0</v>
      </c>
      <c r="O354" s="7">
        <f t="shared" ca="1" si="182"/>
        <v>0</v>
      </c>
      <c r="P354" s="7">
        <f t="shared" ca="1" si="182"/>
        <v>0</v>
      </c>
      <c r="Q354" s="7">
        <f t="shared" ca="1" si="182"/>
        <v>0</v>
      </c>
      <c r="R354" s="7">
        <f t="shared" ca="1" si="182"/>
        <v>0</v>
      </c>
      <c r="S354" s="7">
        <f t="shared" ca="1" si="182"/>
        <v>0</v>
      </c>
      <c r="T354" s="7">
        <f t="shared" ca="1" si="182"/>
        <v>0</v>
      </c>
      <c r="U354" s="7">
        <f t="shared" ca="1" si="182"/>
        <v>0</v>
      </c>
      <c r="V354" s="7">
        <f t="shared" ca="1" si="182"/>
        <v>0</v>
      </c>
      <c r="W354" s="7">
        <f t="shared" ca="1" si="182"/>
        <v>0</v>
      </c>
      <c r="X354" s="7">
        <f t="shared" ca="1" si="182"/>
        <v>0</v>
      </c>
      <c r="Y354" s="7">
        <f t="shared" ca="1" si="182"/>
        <v>0</v>
      </c>
      <c r="Z354" s="7">
        <f t="shared" ca="1" si="182"/>
        <v>0</v>
      </c>
      <c r="AA354" s="7">
        <f t="shared" ca="1" si="182"/>
        <v>0</v>
      </c>
      <c r="AB354" s="7">
        <f t="shared" ca="1" si="182"/>
        <v>0</v>
      </c>
      <c r="AC354" s="7">
        <f t="shared" ca="1" si="182"/>
        <v>0</v>
      </c>
      <c r="AD354" s="7">
        <f t="shared" ca="1" si="182"/>
        <v>0</v>
      </c>
      <c r="AE354" s="7">
        <f t="shared" ca="1" si="182"/>
        <v>0</v>
      </c>
      <c r="AF354" s="7">
        <f t="shared" ca="1" si="182"/>
        <v>0</v>
      </c>
      <c r="AG354" s="7">
        <f t="shared" ca="1" si="182"/>
        <v>0</v>
      </c>
      <c r="AH354" s="7">
        <f t="shared" ca="1" si="182"/>
        <v>0</v>
      </c>
      <c r="AI354" s="7">
        <f t="shared" ca="1" si="182"/>
        <v>0</v>
      </c>
      <c r="AJ354" s="7">
        <f t="shared" ca="1" si="182"/>
        <v>0</v>
      </c>
      <c r="AK354" s="7">
        <f t="shared" ca="1" si="182"/>
        <v>0</v>
      </c>
      <c r="AL354" s="7">
        <f t="shared" ca="1" si="182"/>
        <v>0</v>
      </c>
      <c r="AM354" s="7">
        <f t="shared" ca="1" si="182"/>
        <v>0</v>
      </c>
    </row>
    <row r="355" spans="1:39" x14ac:dyDescent="0.2">
      <c r="A355" s="17" t="str">
        <f t="shared" si="179"/>
        <v>Marsa</v>
      </c>
      <c r="C355" s="7">
        <f t="shared" ca="1" si="182"/>
        <v>-8551.2061659277369</v>
      </c>
      <c r="D355" s="7">
        <f t="shared" ca="1" si="182"/>
        <v>-7351.3333523807905</v>
      </c>
      <c r="E355" s="7">
        <f t="shared" ca="1" si="182"/>
        <v>-6114.965259035298</v>
      </c>
      <c r="F355" s="7">
        <f t="shared" ca="1" si="182"/>
        <v>-4840.9918470333869</v>
      </c>
      <c r="G355" s="7">
        <f t="shared" ca="1" si="182"/>
        <v>-3528.2693146230595</v>
      </c>
      <c r="H355" s="7">
        <f t="shared" ca="1" si="182"/>
        <v>-2175.6190702275599</v>
      </c>
      <c r="I355" s="7">
        <f t="shared" ca="1" si="182"/>
        <v>-781.82667427947126</v>
      </c>
      <c r="J355" s="7">
        <f t="shared" ca="1" si="182"/>
        <v>0</v>
      </c>
      <c r="K355" s="7">
        <f t="shared" ca="1" si="182"/>
        <v>0</v>
      </c>
      <c r="L355" s="7">
        <f t="shared" ca="1" si="182"/>
        <v>0</v>
      </c>
      <c r="M355" s="7">
        <f t="shared" ca="1" si="182"/>
        <v>0</v>
      </c>
      <c r="N355" s="7">
        <f t="shared" ca="1" si="182"/>
        <v>0</v>
      </c>
      <c r="O355" s="7">
        <f t="shared" ca="1" si="182"/>
        <v>0</v>
      </c>
      <c r="P355" s="7">
        <f t="shared" ca="1" si="182"/>
        <v>0</v>
      </c>
      <c r="Q355" s="7">
        <f t="shared" ca="1" si="182"/>
        <v>0</v>
      </c>
      <c r="R355" s="7">
        <f t="shared" ca="1" si="182"/>
        <v>0</v>
      </c>
      <c r="S355" s="7">
        <f t="shared" ca="1" si="182"/>
        <v>0</v>
      </c>
      <c r="T355" s="7">
        <f t="shared" ca="1" si="182"/>
        <v>0</v>
      </c>
      <c r="U355" s="7">
        <f t="shared" ca="1" si="182"/>
        <v>0</v>
      </c>
      <c r="V355" s="7">
        <f t="shared" ca="1" si="182"/>
        <v>0</v>
      </c>
      <c r="W355" s="7">
        <f t="shared" ca="1" si="182"/>
        <v>0</v>
      </c>
      <c r="X355" s="7">
        <f t="shared" ca="1" si="182"/>
        <v>0</v>
      </c>
      <c r="Y355" s="7">
        <f t="shared" ca="1" si="182"/>
        <v>0</v>
      </c>
      <c r="Z355" s="7">
        <f t="shared" ca="1" si="182"/>
        <v>0</v>
      </c>
      <c r="AA355" s="7">
        <f t="shared" ca="1" si="182"/>
        <v>0</v>
      </c>
      <c r="AB355" s="7">
        <f t="shared" ca="1" si="182"/>
        <v>0</v>
      </c>
      <c r="AC355" s="7">
        <f t="shared" ca="1" si="182"/>
        <v>0</v>
      </c>
      <c r="AD355" s="7">
        <f t="shared" ca="1" si="182"/>
        <v>0</v>
      </c>
      <c r="AE355" s="7">
        <f t="shared" ca="1" si="182"/>
        <v>0</v>
      </c>
      <c r="AF355" s="7">
        <f t="shared" ca="1" si="182"/>
        <v>0</v>
      </c>
      <c r="AG355" s="7">
        <f t="shared" ca="1" si="182"/>
        <v>0</v>
      </c>
      <c r="AH355" s="7">
        <f t="shared" ca="1" si="182"/>
        <v>0</v>
      </c>
      <c r="AI355" s="7">
        <f t="shared" ca="1" si="182"/>
        <v>0</v>
      </c>
      <c r="AJ355" s="7">
        <f t="shared" ca="1" si="182"/>
        <v>0</v>
      </c>
      <c r="AK355" s="7">
        <f t="shared" ca="1" si="182"/>
        <v>0</v>
      </c>
      <c r="AL355" s="7">
        <f t="shared" ca="1" si="182"/>
        <v>0</v>
      </c>
      <c r="AM355" s="7">
        <f t="shared" ca="1" si="182"/>
        <v>0</v>
      </c>
    </row>
    <row r="356" spans="1:39" x14ac:dyDescent="0.2">
      <c r="A356" s="17" t="str">
        <f>TEXT(Inputs!$B$87,"")</f>
        <v>Jewelry</v>
      </c>
      <c r="C356" s="7">
        <f t="shared" ca="1" si="182"/>
        <v>-1804.7138362359074</v>
      </c>
      <c r="D356" s="7">
        <f t="shared" ca="1" si="182"/>
        <v>-947.12722711486958</v>
      </c>
      <c r="E356" s="7">
        <f t="shared" ca="1" si="182"/>
        <v>-63.456300641196776</v>
      </c>
      <c r="F356" s="7">
        <f t="shared" ca="1" si="182"/>
        <v>0</v>
      </c>
      <c r="G356" s="7">
        <f t="shared" ca="1" si="182"/>
        <v>0</v>
      </c>
      <c r="H356" s="7">
        <f t="shared" ca="1" si="182"/>
        <v>0</v>
      </c>
      <c r="I356" s="7">
        <f t="shared" ca="1" si="182"/>
        <v>0</v>
      </c>
      <c r="J356" s="7">
        <f t="shared" ca="1" si="182"/>
        <v>0</v>
      </c>
      <c r="K356" s="7">
        <f t="shared" ca="1" si="182"/>
        <v>0</v>
      </c>
      <c r="L356" s="7">
        <f t="shared" ca="1" si="182"/>
        <v>0</v>
      </c>
      <c r="M356" s="7">
        <f t="shared" ca="1" si="182"/>
        <v>0</v>
      </c>
      <c r="N356" s="7">
        <f t="shared" ca="1" si="182"/>
        <v>0</v>
      </c>
      <c r="O356" s="7">
        <f t="shared" ca="1" si="182"/>
        <v>0</v>
      </c>
      <c r="P356" s="7">
        <f t="shared" ca="1" si="182"/>
        <v>0</v>
      </c>
      <c r="Q356" s="7">
        <f t="shared" ca="1" si="182"/>
        <v>0</v>
      </c>
      <c r="R356" s="7">
        <f t="shared" ca="1" si="182"/>
        <v>0</v>
      </c>
      <c r="S356" s="7">
        <f t="shared" ca="1" si="182"/>
        <v>0</v>
      </c>
      <c r="T356" s="7">
        <f t="shared" ca="1" si="182"/>
        <v>0</v>
      </c>
      <c r="U356" s="7">
        <f t="shared" ca="1" si="182"/>
        <v>0</v>
      </c>
      <c r="V356" s="7">
        <f t="shared" ca="1" si="182"/>
        <v>0</v>
      </c>
      <c r="W356" s="7">
        <f t="shared" ca="1" si="182"/>
        <v>0</v>
      </c>
      <c r="X356" s="7">
        <f t="shared" ca="1" si="182"/>
        <v>0</v>
      </c>
      <c r="Y356" s="7">
        <f t="shared" ca="1" si="182"/>
        <v>0</v>
      </c>
      <c r="Z356" s="7">
        <f t="shared" ca="1" si="182"/>
        <v>0</v>
      </c>
      <c r="AA356" s="7">
        <f t="shared" ca="1" si="182"/>
        <v>0</v>
      </c>
      <c r="AB356" s="7">
        <f t="shared" ca="1" si="182"/>
        <v>0</v>
      </c>
      <c r="AC356" s="7">
        <f t="shared" ca="1" si="182"/>
        <v>0</v>
      </c>
      <c r="AD356" s="7">
        <f t="shared" ca="1" si="182"/>
        <v>0</v>
      </c>
      <c r="AE356" s="7">
        <f t="shared" ca="1" si="182"/>
        <v>0</v>
      </c>
      <c r="AF356" s="7">
        <f t="shared" ca="1" si="182"/>
        <v>0</v>
      </c>
      <c r="AG356" s="7">
        <f t="shared" ca="1" si="182"/>
        <v>0</v>
      </c>
      <c r="AH356" s="7">
        <f t="shared" ca="1" si="182"/>
        <v>0</v>
      </c>
      <c r="AI356" s="7">
        <f t="shared" ca="1" si="182"/>
        <v>0</v>
      </c>
      <c r="AJ356" s="7">
        <f t="shared" ca="1" si="182"/>
        <v>0</v>
      </c>
      <c r="AK356" s="7">
        <f t="shared" ca="1" si="182"/>
        <v>0</v>
      </c>
      <c r="AL356" s="7">
        <f t="shared" ca="1" si="182"/>
        <v>0</v>
      </c>
      <c r="AM356" s="7">
        <f t="shared" ca="1" si="182"/>
        <v>0</v>
      </c>
    </row>
    <row r="357" spans="1:39" x14ac:dyDescent="0.2">
      <c r="A357" s="17" t="str">
        <f>TEXT(Inputs!$B$92,"")</f>
        <v>Car</v>
      </c>
      <c r="C357" s="7">
        <f t="shared" ca="1" si="182"/>
        <v>-5234.2745926297666</v>
      </c>
      <c r="D357" s="7">
        <f t="shared" ca="1" si="182"/>
        <v>-4298.4122995765474</v>
      </c>
      <c r="E357" s="7">
        <f t="shared" ca="1" si="182"/>
        <v>-3343.6602291314293</v>
      </c>
      <c r="F357" s="7">
        <f t="shared" ca="1" si="182"/>
        <v>0</v>
      </c>
      <c r="G357" s="7">
        <f t="shared" ca="1" si="182"/>
        <v>0</v>
      </c>
      <c r="H357" s="7">
        <f t="shared" ca="1" si="182"/>
        <v>0</v>
      </c>
      <c r="I357" s="7">
        <f t="shared" ca="1" si="182"/>
        <v>0</v>
      </c>
      <c r="J357" s="7">
        <f t="shared" ca="1" si="182"/>
        <v>0</v>
      </c>
      <c r="K357" s="7">
        <f t="shared" ca="1" si="182"/>
        <v>0</v>
      </c>
      <c r="L357" s="7">
        <f t="shared" ca="1" si="182"/>
        <v>0</v>
      </c>
      <c r="M357" s="7">
        <f t="shared" ca="1" si="182"/>
        <v>0</v>
      </c>
      <c r="N357" s="7">
        <f t="shared" ca="1" si="182"/>
        <v>0</v>
      </c>
      <c r="O357" s="7">
        <f t="shared" ca="1" si="182"/>
        <v>0</v>
      </c>
      <c r="P357" s="7">
        <f t="shared" ca="1" si="182"/>
        <v>0</v>
      </c>
      <c r="Q357" s="7">
        <f t="shared" ca="1" si="182"/>
        <v>0</v>
      </c>
      <c r="R357" s="7">
        <f t="shared" ca="1" si="182"/>
        <v>0</v>
      </c>
      <c r="S357" s="7">
        <f t="shared" ca="1" si="182"/>
        <v>0</v>
      </c>
      <c r="T357" s="7">
        <f t="shared" ca="1" si="182"/>
        <v>0</v>
      </c>
      <c r="U357" s="7">
        <f t="shared" ca="1" si="182"/>
        <v>0</v>
      </c>
      <c r="V357" s="7">
        <f t="shared" ca="1" si="182"/>
        <v>0</v>
      </c>
      <c r="W357" s="7">
        <f t="shared" ca="1" si="182"/>
        <v>0</v>
      </c>
      <c r="X357" s="7">
        <f t="shared" ca="1" si="182"/>
        <v>0</v>
      </c>
      <c r="Y357" s="7">
        <f t="shared" ca="1" si="182"/>
        <v>0</v>
      </c>
      <c r="Z357" s="7">
        <f t="shared" ca="1" si="182"/>
        <v>0</v>
      </c>
      <c r="AA357" s="7">
        <f t="shared" ca="1" si="182"/>
        <v>0</v>
      </c>
      <c r="AB357" s="7">
        <f t="shared" ca="1" si="182"/>
        <v>0</v>
      </c>
      <c r="AC357" s="7">
        <f t="shared" ca="1" si="182"/>
        <v>0</v>
      </c>
      <c r="AD357" s="7">
        <f t="shared" ca="1" si="182"/>
        <v>0</v>
      </c>
      <c r="AE357" s="7">
        <f t="shared" ca="1" si="182"/>
        <v>0</v>
      </c>
      <c r="AF357" s="7">
        <f t="shared" ca="1" si="182"/>
        <v>0</v>
      </c>
      <c r="AG357" s="7">
        <f t="shared" ca="1" si="182"/>
        <v>0</v>
      </c>
      <c r="AH357" s="7">
        <f t="shared" ca="1" si="182"/>
        <v>0</v>
      </c>
      <c r="AI357" s="7">
        <f t="shared" ca="1" si="182"/>
        <v>0</v>
      </c>
      <c r="AJ357" s="7">
        <f t="shared" ref="AJ357:AM357" ca="1" si="183">AJ328</f>
        <v>0</v>
      </c>
      <c r="AK357" s="7">
        <f t="shared" ca="1" si="183"/>
        <v>0</v>
      </c>
      <c r="AL357" s="7">
        <f t="shared" ca="1" si="183"/>
        <v>0</v>
      </c>
      <c r="AM357" s="7">
        <f t="shared" ca="1" si="183"/>
        <v>0</v>
      </c>
    </row>
    <row r="358" spans="1:39" x14ac:dyDescent="0.2">
      <c r="A358" s="17" t="str">
        <f>TEXT(Inputs!$B$97,"")</f>
        <v>Painting</v>
      </c>
      <c r="C358" s="7">
        <f t="shared" ref="C358:AM360" ca="1" si="184">C329</f>
        <v>-6544.7251312007966</v>
      </c>
      <c r="D358" s="7">
        <f t="shared" ca="1" si="184"/>
        <v>-5344.7087535753089</v>
      </c>
      <c r="E358" s="7">
        <f t="shared" ca="1" si="184"/>
        <v>0</v>
      </c>
      <c r="F358" s="7">
        <f t="shared" ca="1" si="184"/>
        <v>0</v>
      </c>
      <c r="G358" s="7">
        <f t="shared" ca="1" si="184"/>
        <v>0</v>
      </c>
      <c r="H358" s="7">
        <f t="shared" ca="1" si="184"/>
        <v>0</v>
      </c>
      <c r="I358" s="7">
        <f t="shared" ca="1" si="184"/>
        <v>0</v>
      </c>
      <c r="J358" s="7">
        <f t="shared" ca="1" si="184"/>
        <v>0</v>
      </c>
      <c r="K358" s="7">
        <f t="shared" ca="1" si="184"/>
        <v>0</v>
      </c>
      <c r="L358" s="7">
        <f t="shared" ca="1" si="184"/>
        <v>0</v>
      </c>
      <c r="M358" s="7">
        <f t="shared" ca="1" si="184"/>
        <v>0</v>
      </c>
      <c r="N358" s="7">
        <f t="shared" ca="1" si="184"/>
        <v>0</v>
      </c>
      <c r="O358" s="7">
        <f t="shared" ca="1" si="184"/>
        <v>0</v>
      </c>
      <c r="P358" s="7">
        <f t="shared" ca="1" si="184"/>
        <v>0</v>
      </c>
      <c r="Q358" s="7">
        <f t="shared" ca="1" si="184"/>
        <v>0</v>
      </c>
      <c r="R358" s="7">
        <f t="shared" ca="1" si="184"/>
        <v>0</v>
      </c>
      <c r="S358" s="7">
        <f t="shared" ca="1" si="184"/>
        <v>0</v>
      </c>
      <c r="T358" s="7">
        <f t="shared" ca="1" si="184"/>
        <v>0</v>
      </c>
      <c r="U358" s="7">
        <f t="shared" ca="1" si="184"/>
        <v>0</v>
      </c>
      <c r="V358" s="7">
        <f t="shared" ca="1" si="184"/>
        <v>0</v>
      </c>
      <c r="W358" s="7">
        <f t="shared" ca="1" si="184"/>
        <v>0</v>
      </c>
      <c r="X358" s="7">
        <f t="shared" ca="1" si="184"/>
        <v>0</v>
      </c>
      <c r="Y358" s="7">
        <f t="shared" ca="1" si="184"/>
        <v>0</v>
      </c>
      <c r="Z358" s="7">
        <f t="shared" ca="1" si="184"/>
        <v>0</v>
      </c>
      <c r="AA358" s="7">
        <f t="shared" ca="1" si="184"/>
        <v>0</v>
      </c>
      <c r="AB358" s="7">
        <f t="shared" ca="1" si="184"/>
        <v>0</v>
      </c>
      <c r="AC358" s="7">
        <f t="shared" ca="1" si="184"/>
        <v>0</v>
      </c>
      <c r="AD358" s="7">
        <f t="shared" ca="1" si="184"/>
        <v>0</v>
      </c>
      <c r="AE358" s="7">
        <f t="shared" ca="1" si="184"/>
        <v>0</v>
      </c>
      <c r="AF358" s="7">
        <f t="shared" ca="1" si="184"/>
        <v>0</v>
      </c>
      <c r="AG358" s="7">
        <f t="shared" ca="1" si="184"/>
        <v>0</v>
      </c>
      <c r="AH358" s="7">
        <f t="shared" ca="1" si="184"/>
        <v>0</v>
      </c>
      <c r="AI358" s="7">
        <f t="shared" ca="1" si="184"/>
        <v>0</v>
      </c>
      <c r="AJ358" s="7">
        <f t="shared" ca="1" si="184"/>
        <v>0</v>
      </c>
      <c r="AK358" s="7">
        <f t="shared" ca="1" si="184"/>
        <v>0</v>
      </c>
      <c r="AL358" s="7">
        <f t="shared" ca="1" si="184"/>
        <v>0</v>
      </c>
      <c r="AM358" s="7">
        <f t="shared" ca="1" si="184"/>
        <v>0</v>
      </c>
    </row>
    <row r="359" spans="1:39" x14ac:dyDescent="0.2">
      <c r="A359" s="17" t="str">
        <f>TEXT(Inputs!$B$102,"")</f>
        <v>Boat</v>
      </c>
      <c r="C359" s="7">
        <f t="shared" ca="1" si="184"/>
        <v>-35663.316802941074</v>
      </c>
      <c r="D359" s="7">
        <f t="shared" ca="1" si="184"/>
        <v>-30165.561226487567</v>
      </c>
      <c r="E359" s="7">
        <f t="shared" ca="1" si="184"/>
        <v>-24328.716115912546</v>
      </c>
      <c r="F359" s="7">
        <f t="shared" ca="1" si="184"/>
        <v>-18131.867170725258</v>
      </c>
      <c r="G359" s="7">
        <f t="shared" ca="1" si="184"/>
        <v>-11552.810142144008</v>
      </c>
      <c r="H359" s="7">
        <f t="shared" ca="1" si="184"/>
        <v>-4567.971271908129</v>
      </c>
      <c r="I359" s="7">
        <f t="shared" ca="1" si="184"/>
        <v>0</v>
      </c>
      <c r="J359" s="7">
        <f t="shared" ca="1" si="184"/>
        <v>0</v>
      </c>
      <c r="K359" s="7">
        <f t="shared" ca="1" si="184"/>
        <v>0</v>
      </c>
      <c r="L359" s="7">
        <f t="shared" ca="1" si="184"/>
        <v>0</v>
      </c>
      <c r="M359" s="7">
        <f t="shared" ca="1" si="184"/>
        <v>0</v>
      </c>
      <c r="N359" s="7">
        <f t="shared" ca="1" si="184"/>
        <v>0</v>
      </c>
      <c r="O359" s="7">
        <f t="shared" ca="1" si="184"/>
        <v>0</v>
      </c>
      <c r="P359" s="7">
        <f t="shared" ca="1" si="184"/>
        <v>0</v>
      </c>
      <c r="Q359" s="7">
        <f t="shared" ca="1" si="184"/>
        <v>0</v>
      </c>
      <c r="R359" s="7">
        <f t="shared" ca="1" si="184"/>
        <v>0</v>
      </c>
      <c r="S359" s="7">
        <f t="shared" ca="1" si="184"/>
        <v>0</v>
      </c>
      <c r="T359" s="7">
        <f t="shared" ca="1" si="184"/>
        <v>0</v>
      </c>
      <c r="U359" s="7">
        <f t="shared" ca="1" si="184"/>
        <v>0</v>
      </c>
      <c r="V359" s="7">
        <f t="shared" ca="1" si="184"/>
        <v>0</v>
      </c>
      <c r="W359" s="7">
        <f t="shared" ca="1" si="184"/>
        <v>0</v>
      </c>
      <c r="X359" s="7">
        <f t="shared" ca="1" si="184"/>
        <v>0</v>
      </c>
      <c r="Y359" s="7">
        <f t="shared" ca="1" si="184"/>
        <v>0</v>
      </c>
      <c r="Z359" s="7">
        <f t="shared" ca="1" si="184"/>
        <v>0</v>
      </c>
      <c r="AA359" s="7">
        <f t="shared" ca="1" si="184"/>
        <v>0</v>
      </c>
      <c r="AB359" s="7">
        <f t="shared" ca="1" si="184"/>
        <v>0</v>
      </c>
      <c r="AC359" s="7">
        <f t="shared" ca="1" si="184"/>
        <v>0</v>
      </c>
      <c r="AD359" s="7">
        <f t="shared" ca="1" si="184"/>
        <v>0</v>
      </c>
      <c r="AE359" s="7">
        <f t="shared" ca="1" si="184"/>
        <v>0</v>
      </c>
      <c r="AF359" s="7">
        <f t="shared" ca="1" si="184"/>
        <v>0</v>
      </c>
      <c r="AG359" s="7">
        <f t="shared" ca="1" si="184"/>
        <v>0</v>
      </c>
      <c r="AH359" s="7">
        <f t="shared" ca="1" si="184"/>
        <v>0</v>
      </c>
      <c r="AI359" s="7">
        <f t="shared" ca="1" si="184"/>
        <v>0</v>
      </c>
      <c r="AJ359" s="7">
        <f t="shared" ca="1" si="184"/>
        <v>0</v>
      </c>
      <c r="AK359" s="7">
        <f t="shared" ca="1" si="184"/>
        <v>0</v>
      </c>
      <c r="AL359" s="7">
        <f t="shared" ca="1" si="184"/>
        <v>0</v>
      </c>
      <c r="AM359" s="7">
        <f t="shared" ca="1" si="184"/>
        <v>0</v>
      </c>
    </row>
    <row r="360" spans="1:39" x14ac:dyDescent="0.2">
      <c r="A360" s="17" t="str">
        <f>TEXT(Inputs!$B$107,"")</f>
        <v>Antiques</v>
      </c>
      <c r="C360" s="7">
        <f t="shared" ca="1" si="184"/>
        <v>-2783.6180442430355</v>
      </c>
      <c r="D360" s="7">
        <f t="shared" ca="1" si="184"/>
        <v>-1529.9823465461</v>
      </c>
      <c r="E360" s="7">
        <f t="shared" ca="1" si="184"/>
        <v>-238.21611948276723</v>
      </c>
      <c r="F360" s="7">
        <f t="shared" ca="1" si="184"/>
        <v>0</v>
      </c>
      <c r="G360" s="7">
        <f t="shared" ca="1" si="184"/>
        <v>0</v>
      </c>
      <c r="H360" s="7">
        <f t="shared" ca="1" si="184"/>
        <v>0</v>
      </c>
      <c r="I360" s="7">
        <f t="shared" ca="1" si="184"/>
        <v>0</v>
      </c>
      <c r="J360" s="7">
        <f t="shared" ca="1" si="184"/>
        <v>0</v>
      </c>
      <c r="K360" s="7">
        <f t="shared" ca="1" si="184"/>
        <v>0</v>
      </c>
      <c r="L360" s="7">
        <f t="shared" ca="1" si="184"/>
        <v>0</v>
      </c>
      <c r="M360" s="7">
        <f t="shared" ca="1" si="184"/>
        <v>0</v>
      </c>
      <c r="N360" s="7">
        <f t="shared" ca="1" si="184"/>
        <v>0</v>
      </c>
      <c r="O360" s="7">
        <f t="shared" ca="1" si="184"/>
        <v>0</v>
      </c>
      <c r="P360" s="7">
        <f t="shared" ca="1" si="184"/>
        <v>0</v>
      </c>
      <c r="Q360" s="7">
        <f t="shared" ca="1" si="184"/>
        <v>0</v>
      </c>
      <c r="R360" s="7">
        <f t="shared" ca="1" si="184"/>
        <v>0</v>
      </c>
      <c r="S360" s="7">
        <f t="shared" ca="1" si="184"/>
        <v>0</v>
      </c>
      <c r="T360" s="7">
        <f t="shared" ca="1" si="184"/>
        <v>0</v>
      </c>
      <c r="U360" s="7">
        <f t="shared" ca="1" si="184"/>
        <v>0</v>
      </c>
      <c r="V360" s="7">
        <f t="shared" ca="1" si="184"/>
        <v>0</v>
      </c>
      <c r="W360" s="7">
        <f t="shared" ca="1" si="184"/>
        <v>0</v>
      </c>
      <c r="X360" s="7">
        <f t="shared" ca="1" si="184"/>
        <v>0</v>
      </c>
      <c r="Y360" s="7">
        <f t="shared" ca="1" si="184"/>
        <v>0</v>
      </c>
      <c r="Z360" s="7">
        <f t="shared" ca="1" si="184"/>
        <v>0</v>
      </c>
      <c r="AA360" s="7">
        <f t="shared" ca="1" si="184"/>
        <v>0</v>
      </c>
      <c r="AB360" s="7">
        <f t="shared" ca="1" si="184"/>
        <v>0</v>
      </c>
      <c r="AC360" s="7">
        <f t="shared" ca="1" si="184"/>
        <v>0</v>
      </c>
      <c r="AD360" s="7">
        <f t="shared" ca="1" si="184"/>
        <v>0</v>
      </c>
      <c r="AE360" s="7">
        <f t="shared" ca="1" si="184"/>
        <v>0</v>
      </c>
      <c r="AF360" s="7">
        <f t="shared" ca="1" si="184"/>
        <v>0</v>
      </c>
      <c r="AG360" s="7">
        <f t="shared" ca="1" si="184"/>
        <v>0</v>
      </c>
      <c r="AH360" s="7">
        <f t="shared" ca="1" si="184"/>
        <v>0</v>
      </c>
      <c r="AI360" s="7">
        <f t="shared" ca="1" si="184"/>
        <v>0</v>
      </c>
      <c r="AJ360" s="7">
        <f t="shared" ca="1" si="184"/>
        <v>0</v>
      </c>
      <c r="AK360" s="7">
        <f t="shared" ca="1" si="184"/>
        <v>0</v>
      </c>
      <c r="AL360" s="7">
        <f t="shared" ca="1" si="184"/>
        <v>0</v>
      </c>
      <c r="AM360" s="7">
        <f t="shared" ca="1" si="184"/>
        <v>0</v>
      </c>
    </row>
    <row r="361" spans="1:39" x14ac:dyDescent="0.2">
      <c r="A361" s="16" t="str">
        <f>A93</f>
        <v>Other loan</v>
      </c>
      <c r="C361" s="7">
        <f t="shared" ref="C361:AM361" ca="1" si="185">C93</f>
        <v>-3693.1592077552655</v>
      </c>
      <c r="D361" s="7">
        <f t="shared" ca="1" si="185"/>
        <v>-3304.1670679118561</v>
      </c>
      <c r="E361" s="7">
        <f t="shared" ca="1" si="185"/>
        <v>-2891.1827440504157</v>
      </c>
      <c r="F361" s="7">
        <f t="shared" ca="1" si="185"/>
        <v>-2452.7264507588625</v>
      </c>
      <c r="G361" s="7">
        <f t="shared" ca="1" si="185"/>
        <v>-1987.2271326988684</v>
      </c>
      <c r="H361" s="7">
        <f t="shared" ca="1" si="185"/>
        <v>-1493.0168352765186</v>
      </c>
      <c r="I361" s="7">
        <f t="shared" ca="1" si="185"/>
        <v>-968.32472810825493</v>
      </c>
      <c r="J361" s="7">
        <f t="shared" ca="1" si="185"/>
        <v>-411.2707598672805</v>
      </c>
      <c r="K361" s="7">
        <f t="shared" ca="1" si="185"/>
        <v>0</v>
      </c>
      <c r="L361" s="7">
        <f t="shared" ca="1" si="185"/>
        <v>0</v>
      </c>
      <c r="M361" s="7">
        <f t="shared" ca="1" si="185"/>
        <v>0</v>
      </c>
      <c r="N361" s="7">
        <f t="shared" ca="1" si="185"/>
        <v>0</v>
      </c>
      <c r="O361" s="7">
        <f t="shared" ca="1" si="185"/>
        <v>0</v>
      </c>
      <c r="P361" s="7">
        <f t="shared" ca="1" si="185"/>
        <v>0</v>
      </c>
      <c r="Q361" s="7">
        <f t="shared" ca="1" si="185"/>
        <v>0</v>
      </c>
      <c r="R361" s="7">
        <f t="shared" ca="1" si="185"/>
        <v>0</v>
      </c>
      <c r="S361" s="7">
        <f t="shared" ca="1" si="185"/>
        <v>0</v>
      </c>
      <c r="T361" s="7">
        <f t="shared" ca="1" si="185"/>
        <v>0</v>
      </c>
      <c r="U361" s="7">
        <f t="shared" ca="1" si="185"/>
        <v>0</v>
      </c>
      <c r="V361" s="7">
        <f t="shared" ca="1" si="185"/>
        <v>0</v>
      </c>
      <c r="W361" s="7">
        <f t="shared" ca="1" si="185"/>
        <v>0</v>
      </c>
      <c r="X361" s="7">
        <f t="shared" ca="1" si="185"/>
        <v>0</v>
      </c>
      <c r="Y361" s="7">
        <f t="shared" ca="1" si="185"/>
        <v>0</v>
      </c>
      <c r="Z361" s="7">
        <f t="shared" ca="1" si="185"/>
        <v>0</v>
      </c>
      <c r="AA361" s="7">
        <f t="shared" ca="1" si="185"/>
        <v>0</v>
      </c>
      <c r="AB361" s="7">
        <f t="shared" ca="1" si="185"/>
        <v>0</v>
      </c>
      <c r="AC361" s="7">
        <f t="shared" ca="1" si="185"/>
        <v>0</v>
      </c>
      <c r="AD361" s="7">
        <f t="shared" ca="1" si="185"/>
        <v>0</v>
      </c>
      <c r="AE361" s="7">
        <f t="shared" ca="1" si="185"/>
        <v>0</v>
      </c>
      <c r="AF361" s="7">
        <f t="shared" ca="1" si="185"/>
        <v>0</v>
      </c>
      <c r="AG361" s="7">
        <f t="shared" ca="1" si="185"/>
        <v>0</v>
      </c>
      <c r="AH361" s="7">
        <f t="shared" ca="1" si="185"/>
        <v>0</v>
      </c>
      <c r="AI361" s="7">
        <f t="shared" ca="1" si="185"/>
        <v>0</v>
      </c>
      <c r="AJ361" s="7">
        <f t="shared" ca="1" si="185"/>
        <v>0</v>
      </c>
      <c r="AK361" s="7">
        <f t="shared" ca="1" si="185"/>
        <v>0</v>
      </c>
      <c r="AL361" s="7">
        <f t="shared" ca="1" si="185"/>
        <v>0</v>
      </c>
      <c r="AM361" s="7">
        <f t="shared" ca="1" si="185"/>
        <v>0</v>
      </c>
    </row>
    <row r="362" spans="1:39" x14ac:dyDescent="0.2">
      <c r="A362" s="4"/>
      <c r="C362" s="9">
        <f t="shared" ref="C362:AM362" ca="1" si="186">SUM(C333:C361)</f>
        <v>1789619.3445012956</v>
      </c>
      <c r="D362" s="9">
        <f t="shared" ca="1" si="186"/>
        <v>1864141.9295812796</v>
      </c>
      <c r="E362" s="9">
        <f t="shared" ca="1" si="186"/>
        <v>1957002.8607598119</v>
      </c>
      <c r="F362" s="9">
        <f t="shared" ca="1" si="186"/>
        <v>1938210.5102665685</v>
      </c>
      <c r="G362" s="9">
        <f t="shared" ca="1" si="186"/>
        <v>1935024.2690671617</v>
      </c>
      <c r="H362" s="9">
        <f t="shared" ca="1" si="186"/>
        <v>1943352.1457793959</v>
      </c>
      <c r="I362" s="9">
        <f t="shared" ca="1" si="186"/>
        <v>1962885.035856552</v>
      </c>
      <c r="J362" s="9">
        <f t="shared" ca="1" si="186"/>
        <v>1979471.4827102099</v>
      </c>
      <c r="K362" s="9">
        <f t="shared" ca="1" si="186"/>
        <v>1978016.6118453897</v>
      </c>
      <c r="L362" s="9">
        <f t="shared" ca="1" si="186"/>
        <v>2034685.4349655225</v>
      </c>
      <c r="M362" s="9">
        <f t="shared" ca="1" si="186"/>
        <v>2009568.487292141</v>
      </c>
      <c r="N362" s="9">
        <f t="shared" ca="1" si="186"/>
        <v>2033866.1366763089</v>
      </c>
      <c r="O362" s="9">
        <f t="shared" ca="1" si="186"/>
        <v>2058975.8382300269</v>
      </c>
      <c r="P362" s="9">
        <f t="shared" ca="1" si="186"/>
        <v>2084794.0529311935</v>
      </c>
      <c r="Q362" s="9">
        <f t="shared" ca="1" si="186"/>
        <v>2075496.6088027635</v>
      </c>
      <c r="R362" s="9">
        <f t="shared" ca="1" si="186"/>
        <v>2090268.4931430647</v>
      </c>
      <c r="S362" s="9">
        <f t="shared" ca="1" si="186"/>
        <v>2105341.9027816309</v>
      </c>
      <c r="T362" s="9">
        <f t="shared" ca="1" si="186"/>
        <v>2138855.3119616369</v>
      </c>
      <c r="U362" s="9">
        <f t="shared" ca="1" si="186"/>
        <v>2181249.560952662</v>
      </c>
      <c r="V362" s="9">
        <f t="shared" ca="1" si="186"/>
        <v>2224950.1127133351</v>
      </c>
      <c r="W362" s="9">
        <f t="shared" ca="1" si="186"/>
        <v>2269992.5510486625</v>
      </c>
      <c r="X362" s="9">
        <f t="shared" ca="1" si="186"/>
        <v>2316414.5188323017</v>
      </c>
      <c r="Y362" s="9">
        <f t="shared" ca="1" si="186"/>
        <v>2343080.4222929305</v>
      </c>
      <c r="Z362" s="9">
        <f t="shared" ca="1" si="186"/>
        <v>2373202.6540913237</v>
      </c>
      <c r="AA362" s="9">
        <f t="shared" ca="1" si="186"/>
        <v>2334505.6188208098</v>
      </c>
      <c r="AB362" s="9">
        <f t="shared" ca="1" si="186"/>
        <v>2350809.2302618772</v>
      </c>
      <c r="AC362" s="9">
        <f t="shared" ca="1" si="186"/>
        <v>2366470.0325231622</v>
      </c>
      <c r="AD362" s="9">
        <f t="shared" ca="1" si="186"/>
        <v>2381396.4602148854</v>
      </c>
      <c r="AE362" s="9">
        <f t="shared" ca="1" si="186"/>
        <v>2405816.8937138249</v>
      </c>
      <c r="AF362" s="9">
        <f t="shared" ca="1" si="186"/>
        <v>2430001.3519243565</v>
      </c>
      <c r="AG362" s="9">
        <f t="shared" ca="1" si="186"/>
        <v>2453959.5336328424</v>
      </c>
      <c r="AH362" s="9">
        <f t="shared" ca="1" si="186"/>
        <v>2477701.8480403605</v>
      </c>
      <c r="AI362" s="9">
        <f t="shared" ca="1" si="186"/>
        <v>2501239.4465614241</v>
      </c>
      <c r="AJ362" s="9">
        <f t="shared" ca="1" si="186"/>
        <v>2398887.5585904107</v>
      </c>
      <c r="AK362" s="9">
        <f t="shared" ca="1" si="186"/>
        <v>2398960.0910682632</v>
      </c>
      <c r="AL362" s="9">
        <f t="shared" ca="1" si="186"/>
        <v>2397905.2617927678</v>
      </c>
      <c r="AM362" s="9">
        <f t="shared" ca="1" si="186"/>
        <v>2394974.4039013069</v>
      </c>
    </row>
    <row r="363" spans="1:39" x14ac:dyDescent="0.2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9" x14ac:dyDescent="0.25">
      <c r="A364" s="25" t="s">
        <v>72</v>
      </c>
      <c r="B364" s="26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</row>
    <row r="365" spans="1:39" x14ac:dyDescent="0.2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x14ac:dyDescent="0.2">
      <c r="A366" s="15" t="s">
        <v>61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x14ac:dyDescent="0.2">
      <c r="A367" s="3" t="s">
        <v>9</v>
      </c>
      <c r="C367" s="7">
        <f t="shared" ref="C367:AM367" ca="1" si="187">C66</f>
        <v>62809.375000000015</v>
      </c>
      <c r="D367" s="7">
        <f t="shared" ca="1" si="187"/>
        <v>74162.215625000026</v>
      </c>
      <c r="E367" s="7">
        <f t="shared" ca="1" si="187"/>
        <v>91813.279140625047</v>
      </c>
      <c r="F367" s="7">
        <f t="shared" ca="1" si="187"/>
        <v>3292.6816575052071</v>
      </c>
      <c r="G367" s="7">
        <f t="shared" ca="1" si="187"/>
        <v>-57685.337410723936</v>
      </c>
      <c r="H367" s="7">
        <f t="shared" ca="1" si="187"/>
        <v>-115530.45073344803</v>
      </c>
      <c r="I367" s="7">
        <f t="shared" ca="1" si="187"/>
        <v>-148768.97998161564</v>
      </c>
      <c r="J367" s="7">
        <f t="shared" ca="1" si="187"/>
        <v>-182568.86465624889</v>
      </c>
      <c r="K367" s="7">
        <f t="shared" ca="1" si="187"/>
        <v>-234124.16045572638</v>
      </c>
      <c r="L367" s="7">
        <f t="shared" ca="1" si="187"/>
        <v>-203599.9633535335</v>
      </c>
      <c r="M367" s="7">
        <f t="shared" ca="1" si="187"/>
        <v>-267210.126035436</v>
      </c>
      <c r="N367" s="7">
        <f t="shared" ca="1" si="187"/>
        <v>-282318.86424734304</v>
      </c>
      <c r="O367" s="7">
        <f t="shared" ca="1" si="187"/>
        <v>-297565.96380773495</v>
      </c>
      <c r="P367" s="7">
        <f t="shared" ca="1" si="187"/>
        <v>-312947.70303711947</v>
      </c>
      <c r="Q367" s="7">
        <f t="shared" ca="1" si="187"/>
        <v>-328460.05179262091</v>
      </c>
      <c r="R367" s="7">
        <f t="shared" ca="1" si="187"/>
        <v>-344098.65729375376</v>
      </c>
      <c r="S367" s="7">
        <f t="shared" ca="1" si="187"/>
        <v>-359858.82939996105</v>
      </c>
      <c r="T367" s="7">
        <f t="shared" ca="1" si="187"/>
        <v>-357780.4298385065</v>
      </c>
      <c r="U367" s="7">
        <f t="shared" ca="1" si="187"/>
        <v>-347565.97179640277</v>
      </c>
      <c r="V367" s="7">
        <f t="shared" ca="1" si="187"/>
        <v>-336801.77325307368</v>
      </c>
      <c r="W367" s="7">
        <f t="shared" ca="1" si="187"/>
        <v>-325465.2593244834</v>
      </c>
      <c r="X367" s="7">
        <f t="shared" ca="1" si="187"/>
        <v>-313533.02581335016</v>
      </c>
      <c r="Y367" s="7">
        <f t="shared" ca="1" si="187"/>
        <v>-321639.66729904164</v>
      </c>
      <c r="Z367" s="7">
        <f t="shared" ca="1" si="187"/>
        <v>-329617.64860742656</v>
      </c>
      <c r="AA367" s="7">
        <f t="shared" ca="1" si="187"/>
        <v>-337453.81344763876</v>
      </c>
      <c r="AB367" s="7">
        <f t="shared" ca="1" si="187"/>
        <v>-345134.37842794746</v>
      </c>
      <c r="AC367" s="7">
        <f t="shared" ca="1" si="187"/>
        <v>-352644.90843242779</v>
      </c>
      <c r="AD367" s="7">
        <f t="shared" ca="1" si="187"/>
        <v>-359970.29111367406</v>
      </c>
      <c r="AE367" s="7">
        <f t="shared" ca="1" si="187"/>
        <v>-357112.23537761893</v>
      </c>
      <c r="AF367" s="7">
        <f t="shared" ca="1" si="187"/>
        <v>-353787.10742089956</v>
      </c>
      <c r="AG367" s="7">
        <f t="shared" ca="1" si="187"/>
        <v>-349971.36181318137</v>
      </c>
      <c r="AH367" s="7">
        <f t="shared" ca="1" si="187"/>
        <v>-345640.50842962705</v>
      </c>
      <c r="AI367" s="7">
        <f t="shared" ca="1" si="187"/>
        <v>-340769.07815177133</v>
      </c>
      <c r="AJ367" s="7">
        <f t="shared" ca="1" si="187"/>
        <v>-335330.58739046531</v>
      </c>
      <c r="AK367" s="7">
        <f t="shared" ca="1" si="187"/>
        <v>-329297.50139182765</v>
      </c>
      <c r="AL367" s="7">
        <f t="shared" ca="1" si="187"/>
        <v>-322641.19628587604</v>
      </c>
      <c r="AM367" s="7">
        <f t="shared" ca="1" si="187"/>
        <v>-315331.91983620723</v>
      </c>
    </row>
    <row r="368" spans="1:39" x14ac:dyDescent="0.2">
      <c r="A368" s="3" t="s">
        <v>28</v>
      </c>
      <c r="C368" s="7">
        <f t="shared" ref="C368:AM368" ca="1" si="188">C94</f>
        <v>1789619.3445012956</v>
      </c>
      <c r="D368" s="7">
        <f t="shared" ca="1" si="188"/>
        <v>1864141.9295812796</v>
      </c>
      <c r="E368" s="7">
        <f t="shared" ca="1" si="188"/>
        <v>1957643.3432369996</v>
      </c>
      <c r="F368" s="7">
        <f t="shared" ca="1" si="188"/>
        <v>1943566.3117812213</v>
      </c>
      <c r="G368" s="7">
        <f t="shared" ca="1" si="188"/>
        <v>1958032.5505822469</v>
      </c>
      <c r="H368" s="7">
        <f t="shared" ca="1" si="188"/>
        <v>1976480.0390794906</v>
      </c>
      <c r="I368" s="7">
        <f t="shared" ca="1" si="188"/>
        <v>1995384.7064545406</v>
      </c>
      <c r="J368" s="7">
        <f t="shared" ca="1" si="188"/>
        <v>2020991.9387522282</v>
      </c>
      <c r="K368" s="7">
        <f t="shared" ca="1" si="188"/>
        <v>2030367.6445486422</v>
      </c>
      <c r="L368" s="7">
        <f t="shared" ca="1" si="188"/>
        <v>2122519.3635705947</v>
      </c>
      <c r="M368" s="7">
        <f t="shared" ca="1" si="188"/>
        <v>2118475.491937927</v>
      </c>
      <c r="N368" s="7">
        <f t="shared" ca="1" si="188"/>
        <v>2158417.6605000366</v>
      </c>
      <c r="O368" s="7">
        <f t="shared" ca="1" si="188"/>
        <v>2205059.3872083016</v>
      </c>
      <c r="P368" s="7">
        <f t="shared" ca="1" si="188"/>
        <v>2253867.3177628331</v>
      </c>
      <c r="Q368" s="7">
        <f t="shared" ca="1" si="188"/>
        <v>2304889.8024535058</v>
      </c>
      <c r="R368" s="7">
        <f t="shared" ca="1" si="188"/>
        <v>2360432.9710737611</v>
      </c>
      <c r="S368" s="7">
        <f t="shared" ca="1" si="188"/>
        <v>2418539.8812250742</v>
      </c>
      <c r="T368" s="7">
        <f t="shared" ca="1" si="188"/>
        <v>2497243.8880940815</v>
      </c>
      <c r="U368" s="7">
        <f t="shared" ca="1" si="188"/>
        <v>2586920.0198029997</v>
      </c>
      <c r="V368" s="7">
        <f t="shared" ca="1" si="188"/>
        <v>2664670.4770683451</v>
      </c>
      <c r="W368" s="7">
        <f t="shared" ca="1" si="188"/>
        <v>2761340.5644711782</v>
      </c>
      <c r="X368" s="7">
        <f t="shared" ca="1" si="188"/>
        <v>2861821.8155615102</v>
      </c>
      <c r="Y368" s="7">
        <f t="shared" ca="1" si="188"/>
        <v>2944159.0633941963</v>
      </c>
      <c r="Z368" s="7">
        <f t="shared" ca="1" si="188"/>
        <v>3029821.5858983784</v>
      </c>
      <c r="AA368" s="7">
        <f t="shared" ca="1" si="188"/>
        <v>3094061.4501525341</v>
      </c>
      <c r="AB368" s="7">
        <f t="shared" ca="1" si="188"/>
        <v>3183550.4511519209</v>
      </c>
      <c r="AC368" s="7">
        <f t="shared" ca="1" si="188"/>
        <v>3276401.1320646564</v>
      </c>
      <c r="AD368" s="7">
        <f t="shared" ca="1" si="188"/>
        <v>3372715.3192613753</v>
      </c>
      <c r="AE368" s="7">
        <f t="shared" ca="1" si="188"/>
        <v>3482581.4503833875</v>
      </c>
      <c r="AF368" s="7">
        <f t="shared" ca="1" si="188"/>
        <v>3596376.8232663851</v>
      </c>
      <c r="AG368" s="7">
        <f t="shared" ca="1" si="188"/>
        <v>3714222.2546374127</v>
      </c>
      <c r="AH368" s="7">
        <f t="shared" ca="1" si="188"/>
        <v>3837881.4472816237</v>
      </c>
      <c r="AI368" s="7">
        <f t="shared" ca="1" si="188"/>
        <v>3966069.6606393377</v>
      </c>
      <c r="AJ368" s="7">
        <f t="shared" ca="1" si="188"/>
        <v>4098945.1088282224</v>
      </c>
      <c r="AK368" s="7">
        <f t="shared" ca="1" si="188"/>
        <v>4236673.2099231444</v>
      </c>
      <c r="AL368" s="7">
        <f t="shared" ca="1" si="188"/>
        <v>4379426.9269101871</v>
      </c>
      <c r="AM368" s="7">
        <f t="shared" ca="1" si="188"/>
        <v>4527387.1314674336</v>
      </c>
    </row>
    <row r="369" spans="1:39" x14ac:dyDescent="0.2">
      <c r="A369" s="3"/>
      <c r="C369" s="10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x14ac:dyDescent="0.2">
      <c r="A370" s="15" t="s">
        <v>62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x14ac:dyDescent="0.2">
      <c r="A371" s="3" t="s">
        <v>9</v>
      </c>
      <c r="C371" s="7">
        <f t="shared" ref="C371:AM371" ca="1" si="189">C334</f>
        <v>62809.375000000015</v>
      </c>
      <c r="D371" s="7">
        <f t="shared" ca="1" si="189"/>
        <v>74162.215625000026</v>
      </c>
      <c r="E371" s="7">
        <f t="shared" ca="1" si="189"/>
        <v>108836.63850258292</v>
      </c>
      <c r="F371" s="7">
        <f t="shared" ca="1" si="189"/>
        <v>136558.72237352375</v>
      </c>
      <c r="G371" s="7">
        <f t="shared" ca="1" si="189"/>
        <v>155186.23146773444</v>
      </c>
      <c r="H371" s="7">
        <f t="shared" ca="1" si="189"/>
        <v>95871.068761315822</v>
      </c>
      <c r="I371" s="7">
        <f t="shared" ca="1" si="189"/>
        <v>152650.13853854901</v>
      </c>
      <c r="J371" s="7">
        <f t="shared" ca="1" si="189"/>
        <v>117603.97687614882</v>
      </c>
      <c r="K371" s="7">
        <f t="shared" ca="1" si="189"/>
        <v>63425.846909304215</v>
      </c>
      <c r="L371" s="7">
        <f t="shared" ca="1" si="189"/>
        <v>227601.38607478226</v>
      </c>
      <c r="M371" s="7">
        <f t="shared" ca="1" si="189"/>
        <v>156967.75167125103</v>
      </c>
      <c r="N371" s="7">
        <f t="shared" ca="1" si="189"/>
        <v>133948.42198653647</v>
      </c>
      <c r="O371" s="7">
        <f t="shared" ca="1" si="189"/>
        <v>109908.58294931796</v>
      </c>
      <c r="P371" s="7">
        <f t="shared" ca="1" si="189"/>
        <v>84710.371299332386</v>
      </c>
      <c r="Q371" s="7">
        <f t="shared" ca="1" si="189"/>
        <v>255039.88093280265</v>
      </c>
      <c r="R371" s="7">
        <f t="shared" ca="1" si="189"/>
        <v>221926.73459181545</v>
      </c>
      <c r="S371" s="7">
        <f t="shared" ca="1" si="189"/>
        <v>187342.12907091394</v>
      </c>
      <c r="T371" s="7">
        <f t="shared" ca="1" si="189"/>
        <v>169388.17075681413</v>
      </c>
      <c r="U371" s="7">
        <f t="shared" ca="1" si="189"/>
        <v>158467.39994305029</v>
      </c>
      <c r="V371" s="7">
        <f t="shared" ca="1" si="189"/>
        <v>146965.03158322335</v>
      </c>
      <c r="W371" s="7">
        <f t="shared" ca="1" si="189"/>
        <v>134874.43495894517</v>
      </c>
      <c r="X371" s="7">
        <f t="shared" ca="1" si="189"/>
        <v>122189.05086047624</v>
      </c>
      <c r="Y371" s="7">
        <f t="shared" ca="1" si="189"/>
        <v>87727.072302504312</v>
      </c>
      <c r="Z371" s="7">
        <f t="shared" ca="1" si="189"/>
        <v>107661.90431508944</v>
      </c>
      <c r="AA371" s="7">
        <f t="shared" ca="1" si="189"/>
        <v>459366.08753280132</v>
      </c>
      <c r="AB371" s="7">
        <f t="shared" ca="1" si="189"/>
        <v>419415.51303522848</v>
      </c>
      <c r="AC371" s="7">
        <f t="shared" ca="1" si="189"/>
        <v>377134.50377971405</v>
      </c>
      <c r="AD371" s="7">
        <f t="shared" ca="1" si="189"/>
        <v>332380.86560913397</v>
      </c>
      <c r="AE371" s="7">
        <f t="shared" ca="1" si="189"/>
        <v>295330.83126990055</v>
      </c>
      <c r="AF371" s="7">
        <f t="shared" ca="1" si="189"/>
        <v>256200.70760711445</v>
      </c>
      <c r="AG371" s="7">
        <f t="shared" ca="1" si="189"/>
        <v>214944.86998608289</v>
      </c>
      <c r="AH371" s="7">
        <f t="shared" ca="1" si="189"/>
        <v>171516.74448419805</v>
      </c>
      <c r="AI371" s="7">
        <f t="shared" ca="1" si="189"/>
        <v>125868.78989857668</v>
      </c>
      <c r="AJ371" s="7">
        <f t="shared" ca="1" si="189"/>
        <v>767799.70768192201</v>
      </c>
      <c r="AK371" s="7">
        <f t="shared" ca="1" si="189"/>
        <v>718939.60463251953</v>
      </c>
      <c r="AL371" s="7">
        <f t="shared" ca="1" si="189"/>
        <v>667484.16076395195</v>
      </c>
      <c r="AM371" s="7">
        <f t="shared" ca="1" si="189"/>
        <v>612640.66984162643</v>
      </c>
    </row>
    <row r="372" spans="1:39" x14ac:dyDescent="0.2">
      <c r="A372" s="3" t="s">
        <v>28</v>
      </c>
      <c r="C372" s="7">
        <f t="shared" ref="C372:AM372" ca="1" si="190">C362</f>
        <v>1789619.3445012956</v>
      </c>
      <c r="D372" s="7">
        <f t="shared" ca="1" si="190"/>
        <v>1864141.9295812796</v>
      </c>
      <c r="E372" s="7">
        <f t="shared" ca="1" si="190"/>
        <v>1957002.8607598119</v>
      </c>
      <c r="F372" s="7">
        <f t="shared" ca="1" si="190"/>
        <v>1938210.5102665685</v>
      </c>
      <c r="G372" s="7">
        <f t="shared" ca="1" si="190"/>
        <v>1935024.2690671617</v>
      </c>
      <c r="H372" s="7">
        <f t="shared" ca="1" si="190"/>
        <v>1943352.1457793959</v>
      </c>
      <c r="I372" s="7">
        <f t="shared" ca="1" si="190"/>
        <v>1962885.035856552</v>
      </c>
      <c r="J372" s="7">
        <f t="shared" ca="1" si="190"/>
        <v>1979471.4827102099</v>
      </c>
      <c r="K372" s="7">
        <f t="shared" ca="1" si="190"/>
        <v>1978016.6118453897</v>
      </c>
      <c r="L372" s="7">
        <f t="shared" ca="1" si="190"/>
        <v>2034685.4349655225</v>
      </c>
      <c r="M372" s="7">
        <f t="shared" ca="1" si="190"/>
        <v>2009568.487292141</v>
      </c>
      <c r="N372" s="7">
        <f t="shared" ca="1" si="190"/>
        <v>2033866.1366763089</v>
      </c>
      <c r="O372" s="7">
        <f t="shared" ca="1" si="190"/>
        <v>2058975.8382300269</v>
      </c>
      <c r="P372" s="7">
        <f t="shared" ca="1" si="190"/>
        <v>2084794.0529311935</v>
      </c>
      <c r="Q372" s="7">
        <f t="shared" ca="1" si="190"/>
        <v>2075496.6088027635</v>
      </c>
      <c r="R372" s="7">
        <f t="shared" ca="1" si="190"/>
        <v>2090268.4931430647</v>
      </c>
      <c r="S372" s="7">
        <f t="shared" ca="1" si="190"/>
        <v>2105341.9027816309</v>
      </c>
      <c r="T372" s="7">
        <f t="shared" ca="1" si="190"/>
        <v>2138855.3119616369</v>
      </c>
      <c r="U372" s="7">
        <f t="shared" ca="1" si="190"/>
        <v>2181249.560952662</v>
      </c>
      <c r="V372" s="7">
        <f t="shared" ca="1" si="190"/>
        <v>2224950.1127133351</v>
      </c>
      <c r="W372" s="7">
        <f t="shared" ca="1" si="190"/>
        <v>2269992.5510486625</v>
      </c>
      <c r="X372" s="7">
        <f t="shared" ca="1" si="190"/>
        <v>2316414.5188323017</v>
      </c>
      <c r="Y372" s="7">
        <f t="shared" ca="1" si="190"/>
        <v>2343080.4222929305</v>
      </c>
      <c r="Z372" s="7">
        <f t="shared" ca="1" si="190"/>
        <v>2373202.6540913237</v>
      </c>
      <c r="AA372" s="7">
        <f t="shared" ca="1" si="190"/>
        <v>2334505.6188208098</v>
      </c>
      <c r="AB372" s="7">
        <f t="shared" ca="1" si="190"/>
        <v>2350809.2302618772</v>
      </c>
      <c r="AC372" s="7">
        <f t="shared" ca="1" si="190"/>
        <v>2366470.0325231622</v>
      </c>
      <c r="AD372" s="7">
        <f t="shared" ca="1" si="190"/>
        <v>2381396.4602148854</v>
      </c>
      <c r="AE372" s="7">
        <f t="shared" ca="1" si="190"/>
        <v>2405816.8937138249</v>
      </c>
      <c r="AF372" s="7">
        <f t="shared" ca="1" si="190"/>
        <v>2430001.3519243565</v>
      </c>
      <c r="AG372" s="7">
        <f t="shared" ca="1" si="190"/>
        <v>2453959.5336328424</v>
      </c>
      <c r="AH372" s="7">
        <f t="shared" ca="1" si="190"/>
        <v>2477701.8480403605</v>
      </c>
      <c r="AI372" s="7">
        <f t="shared" ca="1" si="190"/>
        <v>2501239.4465614241</v>
      </c>
      <c r="AJ372" s="7">
        <f t="shared" ca="1" si="190"/>
        <v>2398887.5585904107</v>
      </c>
      <c r="AK372" s="7">
        <f t="shared" ca="1" si="190"/>
        <v>2398960.0910682632</v>
      </c>
      <c r="AL372" s="7">
        <f t="shared" ca="1" si="190"/>
        <v>2397905.2617927678</v>
      </c>
      <c r="AM372" s="7">
        <f t="shared" ca="1" si="190"/>
        <v>2394974.4039013069</v>
      </c>
    </row>
    <row r="373" spans="1:39" x14ac:dyDescent="0.2">
      <c r="A373" s="3"/>
      <c r="C373" s="7"/>
      <c r="D373" s="7"/>
      <c r="E373" s="23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x14ac:dyDescent="0.2">
      <c r="A374" s="15" t="s">
        <v>63</v>
      </c>
      <c r="B374" s="2" t="s">
        <v>1</v>
      </c>
      <c r="C374" s="7">
        <f t="shared" ref="C374:AM374" si="191">C3</f>
        <v>48</v>
      </c>
      <c r="D374" s="7">
        <f t="shared" si="191"/>
        <v>49</v>
      </c>
      <c r="E374" s="7">
        <f t="shared" si="191"/>
        <v>50</v>
      </c>
      <c r="F374" s="7">
        <f t="shared" si="191"/>
        <v>51</v>
      </c>
      <c r="G374" s="7">
        <f t="shared" si="191"/>
        <v>52</v>
      </c>
      <c r="H374" s="7">
        <f t="shared" si="191"/>
        <v>53</v>
      </c>
      <c r="I374" s="7">
        <f t="shared" si="191"/>
        <v>54</v>
      </c>
      <c r="J374" s="7">
        <f t="shared" si="191"/>
        <v>55</v>
      </c>
      <c r="K374" s="7">
        <f t="shared" si="191"/>
        <v>56</v>
      </c>
      <c r="L374" s="7">
        <f t="shared" si="191"/>
        <v>57</v>
      </c>
      <c r="M374" s="7">
        <f t="shared" si="191"/>
        <v>58</v>
      </c>
      <c r="N374" s="7">
        <f t="shared" si="191"/>
        <v>59</v>
      </c>
      <c r="O374" s="7">
        <f t="shared" si="191"/>
        <v>60</v>
      </c>
      <c r="P374" s="7">
        <f t="shared" si="191"/>
        <v>61</v>
      </c>
      <c r="Q374" s="7">
        <f t="shared" si="191"/>
        <v>62</v>
      </c>
      <c r="R374" s="7">
        <f t="shared" si="191"/>
        <v>63</v>
      </c>
      <c r="S374" s="7">
        <f t="shared" si="191"/>
        <v>64</v>
      </c>
      <c r="T374" s="7">
        <f t="shared" si="191"/>
        <v>65</v>
      </c>
      <c r="U374" s="7">
        <f t="shared" si="191"/>
        <v>66</v>
      </c>
      <c r="V374" s="7">
        <f t="shared" si="191"/>
        <v>67</v>
      </c>
      <c r="W374" s="7">
        <f t="shared" si="191"/>
        <v>68</v>
      </c>
      <c r="X374" s="7">
        <f t="shared" si="191"/>
        <v>69</v>
      </c>
      <c r="Y374" s="7">
        <f t="shared" si="191"/>
        <v>70</v>
      </c>
      <c r="Z374" s="7">
        <f t="shared" si="191"/>
        <v>71</v>
      </c>
      <c r="AA374" s="7">
        <f t="shared" si="191"/>
        <v>72</v>
      </c>
      <c r="AB374" s="7">
        <f t="shared" si="191"/>
        <v>73</v>
      </c>
      <c r="AC374" s="7">
        <f t="shared" si="191"/>
        <v>74</v>
      </c>
      <c r="AD374" s="7">
        <f t="shared" si="191"/>
        <v>75</v>
      </c>
      <c r="AE374" s="7">
        <f t="shared" si="191"/>
        <v>76</v>
      </c>
      <c r="AF374" s="7">
        <f t="shared" si="191"/>
        <v>77</v>
      </c>
      <c r="AG374" s="7">
        <f t="shared" si="191"/>
        <v>78</v>
      </c>
      <c r="AH374" s="7">
        <f t="shared" si="191"/>
        <v>79</v>
      </c>
      <c r="AI374" s="7">
        <f t="shared" si="191"/>
        <v>80</v>
      </c>
      <c r="AJ374" s="7">
        <f t="shared" si="191"/>
        <v>81</v>
      </c>
      <c r="AK374" s="7">
        <f t="shared" si="191"/>
        <v>82</v>
      </c>
      <c r="AL374" s="7">
        <f t="shared" si="191"/>
        <v>83</v>
      </c>
      <c r="AM374" s="7">
        <f t="shared" si="191"/>
        <v>84</v>
      </c>
    </row>
    <row r="375" spans="1:39" x14ac:dyDescent="0.2">
      <c r="A375" s="3" t="s">
        <v>61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x14ac:dyDescent="0.2">
      <c r="A376" s="3" t="s">
        <v>9</v>
      </c>
      <c r="C376" s="7">
        <f t="shared" ref="C376:AM377" ca="1" si="192">C367</f>
        <v>62809.375000000015</v>
      </c>
      <c r="D376" s="7">
        <f t="shared" ca="1" si="192"/>
        <v>74162.215625000026</v>
      </c>
      <c r="E376" s="7">
        <f t="shared" ca="1" si="192"/>
        <v>91813.279140625047</v>
      </c>
      <c r="F376" s="7">
        <f t="shared" ca="1" si="192"/>
        <v>3292.6816575052071</v>
      </c>
      <c r="G376" s="7">
        <f t="shared" ca="1" si="192"/>
        <v>-57685.337410723936</v>
      </c>
      <c r="H376" s="7">
        <f t="shared" ca="1" si="192"/>
        <v>-115530.45073344803</v>
      </c>
      <c r="I376" s="7">
        <f t="shared" ca="1" si="192"/>
        <v>-148768.97998161564</v>
      </c>
      <c r="J376" s="7">
        <f t="shared" ca="1" si="192"/>
        <v>-182568.86465624889</v>
      </c>
      <c r="K376" s="7">
        <f t="shared" ca="1" si="192"/>
        <v>-234124.16045572638</v>
      </c>
      <c r="L376" s="7">
        <f t="shared" ca="1" si="192"/>
        <v>-203599.9633535335</v>
      </c>
      <c r="M376" s="7">
        <f t="shared" ca="1" si="192"/>
        <v>-267210.126035436</v>
      </c>
      <c r="N376" s="7">
        <f t="shared" ca="1" si="192"/>
        <v>-282318.86424734304</v>
      </c>
      <c r="O376" s="7">
        <f t="shared" ca="1" si="192"/>
        <v>-297565.96380773495</v>
      </c>
      <c r="P376" s="7">
        <f t="shared" ca="1" si="192"/>
        <v>-312947.70303711947</v>
      </c>
      <c r="Q376" s="7">
        <f t="shared" ca="1" si="192"/>
        <v>-328460.05179262091</v>
      </c>
      <c r="R376" s="7">
        <f t="shared" ca="1" si="192"/>
        <v>-344098.65729375376</v>
      </c>
      <c r="S376" s="7">
        <f t="shared" ca="1" si="192"/>
        <v>-359858.82939996105</v>
      </c>
      <c r="T376" s="7">
        <f t="shared" ca="1" si="192"/>
        <v>-357780.4298385065</v>
      </c>
      <c r="U376" s="7">
        <f t="shared" ca="1" si="192"/>
        <v>-347565.97179640277</v>
      </c>
      <c r="V376" s="7">
        <f t="shared" ca="1" si="192"/>
        <v>-336801.77325307368</v>
      </c>
      <c r="W376" s="7">
        <f t="shared" ca="1" si="192"/>
        <v>-325465.2593244834</v>
      </c>
      <c r="X376" s="7">
        <f t="shared" ca="1" si="192"/>
        <v>-313533.02581335016</v>
      </c>
      <c r="Y376" s="7">
        <f t="shared" ca="1" si="192"/>
        <v>-321639.66729904164</v>
      </c>
      <c r="Z376" s="7">
        <f t="shared" ca="1" si="192"/>
        <v>-329617.64860742656</v>
      </c>
      <c r="AA376" s="7">
        <f t="shared" ca="1" si="192"/>
        <v>-337453.81344763876</v>
      </c>
      <c r="AB376" s="7">
        <f t="shared" ca="1" si="192"/>
        <v>-345134.37842794746</v>
      </c>
      <c r="AC376" s="7">
        <f t="shared" ca="1" si="192"/>
        <v>-352644.90843242779</v>
      </c>
      <c r="AD376" s="7">
        <f t="shared" ca="1" si="192"/>
        <v>-359970.29111367406</v>
      </c>
      <c r="AE376" s="7">
        <f t="shared" ca="1" si="192"/>
        <v>-357112.23537761893</v>
      </c>
      <c r="AF376" s="7">
        <f t="shared" ca="1" si="192"/>
        <v>-353787.10742089956</v>
      </c>
      <c r="AG376" s="7">
        <f t="shared" ca="1" si="192"/>
        <v>-349971.36181318137</v>
      </c>
      <c r="AH376" s="7">
        <f t="shared" ca="1" si="192"/>
        <v>-345640.50842962705</v>
      </c>
      <c r="AI376" s="7">
        <f t="shared" ca="1" si="192"/>
        <v>-340769.07815177133</v>
      </c>
      <c r="AJ376" s="7">
        <f t="shared" ca="1" si="192"/>
        <v>-335330.58739046531</v>
      </c>
      <c r="AK376" s="7">
        <f t="shared" ca="1" si="192"/>
        <v>-329297.50139182765</v>
      </c>
      <c r="AL376" s="7">
        <f t="shared" ca="1" si="192"/>
        <v>-322641.19628587604</v>
      </c>
      <c r="AM376" s="7">
        <f t="shared" ca="1" si="192"/>
        <v>-315331.91983620723</v>
      </c>
    </row>
    <row r="377" spans="1:39" x14ac:dyDescent="0.2">
      <c r="A377" s="3" t="s">
        <v>28</v>
      </c>
      <c r="C377" s="7">
        <f t="shared" ca="1" si="192"/>
        <v>1789619.3445012956</v>
      </c>
      <c r="D377" s="7">
        <f t="shared" ca="1" si="192"/>
        <v>1864141.9295812796</v>
      </c>
      <c r="E377" s="7">
        <f t="shared" ca="1" si="192"/>
        <v>1957643.3432369996</v>
      </c>
      <c r="F377" s="7">
        <f t="shared" ca="1" si="192"/>
        <v>1943566.3117812213</v>
      </c>
      <c r="G377" s="7">
        <f t="shared" ca="1" si="192"/>
        <v>1958032.5505822469</v>
      </c>
      <c r="H377" s="7">
        <f t="shared" ca="1" si="192"/>
        <v>1976480.0390794906</v>
      </c>
      <c r="I377" s="7">
        <f t="shared" ca="1" si="192"/>
        <v>1995384.7064545406</v>
      </c>
      <c r="J377" s="7">
        <f t="shared" ca="1" si="192"/>
        <v>2020991.9387522282</v>
      </c>
      <c r="K377" s="7">
        <f t="shared" ca="1" si="192"/>
        <v>2030367.6445486422</v>
      </c>
      <c r="L377" s="7">
        <f t="shared" ca="1" si="192"/>
        <v>2122519.3635705947</v>
      </c>
      <c r="M377" s="7">
        <f t="shared" ca="1" si="192"/>
        <v>2118475.491937927</v>
      </c>
      <c r="N377" s="7">
        <f t="shared" ca="1" si="192"/>
        <v>2158417.6605000366</v>
      </c>
      <c r="O377" s="7">
        <f t="shared" ca="1" si="192"/>
        <v>2205059.3872083016</v>
      </c>
      <c r="P377" s="7">
        <f t="shared" ca="1" si="192"/>
        <v>2253867.3177628331</v>
      </c>
      <c r="Q377" s="7">
        <f t="shared" ca="1" si="192"/>
        <v>2304889.8024535058</v>
      </c>
      <c r="R377" s="7">
        <f t="shared" ca="1" si="192"/>
        <v>2360432.9710737611</v>
      </c>
      <c r="S377" s="7">
        <f t="shared" ca="1" si="192"/>
        <v>2418539.8812250742</v>
      </c>
      <c r="T377" s="7">
        <f t="shared" ca="1" si="192"/>
        <v>2497243.8880940815</v>
      </c>
      <c r="U377" s="7">
        <f t="shared" ca="1" si="192"/>
        <v>2586920.0198029997</v>
      </c>
      <c r="V377" s="7">
        <f t="shared" ca="1" si="192"/>
        <v>2664670.4770683451</v>
      </c>
      <c r="W377" s="7">
        <f t="shared" ca="1" si="192"/>
        <v>2761340.5644711782</v>
      </c>
      <c r="X377" s="7">
        <f t="shared" ca="1" si="192"/>
        <v>2861821.8155615102</v>
      </c>
      <c r="Y377" s="7">
        <f t="shared" ca="1" si="192"/>
        <v>2944159.0633941963</v>
      </c>
      <c r="Z377" s="7">
        <f t="shared" ca="1" si="192"/>
        <v>3029821.5858983784</v>
      </c>
      <c r="AA377" s="7">
        <f t="shared" ca="1" si="192"/>
        <v>3094061.4501525341</v>
      </c>
      <c r="AB377" s="7">
        <f t="shared" ca="1" si="192"/>
        <v>3183550.4511519209</v>
      </c>
      <c r="AC377" s="7">
        <f t="shared" ca="1" si="192"/>
        <v>3276401.1320646564</v>
      </c>
      <c r="AD377" s="7">
        <f t="shared" ca="1" si="192"/>
        <v>3372715.3192613753</v>
      </c>
      <c r="AE377" s="7">
        <f t="shared" ca="1" si="192"/>
        <v>3482581.4503833875</v>
      </c>
      <c r="AF377" s="7">
        <f t="shared" ca="1" si="192"/>
        <v>3596376.8232663851</v>
      </c>
      <c r="AG377" s="7">
        <f t="shared" ca="1" si="192"/>
        <v>3714222.2546374127</v>
      </c>
      <c r="AH377" s="7">
        <f t="shared" ca="1" si="192"/>
        <v>3837881.4472816237</v>
      </c>
      <c r="AI377" s="7">
        <f t="shared" ca="1" si="192"/>
        <v>3966069.6606393377</v>
      </c>
      <c r="AJ377" s="7">
        <f t="shared" ca="1" si="192"/>
        <v>4098945.1088282224</v>
      </c>
      <c r="AK377" s="7">
        <f t="shared" ca="1" si="192"/>
        <v>4236673.2099231444</v>
      </c>
      <c r="AL377" s="7">
        <f t="shared" ca="1" si="192"/>
        <v>4379426.9269101871</v>
      </c>
      <c r="AM377" s="7">
        <f t="shared" ca="1" si="192"/>
        <v>4527387.1314674336</v>
      </c>
    </row>
    <row r="378" spans="1:39" x14ac:dyDescent="0.2">
      <c r="A378" s="3" t="s">
        <v>62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x14ac:dyDescent="0.2">
      <c r="A379" s="16" t="s">
        <v>9</v>
      </c>
      <c r="C379" s="7">
        <f ca="1">C371</f>
        <v>62809.375000000015</v>
      </c>
      <c r="D379" s="7">
        <f t="shared" ref="D379:AM380" ca="1" si="193">D371</f>
        <v>74162.215625000026</v>
      </c>
      <c r="E379" s="7">
        <f t="shared" ca="1" si="193"/>
        <v>108836.63850258292</v>
      </c>
      <c r="F379" s="7">
        <f t="shared" ca="1" si="193"/>
        <v>136558.72237352375</v>
      </c>
      <c r="G379" s="7">
        <f t="shared" ca="1" si="193"/>
        <v>155186.23146773444</v>
      </c>
      <c r="H379" s="7">
        <f t="shared" ca="1" si="193"/>
        <v>95871.068761315822</v>
      </c>
      <c r="I379" s="7">
        <f t="shared" ca="1" si="193"/>
        <v>152650.13853854901</v>
      </c>
      <c r="J379" s="7">
        <f t="shared" ca="1" si="193"/>
        <v>117603.97687614882</v>
      </c>
      <c r="K379" s="7">
        <f t="shared" ca="1" si="193"/>
        <v>63425.846909304215</v>
      </c>
      <c r="L379" s="7">
        <f t="shared" ca="1" si="193"/>
        <v>227601.38607478226</v>
      </c>
      <c r="M379" s="7">
        <f t="shared" ca="1" si="193"/>
        <v>156967.75167125103</v>
      </c>
      <c r="N379" s="7">
        <f t="shared" ca="1" si="193"/>
        <v>133948.42198653647</v>
      </c>
      <c r="O379" s="7">
        <f t="shared" ca="1" si="193"/>
        <v>109908.58294931796</v>
      </c>
      <c r="P379" s="7">
        <f t="shared" ca="1" si="193"/>
        <v>84710.371299332386</v>
      </c>
      <c r="Q379" s="7">
        <f t="shared" ca="1" si="193"/>
        <v>255039.88093280265</v>
      </c>
      <c r="R379" s="7">
        <f t="shared" ca="1" si="193"/>
        <v>221926.73459181545</v>
      </c>
      <c r="S379" s="7">
        <f t="shared" ca="1" si="193"/>
        <v>187342.12907091394</v>
      </c>
      <c r="T379" s="7">
        <f t="shared" ca="1" si="193"/>
        <v>169388.17075681413</v>
      </c>
      <c r="U379" s="7">
        <f t="shared" ca="1" si="193"/>
        <v>158467.39994305029</v>
      </c>
      <c r="V379" s="7">
        <f t="shared" ca="1" si="193"/>
        <v>146965.03158322335</v>
      </c>
      <c r="W379" s="7">
        <f t="shared" ca="1" si="193"/>
        <v>134874.43495894517</v>
      </c>
      <c r="X379" s="7">
        <f t="shared" ca="1" si="193"/>
        <v>122189.05086047624</v>
      </c>
      <c r="Y379" s="7">
        <f t="shared" ca="1" si="193"/>
        <v>87727.072302504312</v>
      </c>
      <c r="Z379" s="7">
        <f t="shared" ca="1" si="193"/>
        <v>107661.90431508944</v>
      </c>
      <c r="AA379" s="7">
        <f t="shared" ca="1" si="193"/>
        <v>459366.08753280132</v>
      </c>
      <c r="AB379" s="7">
        <f t="shared" ca="1" si="193"/>
        <v>419415.51303522848</v>
      </c>
      <c r="AC379" s="7">
        <f t="shared" ca="1" si="193"/>
        <v>377134.50377971405</v>
      </c>
      <c r="AD379" s="7">
        <f t="shared" ca="1" si="193"/>
        <v>332380.86560913397</v>
      </c>
      <c r="AE379" s="7">
        <f t="shared" ca="1" si="193"/>
        <v>295330.83126990055</v>
      </c>
      <c r="AF379" s="7">
        <f t="shared" ca="1" si="193"/>
        <v>256200.70760711445</v>
      </c>
      <c r="AG379" s="7">
        <f t="shared" ca="1" si="193"/>
        <v>214944.86998608289</v>
      </c>
      <c r="AH379" s="7">
        <f t="shared" ca="1" si="193"/>
        <v>171516.74448419805</v>
      </c>
      <c r="AI379" s="7">
        <f t="shared" ca="1" si="193"/>
        <v>125868.78989857668</v>
      </c>
      <c r="AJ379" s="7">
        <f t="shared" ca="1" si="193"/>
        <v>767799.70768192201</v>
      </c>
      <c r="AK379" s="7">
        <f t="shared" ca="1" si="193"/>
        <v>718939.60463251953</v>
      </c>
      <c r="AL379" s="7">
        <f t="shared" ca="1" si="193"/>
        <v>667484.16076395195</v>
      </c>
      <c r="AM379" s="7">
        <f t="shared" ca="1" si="193"/>
        <v>612640.66984162643</v>
      </c>
    </row>
    <row r="380" spans="1:39" x14ac:dyDescent="0.2">
      <c r="A380" s="16" t="s">
        <v>28</v>
      </c>
      <c r="C380" s="7">
        <f ca="1">C372</f>
        <v>1789619.3445012956</v>
      </c>
      <c r="D380" s="7">
        <f t="shared" ca="1" si="193"/>
        <v>1864141.9295812796</v>
      </c>
      <c r="E380" s="7">
        <f t="shared" ca="1" si="193"/>
        <v>1957002.8607598119</v>
      </c>
      <c r="F380" s="7">
        <f t="shared" ca="1" si="193"/>
        <v>1938210.5102665685</v>
      </c>
      <c r="G380" s="7">
        <f t="shared" ca="1" si="193"/>
        <v>1935024.2690671617</v>
      </c>
      <c r="H380" s="7">
        <f t="shared" ca="1" si="193"/>
        <v>1943352.1457793959</v>
      </c>
      <c r="I380" s="7">
        <f t="shared" ca="1" si="193"/>
        <v>1962885.035856552</v>
      </c>
      <c r="J380" s="7">
        <f t="shared" ca="1" si="193"/>
        <v>1979471.4827102099</v>
      </c>
      <c r="K380" s="7">
        <f t="shared" ca="1" si="193"/>
        <v>1978016.6118453897</v>
      </c>
      <c r="L380" s="7">
        <f t="shared" ca="1" si="193"/>
        <v>2034685.4349655225</v>
      </c>
      <c r="M380" s="7">
        <f t="shared" ca="1" si="193"/>
        <v>2009568.487292141</v>
      </c>
      <c r="N380" s="7">
        <f t="shared" ca="1" si="193"/>
        <v>2033866.1366763089</v>
      </c>
      <c r="O380" s="7">
        <f t="shared" ca="1" si="193"/>
        <v>2058975.8382300269</v>
      </c>
      <c r="P380" s="7">
        <f t="shared" ca="1" si="193"/>
        <v>2084794.0529311935</v>
      </c>
      <c r="Q380" s="7">
        <f t="shared" ca="1" si="193"/>
        <v>2075496.6088027635</v>
      </c>
      <c r="R380" s="7">
        <f t="shared" ca="1" si="193"/>
        <v>2090268.4931430647</v>
      </c>
      <c r="S380" s="7">
        <f t="shared" ca="1" si="193"/>
        <v>2105341.9027816309</v>
      </c>
      <c r="T380" s="7">
        <f t="shared" ca="1" si="193"/>
        <v>2138855.3119616369</v>
      </c>
      <c r="U380" s="7">
        <f t="shared" ca="1" si="193"/>
        <v>2181249.560952662</v>
      </c>
      <c r="V380" s="7">
        <f t="shared" ca="1" si="193"/>
        <v>2224950.1127133351</v>
      </c>
      <c r="W380" s="7">
        <f t="shared" ca="1" si="193"/>
        <v>2269992.5510486625</v>
      </c>
      <c r="X380" s="7">
        <f t="shared" ca="1" si="193"/>
        <v>2316414.5188323017</v>
      </c>
      <c r="Y380" s="7">
        <f t="shared" ca="1" si="193"/>
        <v>2343080.4222929305</v>
      </c>
      <c r="Z380" s="7">
        <f t="shared" ca="1" si="193"/>
        <v>2373202.6540913237</v>
      </c>
      <c r="AA380" s="7">
        <f t="shared" ca="1" si="193"/>
        <v>2334505.6188208098</v>
      </c>
      <c r="AB380" s="7">
        <f t="shared" ca="1" si="193"/>
        <v>2350809.2302618772</v>
      </c>
      <c r="AC380" s="7">
        <f t="shared" ca="1" si="193"/>
        <v>2366470.0325231622</v>
      </c>
      <c r="AD380" s="7">
        <f t="shared" ca="1" si="193"/>
        <v>2381396.4602148854</v>
      </c>
      <c r="AE380" s="7">
        <f t="shared" ca="1" si="193"/>
        <v>2405816.8937138249</v>
      </c>
      <c r="AF380" s="7">
        <f t="shared" ca="1" si="193"/>
        <v>2430001.3519243565</v>
      </c>
      <c r="AG380" s="7">
        <f t="shared" ca="1" si="193"/>
        <v>2453959.5336328424</v>
      </c>
      <c r="AH380" s="7">
        <f t="shared" ca="1" si="193"/>
        <v>2477701.8480403605</v>
      </c>
      <c r="AI380" s="7">
        <f t="shared" ca="1" si="193"/>
        <v>2501239.4465614241</v>
      </c>
      <c r="AJ380" s="7">
        <f t="shared" ca="1" si="193"/>
        <v>2398887.5585904107</v>
      </c>
      <c r="AK380" s="7">
        <f t="shared" ca="1" si="193"/>
        <v>2398960.0910682632</v>
      </c>
      <c r="AL380" s="7">
        <f t="shared" ca="1" si="193"/>
        <v>2397905.2617927678</v>
      </c>
      <c r="AM380" s="7">
        <f t="shared" ca="1" si="193"/>
        <v>2394974.4039013069</v>
      </c>
    </row>
    <row r="381" spans="1:39" x14ac:dyDescent="0.2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x14ac:dyDescent="0.2">
      <c r="A382" s="16" t="s">
        <v>178</v>
      </c>
      <c r="C382" s="7">
        <f t="shared" ref="C382:AM382" si="194">buffer</f>
        <v>50000</v>
      </c>
      <c r="D382" s="7">
        <f t="shared" si="194"/>
        <v>50000</v>
      </c>
      <c r="E382" s="7">
        <f t="shared" si="194"/>
        <v>50000</v>
      </c>
      <c r="F382" s="7">
        <f t="shared" si="194"/>
        <v>50000</v>
      </c>
      <c r="G382" s="7">
        <f t="shared" si="194"/>
        <v>50000</v>
      </c>
      <c r="H382" s="7">
        <f t="shared" si="194"/>
        <v>50000</v>
      </c>
      <c r="I382" s="7">
        <f t="shared" si="194"/>
        <v>50000</v>
      </c>
      <c r="J382" s="7">
        <f t="shared" si="194"/>
        <v>50000</v>
      </c>
      <c r="K382" s="7">
        <f t="shared" si="194"/>
        <v>50000</v>
      </c>
      <c r="L382" s="7">
        <f t="shared" si="194"/>
        <v>50000</v>
      </c>
      <c r="M382" s="7">
        <f t="shared" si="194"/>
        <v>50000</v>
      </c>
      <c r="N382" s="7">
        <f t="shared" si="194"/>
        <v>50000</v>
      </c>
      <c r="O382" s="7">
        <f t="shared" si="194"/>
        <v>50000</v>
      </c>
      <c r="P382" s="7">
        <f t="shared" si="194"/>
        <v>50000</v>
      </c>
      <c r="Q382" s="7">
        <f t="shared" si="194"/>
        <v>50000</v>
      </c>
      <c r="R382" s="7">
        <f t="shared" si="194"/>
        <v>50000</v>
      </c>
      <c r="S382" s="7">
        <f t="shared" si="194"/>
        <v>50000</v>
      </c>
      <c r="T382" s="7">
        <f t="shared" si="194"/>
        <v>50000</v>
      </c>
      <c r="U382" s="7">
        <f t="shared" si="194"/>
        <v>50000</v>
      </c>
      <c r="V382" s="7">
        <f t="shared" si="194"/>
        <v>50000</v>
      </c>
      <c r="W382" s="7">
        <f t="shared" si="194"/>
        <v>50000</v>
      </c>
      <c r="X382" s="7">
        <f t="shared" si="194"/>
        <v>50000</v>
      </c>
      <c r="Y382" s="7">
        <f t="shared" si="194"/>
        <v>50000</v>
      </c>
      <c r="Z382" s="7">
        <f t="shared" si="194"/>
        <v>50000</v>
      </c>
      <c r="AA382" s="7">
        <f t="shared" si="194"/>
        <v>50000</v>
      </c>
      <c r="AB382" s="7">
        <f t="shared" si="194"/>
        <v>50000</v>
      </c>
      <c r="AC382" s="7">
        <f t="shared" si="194"/>
        <v>50000</v>
      </c>
      <c r="AD382" s="7">
        <f t="shared" si="194"/>
        <v>50000</v>
      </c>
      <c r="AE382" s="7">
        <f t="shared" si="194"/>
        <v>50000</v>
      </c>
      <c r="AF382" s="7">
        <f t="shared" si="194"/>
        <v>50000</v>
      </c>
      <c r="AG382" s="7">
        <f t="shared" si="194"/>
        <v>50000</v>
      </c>
      <c r="AH382" s="7">
        <f t="shared" si="194"/>
        <v>50000</v>
      </c>
      <c r="AI382" s="7">
        <f t="shared" si="194"/>
        <v>50000</v>
      </c>
      <c r="AJ382" s="7">
        <f t="shared" si="194"/>
        <v>50000</v>
      </c>
      <c r="AK382" s="7">
        <f t="shared" si="194"/>
        <v>50000</v>
      </c>
      <c r="AL382" s="7">
        <f t="shared" si="194"/>
        <v>50000</v>
      </c>
      <c r="AM382" s="7">
        <f t="shared" si="194"/>
        <v>50000</v>
      </c>
    </row>
    <row r="383" spans="1:39" x14ac:dyDescent="0.2">
      <c r="A383" s="16" t="s">
        <v>176</v>
      </c>
      <c r="C383" s="7">
        <f t="shared" ref="C383:AM383" si="195">legacy</f>
        <v>1000000</v>
      </c>
      <c r="D383" s="7">
        <f t="shared" si="195"/>
        <v>1000000</v>
      </c>
      <c r="E383" s="7">
        <f t="shared" si="195"/>
        <v>1000000</v>
      </c>
      <c r="F383" s="7">
        <f t="shared" si="195"/>
        <v>1000000</v>
      </c>
      <c r="G383" s="7">
        <f t="shared" si="195"/>
        <v>1000000</v>
      </c>
      <c r="H383" s="7">
        <f t="shared" si="195"/>
        <v>1000000</v>
      </c>
      <c r="I383" s="7">
        <f t="shared" si="195"/>
        <v>1000000</v>
      </c>
      <c r="J383" s="7">
        <f t="shared" si="195"/>
        <v>1000000</v>
      </c>
      <c r="K383" s="7">
        <f t="shared" si="195"/>
        <v>1000000</v>
      </c>
      <c r="L383" s="7">
        <f t="shared" si="195"/>
        <v>1000000</v>
      </c>
      <c r="M383" s="7">
        <f t="shared" si="195"/>
        <v>1000000</v>
      </c>
      <c r="N383" s="7">
        <f t="shared" si="195"/>
        <v>1000000</v>
      </c>
      <c r="O383" s="7">
        <f t="shared" si="195"/>
        <v>1000000</v>
      </c>
      <c r="P383" s="7">
        <f t="shared" si="195"/>
        <v>1000000</v>
      </c>
      <c r="Q383" s="7">
        <f t="shared" si="195"/>
        <v>1000000</v>
      </c>
      <c r="R383" s="7">
        <f t="shared" si="195"/>
        <v>1000000</v>
      </c>
      <c r="S383" s="7">
        <f t="shared" si="195"/>
        <v>1000000</v>
      </c>
      <c r="T383" s="7">
        <f t="shared" si="195"/>
        <v>1000000</v>
      </c>
      <c r="U383" s="7">
        <f t="shared" si="195"/>
        <v>1000000</v>
      </c>
      <c r="V383" s="7">
        <f t="shared" si="195"/>
        <v>1000000</v>
      </c>
      <c r="W383" s="7">
        <f t="shared" si="195"/>
        <v>1000000</v>
      </c>
      <c r="X383" s="7">
        <f t="shared" si="195"/>
        <v>1000000</v>
      </c>
      <c r="Y383" s="7">
        <f t="shared" si="195"/>
        <v>1000000</v>
      </c>
      <c r="Z383" s="7">
        <f t="shared" si="195"/>
        <v>1000000</v>
      </c>
      <c r="AA383" s="7">
        <f t="shared" si="195"/>
        <v>1000000</v>
      </c>
      <c r="AB383" s="7">
        <f t="shared" si="195"/>
        <v>1000000</v>
      </c>
      <c r="AC383" s="7">
        <f t="shared" si="195"/>
        <v>1000000</v>
      </c>
      <c r="AD383" s="7">
        <f t="shared" si="195"/>
        <v>1000000</v>
      </c>
      <c r="AE383" s="7">
        <f t="shared" si="195"/>
        <v>1000000</v>
      </c>
      <c r="AF383" s="7">
        <f t="shared" si="195"/>
        <v>1000000</v>
      </c>
      <c r="AG383" s="7">
        <f t="shared" si="195"/>
        <v>1000000</v>
      </c>
      <c r="AH383" s="7">
        <f t="shared" si="195"/>
        <v>1000000</v>
      </c>
      <c r="AI383" s="7">
        <f t="shared" si="195"/>
        <v>1000000</v>
      </c>
      <c r="AJ383" s="7">
        <f t="shared" si="195"/>
        <v>1000000</v>
      </c>
      <c r="AK383" s="7">
        <f t="shared" si="195"/>
        <v>1000000</v>
      </c>
      <c r="AL383" s="7">
        <f t="shared" si="195"/>
        <v>1000000</v>
      </c>
      <c r="AM383" s="7">
        <f t="shared" si="195"/>
        <v>1000000</v>
      </c>
    </row>
    <row r="384" spans="1:39" x14ac:dyDescent="0.2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3:39" x14ac:dyDescent="0.2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3:39" x14ac:dyDescent="0.2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3:39" x14ac:dyDescent="0.2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3:39" x14ac:dyDescent="0.2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3:39" x14ac:dyDescent="0.2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3:39" x14ac:dyDescent="0.2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3:39" x14ac:dyDescent="0.2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3:39" x14ac:dyDescent="0.2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3:39" x14ac:dyDescent="0.2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3:39" x14ac:dyDescent="0.2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3:39" x14ac:dyDescent="0.2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3:39" x14ac:dyDescent="0.2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3:39" x14ac:dyDescent="0.2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3:39" x14ac:dyDescent="0.2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3:39" x14ac:dyDescent="0.2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3:39" x14ac:dyDescent="0.2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3:39" x14ac:dyDescent="0.2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3:39" x14ac:dyDescent="0.2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3:39" x14ac:dyDescent="0.2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3:39" x14ac:dyDescent="0.2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3:39" x14ac:dyDescent="0.2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3:39" x14ac:dyDescent="0.2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3:39" x14ac:dyDescent="0.2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3:39" x14ac:dyDescent="0.2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3:39" x14ac:dyDescent="0.2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3:39" x14ac:dyDescent="0.2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3:39" x14ac:dyDescent="0.2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3:39" x14ac:dyDescent="0.2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3:39" x14ac:dyDescent="0.2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3:39" x14ac:dyDescent="0.2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3:39" x14ac:dyDescent="0.2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3:39" x14ac:dyDescent="0.2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3:39" x14ac:dyDescent="0.2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3:39" x14ac:dyDescent="0.2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3:39" x14ac:dyDescent="0.2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3:39" x14ac:dyDescent="0.2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3:39" x14ac:dyDescent="0.2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3:39" x14ac:dyDescent="0.2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3:39" x14ac:dyDescent="0.2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3:39" x14ac:dyDescent="0.2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3:39" x14ac:dyDescent="0.2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3:39" x14ac:dyDescent="0.2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3:39" x14ac:dyDescent="0.2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3:39" x14ac:dyDescent="0.2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3:39" x14ac:dyDescent="0.2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3:39" x14ac:dyDescent="0.2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3:39" x14ac:dyDescent="0.2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3:39" x14ac:dyDescent="0.2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3:39" x14ac:dyDescent="0.2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3:39" x14ac:dyDescent="0.2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3:39" x14ac:dyDescent="0.2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3:39" x14ac:dyDescent="0.2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3:39" x14ac:dyDescent="0.2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3:39" x14ac:dyDescent="0.2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3:39" x14ac:dyDescent="0.2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3:39" x14ac:dyDescent="0.2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3:39" x14ac:dyDescent="0.2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3:39" x14ac:dyDescent="0.2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3:39" x14ac:dyDescent="0.2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3:39" x14ac:dyDescent="0.2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3:39" x14ac:dyDescent="0.2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3:39" x14ac:dyDescent="0.2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3:39" x14ac:dyDescent="0.2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3:39" x14ac:dyDescent="0.2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3:39" x14ac:dyDescent="0.2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3:39" x14ac:dyDescent="0.2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3:39" x14ac:dyDescent="0.2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3:39" x14ac:dyDescent="0.2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3:39" x14ac:dyDescent="0.2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3:39" x14ac:dyDescent="0.2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3:39" x14ac:dyDescent="0.2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3:39" x14ac:dyDescent="0.2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3:39" x14ac:dyDescent="0.2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3:39" x14ac:dyDescent="0.2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3:39" x14ac:dyDescent="0.2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3:39" x14ac:dyDescent="0.2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3:39" x14ac:dyDescent="0.2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3:39" x14ac:dyDescent="0.2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3:39" x14ac:dyDescent="0.2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3:39" x14ac:dyDescent="0.2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3:39" x14ac:dyDescent="0.2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3:39" x14ac:dyDescent="0.2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3:39" x14ac:dyDescent="0.2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3:39" x14ac:dyDescent="0.2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3:39" x14ac:dyDescent="0.2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3:39" x14ac:dyDescent="0.2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3:39" x14ac:dyDescent="0.2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3:39" x14ac:dyDescent="0.2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3:39" x14ac:dyDescent="0.2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3:39" x14ac:dyDescent="0.2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3:39" x14ac:dyDescent="0.2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3:39" x14ac:dyDescent="0.2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3:39" x14ac:dyDescent="0.2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3:39" x14ac:dyDescent="0.2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3:39" x14ac:dyDescent="0.2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3:39" x14ac:dyDescent="0.2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3:39" x14ac:dyDescent="0.2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3:39" x14ac:dyDescent="0.2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3:39" x14ac:dyDescent="0.2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3:39" x14ac:dyDescent="0.2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3:39" x14ac:dyDescent="0.2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3:39" x14ac:dyDescent="0.2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3:39" x14ac:dyDescent="0.2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3:39" x14ac:dyDescent="0.2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3:39" x14ac:dyDescent="0.2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3:39" x14ac:dyDescent="0.2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3:39" x14ac:dyDescent="0.2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3:39" x14ac:dyDescent="0.2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3:39" x14ac:dyDescent="0.2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3:39" x14ac:dyDescent="0.2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3:39" x14ac:dyDescent="0.2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3:39" x14ac:dyDescent="0.2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3:39" x14ac:dyDescent="0.2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3:39" x14ac:dyDescent="0.2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3:39" x14ac:dyDescent="0.2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3:39" x14ac:dyDescent="0.2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3:39" x14ac:dyDescent="0.2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3:39" x14ac:dyDescent="0.2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3:39" x14ac:dyDescent="0.2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3:39" x14ac:dyDescent="0.2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3:39" x14ac:dyDescent="0.2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3:39" x14ac:dyDescent="0.2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3:39" x14ac:dyDescent="0.2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3:39" x14ac:dyDescent="0.2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3:39" x14ac:dyDescent="0.2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3:39" x14ac:dyDescent="0.2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3:39" x14ac:dyDescent="0.2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3:39" x14ac:dyDescent="0.2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3:39" x14ac:dyDescent="0.2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3:39" x14ac:dyDescent="0.2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3:39" x14ac:dyDescent="0.2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3:39" x14ac:dyDescent="0.2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3:39" x14ac:dyDescent="0.2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3:39" x14ac:dyDescent="0.2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3:39" x14ac:dyDescent="0.2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3:39" x14ac:dyDescent="0.2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3:39" x14ac:dyDescent="0.2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3:39" x14ac:dyDescent="0.2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3:39" x14ac:dyDescent="0.2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3:39" x14ac:dyDescent="0.2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3:39" x14ac:dyDescent="0.2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Inputs</vt:lpstr>
      <vt:lpstr>Output</vt:lpstr>
      <vt:lpstr>RetNorm_Engine</vt:lpstr>
      <vt:lpstr>RetEarly_Engine</vt:lpstr>
      <vt:lpstr>A1inc</vt:lpstr>
      <vt:lpstr>A2inc</vt:lpstr>
      <vt:lpstr>A3inc</vt:lpstr>
      <vt:lpstr>A4inc</vt:lpstr>
      <vt:lpstr>A5inc</vt:lpstr>
      <vt:lpstr>AssVar</vt:lpstr>
      <vt:lpstr>buffer</vt:lpstr>
      <vt:lpstr>DCoth</vt:lpstr>
      <vt:lpstr>DCprop</vt:lpstr>
      <vt:lpstr>EndAge</vt:lpstr>
      <vt:lpstr>inf</vt:lpstr>
      <vt:lpstr>legacy</vt:lpstr>
      <vt:lpstr>MthOff</vt:lpstr>
      <vt:lpstr>MthRem</vt:lpstr>
      <vt:lpstr>princ</vt:lpstr>
      <vt:lpstr>ProRate</vt:lpstr>
      <vt:lpstr>RetAge</vt:lpstr>
      <vt:lpstr>rinc</vt:lpstr>
      <vt:lpstr>sincr</vt:lpstr>
      <vt:lpstr>stinc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Bonnici</dc:creator>
  <cp:lastModifiedBy>Kenneth Bonnici</cp:lastModifiedBy>
  <dcterms:created xsi:type="dcterms:W3CDTF">2026-01-26T20:28:02Z</dcterms:created>
  <dcterms:modified xsi:type="dcterms:W3CDTF">2026-03-30T10:16:51Z</dcterms:modified>
</cp:coreProperties>
</file>