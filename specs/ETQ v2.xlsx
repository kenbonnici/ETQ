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kennethbonnici/Projects/ETQ/specs/"/>
    </mc:Choice>
  </mc:AlternateContent>
  <xr:revisionPtr revIDLastSave="0" documentId="13_ncr:1_{F64EC566-1F3D-A340-97AB-8CE3E784DA1E}" xr6:coauthVersionLast="47" xr6:coauthVersionMax="47" xr10:uidLastSave="{00000000-0000-0000-0000-000000000000}"/>
  <bookViews>
    <workbookView xWindow="38400" yWindow="600" windowWidth="38400" windowHeight="21000" activeTab="2" xr2:uid="{66CD462A-5593-B541-B64D-6AAD48C341ED}"/>
  </bookViews>
  <sheets>
    <sheet name="Inputs" sheetId="3" r:id="rId1"/>
    <sheet name="Output" sheetId="6" r:id="rId2"/>
    <sheet name="RetNorm_Engine" sheetId="4" r:id="rId3"/>
    <sheet name="RetEarly_Engine" sheetId="8" r:id="rId4"/>
  </sheets>
  <definedNames>
    <definedName name="AgeRange">RetNorm_Engine!$C$3:INDEX(RetNorm_Engine!$C$3:$XFD$3, COUNTA(RetNorm_Engine!$C$3:$XFD$3))</definedName>
    <definedName name="buffer">Inputs!$B$159</definedName>
    <definedName name="ChartCash_Early" localSheetId="3">RetEarly_Engine!$C$201:INDEX(RetEarly_Engine!$C$201:$XFD$201, COUNTA(RetEarly_Engine!$C$201:$XFD$201))</definedName>
    <definedName name="ChartCash_Norm">RetNorm_Engine!$C$201:INDEX(RetNorm_Engine!$C$201:$XFD$201, COUNTA(RetNorm_Engine!$C$201:$XFD$201))</definedName>
    <definedName name="ChartNW_Early" localSheetId="3">RetEarly_Engine!$C$202:INDEX(RetEarly_Engine!$C$202:$XFD$202, COUNTA(RetEarly_Engine!$C$202:$XFD$202))</definedName>
    <definedName name="ChartNW_Norm">RetNorm_Engine!$C$202:INDEX(RetNorm_Engine!$C$202:$XFD$202, COUNTA(RetNorm_Engine!$C$202:$XFD$202))</definedName>
    <definedName name="EndAge">Inputs!$B$134</definedName>
    <definedName name="inf">Inputs!$B$145</definedName>
    <definedName name="princ">Inputs!$B$147</definedName>
    <definedName name="RetAge">Inputs!$B$19</definedName>
    <definedName name="rinc">Inputs!$B$155</definedName>
    <definedName name="sincr">Inputs!$B$153</definedName>
    <definedName name="stinc">Inputs!$B$151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123" i="8" l="1"/>
  <c r="AM120" i="8"/>
  <c r="AM103" i="8"/>
  <c r="AM106" i="8" s="1"/>
  <c r="AM86" i="8"/>
  <c r="J65" i="8"/>
  <c r="J171" i="8" s="1"/>
  <c r="I65" i="8"/>
  <c r="I171" i="8" s="1"/>
  <c r="I64" i="8"/>
  <c r="R59" i="8"/>
  <c r="S59" i="8" s="1"/>
  <c r="T59" i="8" s="1"/>
  <c r="U59" i="8" s="1"/>
  <c r="V59" i="8" s="1"/>
  <c r="W59" i="8" s="1"/>
  <c r="X59" i="8" s="1"/>
  <c r="Y59" i="8" s="1"/>
  <c r="Z59" i="8" s="1"/>
  <c r="AA59" i="8" s="1"/>
  <c r="AB59" i="8" s="1"/>
  <c r="AC59" i="8" s="1"/>
  <c r="AD59" i="8" s="1"/>
  <c r="AE59" i="8" s="1"/>
  <c r="AF59" i="8" s="1"/>
  <c r="AG59" i="8" s="1"/>
  <c r="AH59" i="8" s="1"/>
  <c r="AI59" i="8" s="1"/>
  <c r="AJ59" i="8" s="1"/>
  <c r="AK59" i="8" s="1"/>
  <c r="AL59" i="8" s="1"/>
  <c r="AM59" i="8" s="1"/>
  <c r="I59" i="8"/>
  <c r="J59" i="8" s="1"/>
  <c r="K59" i="8" s="1"/>
  <c r="L59" i="8" s="1"/>
  <c r="M59" i="8" s="1"/>
  <c r="N59" i="8" s="1"/>
  <c r="O59" i="8" s="1"/>
  <c r="P59" i="8" s="1"/>
  <c r="Q59" i="8" s="1"/>
  <c r="J58" i="8"/>
  <c r="K58" i="8" s="1"/>
  <c r="L58" i="8" s="1"/>
  <c r="M58" i="8" s="1"/>
  <c r="N58" i="8" s="1"/>
  <c r="O58" i="8" s="1"/>
  <c r="P58" i="8" s="1"/>
  <c r="Q58" i="8" s="1"/>
  <c r="R58" i="8" s="1"/>
  <c r="S58" i="8" s="1"/>
  <c r="T58" i="8" s="1"/>
  <c r="U58" i="8" s="1"/>
  <c r="V58" i="8" s="1"/>
  <c r="W58" i="8" s="1"/>
  <c r="X58" i="8" s="1"/>
  <c r="Y58" i="8" s="1"/>
  <c r="Z58" i="8" s="1"/>
  <c r="AA58" i="8" s="1"/>
  <c r="AB58" i="8" s="1"/>
  <c r="AC58" i="8" s="1"/>
  <c r="AD58" i="8" s="1"/>
  <c r="AE58" i="8" s="1"/>
  <c r="AF58" i="8" s="1"/>
  <c r="AG58" i="8" s="1"/>
  <c r="AH58" i="8" s="1"/>
  <c r="AI58" i="8" s="1"/>
  <c r="AJ58" i="8" s="1"/>
  <c r="AK58" i="8" s="1"/>
  <c r="AL58" i="8" s="1"/>
  <c r="AM58" i="8" s="1"/>
  <c r="I58" i="8"/>
  <c r="I57" i="8"/>
  <c r="J57" i="8" s="1"/>
  <c r="K57" i="8" s="1"/>
  <c r="L57" i="8" s="1"/>
  <c r="M57" i="8" s="1"/>
  <c r="N57" i="8" s="1"/>
  <c r="O57" i="8" s="1"/>
  <c r="P57" i="8" s="1"/>
  <c r="Q57" i="8" s="1"/>
  <c r="R57" i="8" s="1"/>
  <c r="S57" i="8" s="1"/>
  <c r="T57" i="8" s="1"/>
  <c r="U57" i="8" s="1"/>
  <c r="V57" i="8" s="1"/>
  <c r="W57" i="8" s="1"/>
  <c r="X57" i="8" s="1"/>
  <c r="Y57" i="8" s="1"/>
  <c r="Z57" i="8" s="1"/>
  <c r="AA57" i="8" s="1"/>
  <c r="AB57" i="8" s="1"/>
  <c r="AC57" i="8" s="1"/>
  <c r="AD57" i="8" s="1"/>
  <c r="AE57" i="8" s="1"/>
  <c r="AF57" i="8" s="1"/>
  <c r="AG57" i="8" s="1"/>
  <c r="AH57" i="8" s="1"/>
  <c r="AI57" i="8" s="1"/>
  <c r="AJ57" i="8" s="1"/>
  <c r="AK57" i="8" s="1"/>
  <c r="AL57" i="8" s="1"/>
  <c r="AM57" i="8" s="1"/>
  <c r="K56" i="8"/>
  <c r="L56" i="8" s="1"/>
  <c r="M56" i="8" s="1"/>
  <c r="N56" i="8" s="1"/>
  <c r="O56" i="8" s="1"/>
  <c r="P56" i="8" s="1"/>
  <c r="Q56" i="8" s="1"/>
  <c r="R56" i="8" s="1"/>
  <c r="S56" i="8" s="1"/>
  <c r="T56" i="8" s="1"/>
  <c r="U56" i="8" s="1"/>
  <c r="V56" i="8" s="1"/>
  <c r="W56" i="8" s="1"/>
  <c r="X56" i="8" s="1"/>
  <c r="Y56" i="8" s="1"/>
  <c r="Z56" i="8" s="1"/>
  <c r="AA56" i="8" s="1"/>
  <c r="AB56" i="8" s="1"/>
  <c r="AC56" i="8" s="1"/>
  <c r="AD56" i="8" s="1"/>
  <c r="AE56" i="8" s="1"/>
  <c r="AF56" i="8" s="1"/>
  <c r="AG56" i="8" s="1"/>
  <c r="AH56" i="8" s="1"/>
  <c r="AI56" i="8" s="1"/>
  <c r="AJ56" i="8" s="1"/>
  <c r="AK56" i="8" s="1"/>
  <c r="AL56" i="8" s="1"/>
  <c r="AM56" i="8" s="1"/>
  <c r="J56" i="8"/>
  <c r="I56" i="8"/>
  <c r="I54" i="8"/>
  <c r="J38" i="8"/>
  <c r="I38" i="8"/>
  <c r="I36" i="8"/>
  <c r="K35" i="8"/>
  <c r="J35" i="8"/>
  <c r="I35" i="8"/>
  <c r="K34" i="8"/>
  <c r="J34" i="8"/>
  <c r="I34" i="8"/>
  <c r="J32" i="8"/>
  <c r="I32" i="8"/>
  <c r="I31" i="8"/>
  <c r="J29" i="8"/>
  <c r="I29" i="8"/>
  <c r="J27" i="8"/>
  <c r="I27" i="8"/>
  <c r="J26" i="8"/>
  <c r="I26" i="8"/>
  <c r="I25" i="8"/>
  <c r="I24" i="8"/>
  <c r="J22" i="8"/>
  <c r="I22" i="8"/>
  <c r="I10" i="8"/>
  <c r="J10" i="8" s="1"/>
  <c r="K10" i="8" s="1"/>
  <c r="L10" i="8" s="1"/>
  <c r="M10" i="8" s="1"/>
  <c r="N10" i="8" s="1"/>
  <c r="O10" i="8" s="1"/>
  <c r="P10" i="8" s="1"/>
  <c r="Q10" i="8" s="1"/>
  <c r="R10" i="8" s="1"/>
  <c r="S10" i="8" s="1"/>
  <c r="T10" i="8" s="1"/>
  <c r="U10" i="8" s="1"/>
  <c r="V10" i="8" s="1"/>
  <c r="W10" i="8" s="1"/>
  <c r="X10" i="8" s="1"/>
  <c r="Y10" i="8" s="1"/>
  <c r="Z10" i="8" s="1"/>
  <c r="AA10" i="8" s="1"/>
  <c r="AB10" i="8" s="1"/>
  <c r="AC10" i="8" s="1"/>
  <c r="AD10" i="8" s="1"/>
  <c r="AE10" i="8" s="1"/>
  <c r="AF10" i="8" s="1"/>
  <c r="AG10" i="8" s="1"/>
  <c r="AH10" i="8" s="1"/>
  <c r="AI10" i="8" s="1"/>
  <c r="AJ10" i="8" s="1"/>
  <c r="AK10" i="8" s="1"/>
  <c r="AL10" i="8" s="1"/>
  <c r="AM10" i="8" s="1"/>
  <c r="I9" i="8"/>
  <c r="J9" i="8" s="1"/>
  <c r="K9" i="8" s="1"/>
  <c r="L9" i="8" s="1"/>
  <c r="M9" i="8" s="1"/>
  <c r="N9" i="8" s="1"/>
  <c r="O9" i="8" s="1"/>
  <c r="P9" i="8" s="1"/>
  <c r="Q9" i="8" s="1"/>
  <c r="R9" i="8" s="1"/>
  <c r="S9" i="8" s="1"/>
  <c r="T9" i="8" s="1"/>
  <c r="U9" i="8" s="1"/>
  <c r="V9" i="8" s="1"/>
  <c r="W9" i="8" s="1"/>
  <c r="X9" i="8" s="1"/>
  <c r="Y9" i="8" s="1"/>
  <c r="Z9" i="8" s="1"/>
  <c r="AA9" i="8" s="1"/>
  <c r="AB9" i="8" s="1"/>
  <c r="AC9" i="8" s="1"/>
  <c r="AD9" i="8" s="1"/>
  <c r="AE9" i="8" s="1"/>
  <c r="AF9" i="8" s="1"/>
  <c r="AG9" i="8" s="1"/>
  <c r="AH9" i="8" s="1"/>
  <c r="AI9" i="8" s="1"/>
  <c r="AJ9" i="8" s="1"/>
  <c r="AK9" i="8" s="1"/>
  <c r="AL9" i="8" s="1"/>
  <c r="AM9" i="8" s="1"/>
  <c r="I8" i="8"/>
  <c r="J8" i="8" s="1"/>
  <c r="K8" i="8" s="1"/>
  <c r="L8" i="8" s="1"/>
  <c r="M8" i="8" s="1"/>
  <c r="N8" i="8" s="1"/>
  <c r="O8" i="8" s="1"/>
  <c r="P8" i="8" s="1"/>
  <c r="Q8" i="8" s="1"/>
  <c r="R8" i="8" s="1"/>
  <c r="S8" i="8" s="1"/>
  <c r="T8" i="8" s="1"/>
  <c r="U8" i="8" s="1"/>
  <c r="V8" i="8" s="1"/>
  <c r="W8" i="8" s="1"/>
  <c r="X8" i="8" s="1"/>
  <c r="Y8" i="8" s="1"/>
  <c r="Z8" i="8" s="1"/>
  <c r="AA8" i="8" s="1"/>
  <c r="AB8" i="8" s="1"/>
  <c r="AC8" i="8" s="1"/>
  <c r="AD8" i="8" s="1"/>
  <c r="AE8" i="8" s="1"/>
  <c r="AF8" i="8" s="1"/>
  <c r="AG8" i="8" s="1"/>
  <c r="AH8" i="8" s="1"/>
  <c r="AI8" i="8" s="1"/>
  <c r="AJ8" i="8" s="1"/>
  <c r="AK8" i="8" s="1"/>
  <c r="AL8" i="8" s="1"/>
  <c r="AM8" i="8" s="1"/>
  <c r="I3" i="8"/>
  <c r="I41" i="8" s="1"/>
  <c r="K1" i="8"/>
  <c r="K22" i="8" s="1"/>
  <c r="J1" i="8"/>
  <c r="I1" i="8"/>
  <c r="I60" i="8" s="1"/>
  <c r="I166" i="8" s="1"/>
  <c r="J160" i="4"/>
  <c r="AM120" i="4"/>
  <c r="AM103" i="4"/>
  <c r="AM86" i="4"/>
  <c r="J63" i="4"/>
  <c r="J60" i="4"/>
  <c r="J166" i="4" s="1"/>
  <c r="K59" i="4"/>
  <c r="L59" i="4" s="1"/>
  <c r="M59" i="4" s="1"/>
  <c r="N59" i="4" s="1"/>
  <c r="O59" i="4" s="1"/>
  <c r="P59" i="4" s="1"/>
  <c r="Q59" i="4" s="1"/>
  <c r="R59" i="4" s="1"/>
  <c r="S59" i="4" s="1"/>
  <c r="T59" i="4" s="1"/>
  <c r="U59" i="4" s="1"/>
  <c r="V59" i="4" s="1"/>
  <c r="W59" i="4" s="1"/>
  <c r="X59" i="4" s="1"/>
  <c r="Y59" i="4" s="1"/>
  <c r="Z59" i="4" s="1"/>
  <c r="AA59" i="4" s="1"/>
  <c r="AB59" i="4" s="1"/>
  <c r="AC59" i="4" s="1"/>
  <c r="AD59" i="4" s="1"/>
  <c r="AE59" i="4" s="1"/>
  <c r="AF59" i="4" s="1"/>
  <c r="AG59" i="4" s="1"/>
  <c r="AH59" i="4" s="1"/>
  <c r="AI59" i="4" s="1"/>
  <c r="AJ59" i="4" s="1"/>
  <c r="AK59" i="4" s="1"/>
  <c r="AL59" i="4" s="1"/>
  <c r="AM59" i="4" s="1"/>
  <c r="J59" i="4"/>
  <c r="N58" i="4"/>
  <c r="O58" i="4" s="1"/>
  <c r="P58" i="4" s="1"/>
  <c r="Q58" i="4" s="1"/>
  <c r="R58" i="4" s="1"/>
  <c r="S58" i="4" s="1"/>
  <c r="T58" i="4" s="1"/>
  <c r="U58" i="4" s="1"/>
  <c r="V58" i="4" s="1"/>
  <c r="W58" i="4" s="1"/>
  <c r="X58" i="4" s="1"/>
  <c r="Y58" i="4" s="1"/>
  <c r="Z58" i="4" s="1"/>
  <c r="AA58" i="4" s="1"/>
  <c r="AB58" i="4" s="1"/>
  <c r="AC58" i="4" s="1"/>
  <c r="AD58" i="4" s="1"/>
  <c r="AE58" i="4" s="1"/>
  <c r="AF58" i="4" s="1"/>
  <c r="AG58" i="4" s="1"/>
  <c r="AH58" i="4" s="1"/>
  <c r="AI58" i="4" s="1"/>
  <c r="AJ58" i="4" s="1"/>
  <c r="AK58" i="4" s="1"/>
  <c r="AL58" i="4" s="1"/>
  <c r="AM58" i="4" s="1"/>
  <c r="J58" i="4"/>
  <c r="K58" i="4" s="1"/>
  <c r="L58" i="4" s="1"/>
  <c r="M58" i="4" s="1"/>
  <c r="J57" i="4"/>
  <c r="K57" i="4" s="1"/>
  <c r="L57" i="4" s="1"/>
  <c r="M57" i="4" s="1"/>
  <c r="N57" i="4" s="1"/>
  <c r="O57" i="4" s="1"/>
  <c r="P57" i="4" s="1"/>
  <c r="Q57" i="4" s="1"/>
  <c r="R57" i="4" s="1"/>
  <c r="S57" i="4" s="1"/>
  <c r="T57" i="4" s="1"/>
  <c r="U57" i="4" s="1"/>
  <c r="V57" i="4" s="1"/>
  <c r="W57" i="4" s="1"/>
  <c r="X57" i="4" s="1"/>
  <c r="Y57" i="4" s="1"/>
  <c r="Z57" i="4" s="1"/>
  <c r="AA57" i="4" s="1"/>
  <c r="AB57" i="4" s="1"/>
  <c r="AC57" i="4" s="1"/>
  <c r="AD57" i="4" s="1"/>
  <c r="AE57" i="4" s="1"/>
  <c r="AF57" i="4" s="1"/>
  <c r="AG57" i="4" s="1"/>
  <c r="AH57" i="4" s="1"/>
  <c r="AI57" i="4" s="1"/>
  <c r="AJ57" i="4" s="1"/>
  <c r="AK57" i="4" s="1"/>
  <c r="AL57" i="4" s="1"/>
  <c r="AM57" i="4" s="1"/>
  <c r="J56" i="4"/>
  <c r="K56" i="4" s="1"/>
  <c r="L56" i="4" s="1"/>
  <c r="M56" i="4" s="1"/>
  <c r="N56" i="4" s="1"/>
  <c r="O56" i="4" s="1"/>
  <c r="P56" i="4" s="1"/>
  <c r="Q56" i="4" s="1"/>
  <c r="R56" i="4" s="1"/>
  <c r="S56" i="4" s="1"/>
  <c r="T56" i="4" s="1"/>
  <c r="U56" i="4" s="1"/>
  <c r="V56" i="4" s="1"/>
  <c r="W56" i="4" s="1"/>
  <c r="X56" i="4" s="1"/>
  <c r="Y56" i="4" s="1"/>
  <c r="Z56" i="4" s="1"/>
  <c r="AA56" i="4" s="1"/>
  <c r="AB56" i="4" s="1"/>
  <c r="AC56" i="4" s="1"/>
  <c r="AD56" i="4" s="1"/>
  <c r="AE56" i="4" s="1"/>
  <c r="AF56" i="4" s="1"/>
  <c r="AG56" i="4" s="1"/>
  <c r="AH56" i="4" s="1"/>
  <c r="AI56" i="4" s="1"/>
  <c r="AJ56" i="4" s="1"/>
  <c r="AK56" i="4" s="1"/>
  <c r="AL56" i="4" s="1"/>
  <c r="AM56" i="4" s="1"/>
  <c r="K54" i="4"/>
  <c r="J54" i="4"/>
  <c r="J39" i="4"/>
  <c r="J38" i="4"/>
  <c r="K36" i="4"/>
  <c r="J36" i="4"/>
  <c r="J35" i="4"/>
  <c r="J34" i="4"/>
  <c r="K32" i="4"/>
  <c r="J32" i="4"/>
  <c r="J27" i="4"/>
  <c r="J26" i="4"/>
  <c r="J24" i="4"/>
  <c r="J22" i="4"/>
  <c r="J13" i="4"/>
  <c r="J11" i="4"/>
  <c r="J12" i="4" s="1"/>
  <c r="J10" i="4"/>
  <c r="K10" i="4" s="1"/>
  <c r="L10" i="4" s="1"/>
  <c r="M10" i="4" s="1"/>
  <c r="N10" i="4" s="1"/>
  <c r="O10" i="4" s="1"/>
  <c r="P10" i="4" s="1"/>
  <c r="Q10" i="4" s="1"/>
  <c r="R10" i="4" s="1"/>
  <c r="S10" i="4" s="1"/>
  <c r="T10" i="4" s="1"/>
  <c r="U10" i="4" s="1"/>
  <c r="V10" i="4" s="1"/>
  <c r="W10" i="4" s="1"/>
  <c r="X10" i="4" s="1"/>
  <c r="Y10" i="4" s="1"/>
  <c r="Z10" i="4" s="1"/>
  <c r="AA10" i="4" s="1"/>
  <c r="AB10" i="4" s="1"/>
  <c r="AC10" i="4" s="1"/>
  <c r="AD10" i="4" s="1"/>
  <c r="AE10" i="4" s="1"/>
  <c r="AF10" i="4" s="1"/>
  <c r="AG10" i="4" s="1"/>
  <c r="AH10" i="4" s="1"/>
  <c r="AI10" i="4" s="1"/>
  <c r="AJ10" i="4" s="1"/>
  <c r="AK10" i="4" s="1"/>
  <c r="AL10" i="4" s="1"/>
  <c r="AM10" i="4" s="1"/>
  <c r="J9" i="4"/>
  <c r="K9" i="4" s="1"/>
  <c r="L9" i="4" s="1"/>
  <c r="M9" i="4" s="1"/>
  <c r="N9" i="4" s="1"/>
  <c r="O9" i="4" s="1"/>
  <c r="P9" i="4" s="1"/>
  <c r="Q9" i="4" s="1"/>
  <c r="R9" i="4" s="1"/>
  <c r="S9" i="4" s="1"/>
  <c r="T9" i="4" s="1"/>
  <c r="U9" i="4" s="1"/>
  <c r="V9" i="4" s="1"/>
  <c r="W9" i="4" s="1"/>
  <c r="X9" i="4" s="1"/>
  <c r="Y9" i="4" s="1"/>
  <c r="Z9" i="4" s="1"/>
  <c r="AA9" i="4" s="1"/>
  <c r="AB9" i="4" s="1"/>
  <c r="AC9" i="4" s="1"/>
  <c r="AD9" i="4" s="1"/>
  <c r="AE9" i="4" s="1"/>
  <c r="AF9" i="4" s="1"/>
  <c r="AG9" i="4" s="1"/>
  <c r="AH9" i="4" s="1"/>
  <c r="AI9" i="4" s="1"/>
  <c r="AJ9" i="4" s="1"/>
  <c r="AK9" i="4" s="1"/>
  <c r="AL9" i="4" s="1"/>
  <c r="AM9" i="4" s="1"/>
  <c r="J8" i="4"/>
  <c r="K8" i="4" s="1"/>
  <c r="L8" i="4" s="1"/>
  <c r="M8" i="4" s="1"/>
  <c r="N8" i="4" s="1"/>
  <c r="O8" i="4" s="1"/>
  <c r="P8" i="4" s="1"/>
  <c r="Q8" i="4" s="1"/>
  <c r="R8" i="4" s="1"/>
  <c r="S8" i="4" s="1"/>
  <c r="T8" i="4" s="1"/>
  <c r="U8" i="4" s="1"/>
  <c r="V8" i="4" s="1"/>
  <c r="W8" i="4" s="1"/>
  <c r="X8" i="4" s="1"/>
  <c r="Y8" i="4" s="1"/>
  <c r="Z8" i="4" s="1"/>
  <c r="AA8" i="4" s="1"/>
  <c r="AB8" i="4" s="1"/>
  <c r="AC8" i="4" s="1"/>
  <c r="AD8" i="4" s="1"/>
  <c r="AE8" i="4" s="1"/>
  <c r="AF8" i="4" s="1"/>
  <c r="AG8" i="4" s="1"/>
  <c r="AH8" i="4" s="1"/>
  <c r="AI8" i="4" s="1"/>
  <c r="AJ8" i="4" s="1"/>
  <c r="AK8" i="4" s="1"/>
  <c r="AL8" i="4" s="1"/>
  <c r="AM8" i="4" s="1"/>
  <c r="J6" i="4"/>
  <c r="K3" i="4"/>
  <c r="J3" i="4"/>
  <c r="J1" i="4"/>
  <c r="A171" i="8"/>
  <c r="A167" i="8"/>
  <c r="A166" i="8"/>
  <c r="A165" i="8"/>
  <c r="A161" i="8"/>
  <c r="A160" i="8"/>
  <c r="A159" i="8"/>
  <c r="C65" i="8"/>
  <c r="C171" i="8" s="1"/>
  <c r="C64" i="8"/>
  <c r="A64" i="8"/>
  <c r="A170" i="8" s="1"/>
  <c r="C63" i="8"/>
  <c r="A63" i="8"/>
  <c r="A169" i="8" s="1"/>
  <c r="C62" i="8"/>
  <c r="A62" i="8"/>
  <c r="A168" i="8" s="1"/>
  <c r="C60" i="8"/>
  <c r="C166" i="8" s="1"/>
  <c r="C59" i="8"/>
  <c r="C58" i="8"/>
  <c r="D58" i="8" s="1"/>
  <c r="E58" i="8" s="1"/>
  <c r="F58" i="8" s="1"/>
  <c r="G58" i="8" s="1"/>
  <c r="H58" i="8" s="1"/>
  <c r="A58" i="8"/>
  <c r="C57" i="8"/>
  <c r="D57" i="8" s="1"/>
  <c r="E57" i="8" s="1"/>
  <c r="F57" i="8" s="1"/>
  <c r="G57" i="8" s="1"/>
  <c r="H57" i="8" s="1"/>
  <c r="A57" i="8"/>
  <c r="C56" i="8"/>
  <c r="D56" i="8" s="1"/>
  <c r="E56" i="8" s="1"/>
  <c r="F56" i="8" s="1"/>
  <c r="G56" i="8" s="1"/>
  <c r="H56" i="8" s="1"/>
  <c r="A56" i="8"/>
  <c r="C54" i="8"/>
  <c r="C160" i="8" s="1"/>
  <c r="C49" i="8"/>
  <c r="A45" i="8"/>
  <c r="A44" i="8"/>
  <c r="A43" i="8"/>
  <c r="A41" i="8"/>
  <c r="A40" i="8"/>
  <c r="A39" i="8"/>
  <c r="D38" i="8"/>
  <c r="C38" i="8"/>
  <c r="D36" i="8"/>
  <c r="C36" i="8"/>
  <c r="A36" i="8"/>
  <c r="D35" i="8"/>
  <c r="C35" i="8"/>
  <c r="A35" i="8"/>
  <c r="D34" i="8"/>
  <c r="C34" i="8"/>
  <c r="A34" i="8"/>
  <c r="D32" i="8"/>
  <c r="C32" i="8"/>
  <c r="C31" i="8"/>
  <c r="A31" i="8"/>
  <c r="C30" i="8"/>
  <c r="A30" i="8"/>
  <c r="C29" i="8"/>
  <c r="A29" i="8"/>
  <c r="A26" i="8"/>
  <c r="A25" i="8"/>
  <c r="A24" i="8"/>
  <c r="C21" i="8"/>
  <c r="A17" i="8"/>
  <c r="A16" i="8"/>
  <c r="A15" i="8"/>
  <c r="C10" i="8"/>
  <c r="D10" i="8" s="1"/>
  <c r="E10" i="8" s="1"/>
  <c r="F10" i="8" s="1"/>
  <c r="G10" i="8" s="1"/>
  <c r="H10" i="8" s="1"/>
  <c r="A10" i="8"/>
  <c r="C9" i="8"/>
  <c r="D9" i="8" s="1"/>
  <c r="E9" i="8" s="1"/>
  <c r="F9" i="8" s="1"/>
  <c r="G9" i="8" s="1"/>
  <c r="H9" i="8" s="1"/>
  <c r="A9" i="8"/>
  <c r="C8" i="8"/>
  <c r="D8" i="8" s="1"/>
  <c r="E8" i="8" s="1"/>
  <c r="F8" i="8" s="1"/>
  <c r="G8" i="8" s="1"/>
  <c r="H8" i="8" s="1"/>
  <c r="A8" i="8"/>
  <c r="I196" i="8" l="1"/>
  <c r="I39" i="8"/>
  <c r="I40" i="8"/>
  <c r="I6" i="8"/>
  <c r="J3" i="8"/>
  <c r="I13" i="8"/>
  <c r="I5" i="8"/>
  <c r="K63" i="8"/>
  <c r="K30" i="8"/>
  <c r="K62" i="8"/>
  <c r="L36" i="8"/>
  <c r="K65" i="8"/>
  <c r="K171" i="8" s="1"/>
  <c r="K64" i="8"/>
  <c r="L34" i="8"/>
  <c r="K27" i="8"/>
  <c r="L35" i="8"/>
  <c r="K26" i="8"/>
  <c r="K31" i="8"/>
  <c r="L1" i="8"/>
  <c r="K25" i="8"/>
  <c r="L32" i="8"/>
  <c r="K60" i="8"/>
  <c r="K166" i="8" s="1"/>
  <c r="L38" i="8"/>
  <c r="K29" i="8"/>
  <c r="K24" i="8"/>
  <c r="I11" i="8"/>
  <c r="I12" i="8" s="1"/>
  <c r="I160" i="8"/>
  <c r="J54" i="8"/>
  <c r="J62" i="8"/>
  <c r="K36" i="8"/>
  <c r="J60" i="8"/>
  <c r="J166" i="8" s="1"/>
  <c r="J24" i="8"/>
  <c r="J63" i="8"/>
  <c r="J30" i="8"/>
  <c r="J25" i="8"/>
  <c r="J31" i="8"/>
  <c r="K32" i="8"/>
  <c r="K38" i="8"/>
  <c r="J64" i="8"/>
  <c r="AM89" i="8"/>
  <c r="I30" i="8"/>
  <c r="J36" i="8"/>
  <c r="I63" i="8"/>
  <c r="I62" i="8"/>
  <c r="K196" i="4"/>
  <c r="K40" i="4"/>
  <c r="K5" i="4"/>
  <c r="K41" i="4"/>
  <c r="L3" i="4"/>
  <c r="K11" i="4"/>
  <c r="K12" i="4" s="1"/>
  <c r="K6" i="4"/>
  <c r="K39" i="4"/>
  <c r="K13" i="4"/>
  <c r="J196" i="4"/>
  <c r="J5" i="4"/>
  <c r="J40" i="4"/>
  <c r="J41" i="4"/>
  <c r="J62" i="4"/>
  <c r="J64" i="4"/>
  <c r="K34" i="4"/>
  <c r="J30" i="4"/>
  <c r="J65" i="4"/>
  <c r="J171" i="4" s="1"/>
  <c r="K38" i="4"/>
  <c r="K1" i="4"/>
  <c r="AM89" i="4"/>
  <c r="K35" i="4"/>
  <c r="J25" i="4"/>
  <c r="J29" i="4"/>
  <c r="L54" i="4"/>
  <c r="K160" i="4"/>
  <c r="J31" i="4"/>
  <c r="AM123" i="4"/>
  <c r="AM106" i="4"/>
  <c r="D54" i="8"/>
  <c r="A162" i="8"/>
  <c r="A144" i="8"/>
  <c r="A154" i="8"/>
  <c r="A191" i="8"/>
  <c r="A192" i="8"/>
  <c r="A145" i="8"/>
  <c r="A163" i="8"/>
  <c r="A155" i="8"/>
  <c r="A193" i="8"/>
  <c r="A156" i="8"/>
  <c r="A146" i="8"/>
  <c r="A164" i="8"/>
  <c r="D59" i="8"/>
  <c r="E59" i="8" s="1"/>
  <c r="F59" i="8" s="1"/>
  <c r="G59" i="8" s="1"/>
  <c r="H59" i="8" s="1"/>
  <c r="C74" i="8"/>
  <c r="J196" i="8" l="1"/>
  <c r="J40" i="8"/>
  <c r="J6" i="8"/>
  <c r="J41" i="8"/>
  <c r="J11" i="8"/>
  <c r="J12" i="8" s="1"/>
  <c r="K3" i="8"/>
  <c r="J39" i="8"/>
  <c r="J13" i="8"/>
  <c r="J5" i="8"/>
  <c r="L65" i="8"/>
  <c r="L171" i="8" s="1"/>
  <c r="L62" i="8"/>
  <c r="M36" i="8"/>
  <c r="L64" i="8"/>
  <c r="M34" i="8"/>
  <c r="L27" i="8"/>
  <c r="L63" i="8"/>
  <c r="L60" i="8"/>
  <c r="L166" i="8" s="1"/>
  <c r="L25" i="8"/>
  <c r="M32" i="8"/>
  <c r="L31" i="8"/>
  <c r="M1" i="8"/>
  <c r="L24" i="8"/>
  <c r="L22" i="8"/>
  <c r="L30" i="8"/>
  <c r="L29" i="8"/>
  <c r="M38" i="8"/>
  <c r="M35" i="8"/>
  <c r="L26" i="8"/>
  <c r="J160" i="8"/>
  <c r="K54" i="8"/>
  <c r="L196" i="4"/>
  <c r="L41" i="4"/>
  <c r="L5" i="4"/>
  <c r="M3" i="4"/>
  <c r="L13" i="4"/>
  <c r="L40" i="4"/>
  <c r="L6" i="4"/>
  <c r="L39" i="4"/>
  <c r="L11" i="4"/>
  <c r="L12" i="4" s="1"/>
  <c r="M54" i="4"/>
  <c r="L160" i="4"/>
  <c r="K62" i="4"/>
  <c r="K65" i="4"/>
  <c r="K171" i="4" s="1"/>
  <c r="L38" i="4"/>
  <c r="K63" i="4"/>
  <c r="K60" i="4"/>
  <c r="K166" i="4" s="1"/>
  <c r="K31" i="4"/>
  <c r="K29" i="4"/>
  <c r="K26" i="4"/>
  <c r="K25" i="4"/>
  <c r="L35" i="4"/>
  <c r="L32" i="4"/>
  <c r="K30" i="4"/>
  <c r="L36" i="4"/>
  <c r="K24" i="4"/>
  <c r="L34" i="4"/>
  <c r="K22" i="4"/>
  <c r="K27" i="4"/>
  <c r="K64" i="4"/>
  <c r="L1" i="4"/>
  <c r="D160" i="8"/>
  <c r="E54" i="8"/>
  <c r="V3" i="6"/>
  <c r="B3" i="4"/>
  <c r="AA3" i="6"/>
  <c r="AA2" i="6"/>
  <c r="A87" i="3"/>
  <c r="A82" i="3"/>
  <c r="A77" i="3"/>
  <c r="K196" i="8" l="1"/>
  <c r="K40" i="8"/>
  <c r="K13" i="8"/>
  <c r="K6" i="8"/>
  <c r="K41" i="8"/>
  <c r="L3" i="8"/>
  <c r="K11" i="8"/>
  <c r="K12" i="8" s="1"/>
  <c r="K5" i="8"/>
  <c r="K39" i="8"/>
  <c r="M65" i="8"/>
  <c r="M171" i="8" s="1"/>
  <c r="M63" i="8"/>
  <c r="M64" i="8"/>
  <c r="N34" i="8"/>
  <c r="M27" i="8"/>
  <c r="M25" i="8"/>
  <c r="M29" i="8"/>
  <c r="M26" i="8"/>
  <c r="M62" i="8"/>
  <c r="M24" i="8"/>
  <c r="N32" i="8"/>
  <c r="N1" i="8"/>
  <c r="M60" i="8"/>
  <c r="M166" i="8" s="1"/>
  <c r="M31" i="8"/>
  <c r="N36" i="8"/>
  <c r="N35" i="8"/>
  <c r="M22" i="8"/>
  <c r="M30" i="8"/>
  <c r="N38" i="8"/>
  <c r="K160" i="8"/>
  <c r="L54" i="8"/>
  <c r="M160" i="4"/>
  <c r="N54" i="4"/>
  <c r="M196" i="4"/>
  <c r="M41" i="4"/>
  <c r="M5" i="4"/>
  <c r="M13" i="4"/>
  <c r="M11" i="4"/>
  <c r="M12" i="4" s="1"/>
  <c r="M6" i="4"/>
  <c r="M40" i="4"/>
  <c r="N3" i="4"/>
  <c r="L62" i="4"/>
  <c r="M36" i="4"/>
  <c r="M34" i="4"/>
  <c r="L65" i="4"/>
  <c r="L171" i="4" s="1"/>
  <c r="M38" i="4"/>
  <c r="M39" i="4" s="1"/>
  <c r="L63" i="4"/>
  <c r="L60" i="4"/>
  <c r="L166" i="4" s="1"/>
  <c r="M32" i="4"/>
  <c r="L29" i="4"/>
  <c r="L26" i="4"/>
  <c r="L24" i="4"/>
  <c r="L64" i="4"/>
  <c r="M35" i="4"/>
  <c r="L25" i="4"/>
  <c r="L22" i="4"/>
  <c r="L27" i="4"/>
  <c r="L30" i="4"/>
  <c r="L31" i="4"/>
  <c r="M1" i="4"/>
  <c r="E160" i="8"/>
  <c r="F54" i="8"/>
  <c r="C2" i="8"/>
  <c r="C2" i="4"/>
  <c r="C65" i="4"/>
  <c r="C64" i="4"/>
  <c r="C63" i="4"/>
  <c r="C62" i="4"/>
  <c r="C60" i="4"/>
  <c r="C59" i="4"/>
  <c r="C58" i="4"/>
  <c r="C57" i="4"/>
  <c r="C56" i="4"/>
  <c r="C54" i="4"/>
  <c r="C3" i="8"/>
  <c r="C3" i="4"/>
  <c r="F168" i="3"/>
  <c r="F167" i="3"/>
  <c r="A64" i="4"/>
  <c r="A63" i="4"/>
  <c r="A62" i="4"/>
  <c r="A58" i="4"/>
  <c r="A57" i="4"/>
  <c r="A56" i="4"/>
  <c r="A45" i="4"/>
  <c r="A44" i="4"/>
  <c r="A43" i="4"/>
  <c r="A36" i="4"/>
  <c r="A35" i="4"/>
  <c r="A34" i="4"/>
  <c r="A26" i="4"/>
  <c r="A25" i="4"/>
  <c r="A24" i="4"/>
  <c r="A10" i="4"/>
  <c r="A9" i="4"/>
  <c r="A8" i="4"/>
  <c r="A17" i="4"/>
  <c r="A16" i="4"/>
  <c r="A15" i="4"/>
  <c r="F166" i="3"/>
  <c r="A168" i="3"/>
  <c r="A167" i="3"/>
  <c r="A166" i="3"/>
  <c r="A68" i="3"/>
  <c r="A67" i="3"/>
  <c r="A66" i="3"/>
  <c r="G83" i="3"/>
  <c r="G88" i="3"/>
  <c r="G78" i="3"/>
  <c r="C31" i="4"/>
  <c r="C30" i="4"/>
  <c r="C29" i="4"/>
  <c r="D1" i="8"/>
  <c r="G15" i="3"/>
  <c r="L196" i="8" l="1"/>
  <c r="L5" i="8"/>
  <c r="L41" i="8"/>
  <c r="L39" i="8"/>
  <c r="M3" i="8"/>
  <c r="L6" i="8"/>
  <c r="L11" i="8"/>
  <c r="L12" i="8" s="1"/>
  <c r="L40" i="8"/>
  <c r="L13" i="8"/>
  <c r="N65" i="8"/>
  <c r="N171" i="8" s="1"/>
  <c r="N63" i="8"/>
  <c r="N31" i="8"/>
  <c r="O32" i="8"/>
  <c r="N27" i="8"/>
  <c r="N29" i="8"/>
  <c r="N26" i="8"/>
  <c r="O1" i="8"/>
  <c r="O36" i="8"/>
  <c r="N22" i="8"/>
  <c r="O38" i="8"/>
  <c r="N30" i="8"/>
  <c r="N60" i="8"/>
  <c r="N166" i="8" s="1"/>
  <c r="N25" i="8"/>
  <c r="O35" i="8"/>
  <c r="N64" i="8"/>
  <c r="O34" i="8"/>
  <c r="N24" i="8"/>
  <c r="N62" i="8"/>
  <c r="L160" i="8"/>
  <c r="M54" i="8"/>
  <c r="N196" i="4"/>
  <c r="N5" i="4"/>
  <c r="N41" i="4"/>
  <c r="N40" i="4"/>
  <c r="N6" i="4"/>
  <c r="N13" i="4"/>
  <c r="N11" i="4"/>
  <c r="N12" i="4" s="1"/>
  <c r="O3" i="4"/>
  <c r="N160" i="4"/>
  <c r="O54" i="4"/>
  <c r="M65" i="4"/>
  <c r="M171" i="4" s="1"/>
  <c r="M31" i="4"/>
  <c r="M60" i="4"/>
  <c r="M166" i="4" s="1"/>
  <c r="M63" i="4"/>
  <c r="N32" i="4"/>
  <c r="M29" i="4"/>
  <c r="M26" i="4"/>
  <c r="M24" i="4"/>
  <c r="M27" i="4"/>
  <c r="M25" i="4"/>
  <c r="M22" i="4"/>
  <c r="M64" i="4"/>
  <c r="N38" i="4"/>
  <c r="N39" i="4" s="1"/>
  <c r="N35" i="4"/>
  <c r="N36" i="4"/>
  <c r="N34" i="4"/>
  <c r="N1" i="4"/>
  <c r="M62" i="4"/>
  <c r="M30" i="4"/>
  <c r="D63" i="8"/>
  <c r="D60" i="8"/>
  <c r="D166" i="8" s="1"/>
  <c r="E36" i="8"/>
  <c r="E34" i="8"/>
  <c r="D31" i="8"/>
  <c r="D29" i="8"/>
  <c r="D64" i="8"/>
  <c r="D62" i="8"/>
  <c r="E35" i="8"/>
  <c r="E32" i="8"/>
  <c r="D30" i="8"/>
  <c r="E38" i="8"/>
  <c r="D65" i="8"/>
  <c r="D171" i="8" s="1"/>
  <c r="G89" i="3"/>
  <c r="D26" i="8"/>
  <c r="C26" i="8"/>
  <c r="G84" i="3"/>
  <c r="D25" i="8"/>
  <c r="C25" i="8"/>
  <c r="G79" i="3"/>
  <c r="D24" i="8"/>
  <c r="C24" i="8"/>
  <c r="D22" i="8"/>
  <c r="C22" i="8"/>
  <c r="C5" i="8"/>
  <c r="C41" i="8"/>
  <c r="C13" i="8"/>
  <c r="C196" i="8"/>
  <c r="C40" i="8"/>
  <c r="C11" i="8"/>
  <c r="C12" i="8" s="1"/>
  <c r="C6" i="8"/>
  <c r="C39" i="8"/>
  <c r="C17" i="8"/>
  <c r="C43" i="8"/>
  <c r="C16" i="8"/>
  <c r="C45" i="8"/>
  <c r="C44" i="8"/>
  <c r="C15" i="8"/>
  <c r="F160" i="8"/>
  <c r="G54" i="8"/>
  <c r="H54" i="8" s="1"/>
  <c r="C166" i="3"/>
  <c r="C168" i="3"/>
  <c r="C167" i="3"/>
  <c r="E1" i="8"/>
  <c r="C24" i="4"/>
  <c r="C26" i="4"/>
  <c r="C25" i="4"/>
  <c r="D3" i="8"/>
  <c r="D2" i="8"/>
  <c r="O65" i="8" l="1"/>
  <c r="O171" i="8" s="1"/>
  <c r="O63" i="8"/>
  <c r="P38" i="8"/>
  <c r="O60" i="8"/>
  <c r="O166" i="8" s="1"/>
  <c r="O25" i="8"/>
  <c r="O31" i="8"/>
  <c r="O22" i="8"/>
  <c r="O30" i="8"/>
  <c r="O29" i="8"/>
  <c r="O26" i="8"/>
  <c r="P1" i="8"/>
  <c r="P35" i="8"/>
  <c r="P32" i="8"/>
  <c r="O27" i="8"/>
  <c r="O62" i="8"/>
  <c r="P36" i="8"/>
  <c r="O64" i="8"/>
  <c r="P34" i="8"/>
  <c r="O24" i="8"/>
  <c r="M196" i="8"/>
  <c r="M11" i="8"/>
  <c r="M12" i="8" s="1"/>
  <c r="M41" i="8"/>
  <c r="M39" i="8"/>
  <c r="M6" i="8"/>
  <c r="N3" i="8"/>
  <c r="M40" i="8"/>
  <c r="M5" i="8"/>
  <c r="M13" i="8"/>
  <c r="M160" i="8"/>
  <c r="N54" i="8"/>
  <c r="N65" i="4"/>
  <c r="N171" i="4" s="1"/>
  <c r="N63" i="4"/>
  <c r="N60" i="4"/>
  <c r="N166" i="4" s="1"/>
  <c r="O32" i="4"/>
  <c r="N29" i="4"/>
  <c r="N26" i="4"/>
  <c r="N24" i="4"/>
  <c r="O36" i="4"/>
  <c r="N62" i="4"/>
  <c r="O38" i="4"/>
  <c r="O35" i="4"/>
  <c r="N64" i="4"/>
  <c r="N22" i="4"/>
  <c r="O1" i="4"/>
  <c r="N30" i="4"/>
  <c r="N27" i="4"/>
  <c r="O34" i="4"/>
  <c r="N31" i="4"/>
  <c r="N25" i="4"/>
  <c r="O196" i="4"/>
  <c r="O41" i="4"/>
  <c r="O39" i="4"/>
  <c r="O13" i="4"/>
  <c r="O6" i="4"/>
  <c r="O5" i="4"/>
  <c r="O11" i="4"/>
  <c r="O12" i="4" s="1"/>
  <c r="O40" i="4"/>
  <c r="P3" i="4"/>
  <c r="O160" i="4"/>
  <c r="P54" i="4"/>
  <c r="E65" i="8"/>
  <c r="E171" i="8" s="1"/>
  <c r="F36" i="8"/>
  <c r="F34" i="8"/>
  <c r="E31" i="8"/>
  <c r="E29" i="8"/>
  <c r="E63" i="8"/>
  <c r="E60" i="8"/>
  <c r="E166" i="8" s="1"/>
  <c r="E64" i="8"/>
  <c r="E62" i="8"/>
  <c r="F35" i="8"/>
  <c r="F32" i="8"/>
  <c r="E30" i="8"/>
  <c r="F38" i="8"/>
  <c r="E24" i="8"/>
  <c r="E26" i="8"/>
  <c r="E22" i="8"/>
  <c r="E25" i="8"/>
  <c r="H160" i="8"/>
  <c r="A118" i="8"/>
  <c r="A101" i="8"/>
  <c r="A84" i="8"/>
  <c r="D5" i="8"/>
  <c r="D41" i="8"/>
  <c r="D6" i="8"/>
  <c r="D13" i="8"/>
  <c r="D196" i="8"/>
  <c r="D40" i="8"/>
  <c r="D11" i="8"/>
  <c r="D12" i="8" s="1"/>
  <c r="D39" i="8"/>
  <c r="G160" i="8"/>
  <c r="D15" i="8"/>
  <c r="D45" i="8"/>
  <c r="D16" i="8"/>
  <c r="D44" i="8"/>
  <c r="D43" i="8"/>
  <c r="D17" i="8"/>
  <c r="F1" i="8"/>
  <c r="E3" i="8"/>
  <c r="E2" i="8"/>
  <c r="A170" i="4"/>
  <c r="A169" i="4"/>
  <c r="A168" i="4"/>
  <c r="A146" i="4"/>
  <c r="A145" i="4"/>
  <c r="A144" i="4"/>
  <c r="A31" i="4"/>
  <c r="A30" i="4"/>
  <c r="A29" i="4"/>
  <c r="G93" i="3"/>
  <c r="A171" i="4"/>
  <c r="A167" i="4"/>
  <c r="A166" i="4"/>
  <c r="A165" i="4"/>
  <c r="A161" i="4"/>
  <c r="A160" i="4"/>
  <c r="A159" i="4"/>
  <c r="A41" i="4"/>
  <c r="A40" i="4"/>
  <c r="A39" i="4"/>
  <c r="D36" i="4"/>
  <c r="D35" i="4"/>
  <c r="D34" i="4"/>
  <c r="C35" i="4"/>
  <c r="C36" i="4"/>
  <c r="C34" i="4"/>
  <c r="D32" i="4"/>
  <c r="C32" i="4"/>
  <c r="C171" i="4"/>
  <c r="C10" i="4"/>
  <c r="D10" i="4" s="1"/>
  <c r="E10" i="4" s="1"/>
  <c r="F10" i="4" s="1"/>
  <c r="G10" i="4" s="1"/>
  <c r="H10" i="4" s="1"/>
  <c r="I10" i="4" s="1"/>
  <c r="C9" i="4"/>
  <c r="D9" i="4" s="1"/>
  <c r="E9" i="4" s="1"/>
  <c r="F9" i="4" s="1"/>
  <c r="G9" i="4" s="1"/>
  <c r="H9" i="4" s="1"/>
  <c r="I9" i="4" s="1"/>
  <c r="D57" i="4"/>
  <c r="E57" i="4" s="1"/>
  <c r="F57" i="4" s="1"/>
  <c r="G57" i="4" s="1"/>
  <c r="H57" i="4" s="1"/>
  <c r="I57" i="4" s="1"/>
  <c r="D1" i="4"/>
  <c r="C8" i="4"/>
  <c r="D8" i="4" s="1"/>
  <c r="E8" i="4" s="1"/>
  <c r="F8" i="4" s="1"/>
  <c r="G8" i="4" s="1"/>
  <c r="H8" i="4" s="1"/>
  <c r="I8" i="4" s="1"/>
  <c r="C21" i="4"/>
  <c r="C74" i="4"/>
  <c r="C49" i="4"/>
  <c r="D56" i="4"/>
  <c r="E56" i="4" s="1"/>
  <c r="F56" i="4" s="1"/>
  <c r="G56" i="4" s="1"/>
  <c r="H56" i="4" s="1"/>
  <c r="I56" i="4" s="1"/>
  <c r="N40" i="8" l="1"/>
  <c r="N196" i="8"/>
  <c r="N39" i="8"/>
  <c r="N41" i="8"/>
  <c r="N5" i="8"/>
  <c r="N13" i="8"/>
  <c r="N11" i="8"/>
  <c r="N12" i="8" s="1"/>
  <c r="N6" i="8"/>
  <c r="O3" i="8"/>
  <c r="P60" i="8"/>
  <c r="P166" i="8" s="1"/>
  <c r="P31" i="8"/>
  <c r="P65" i="8"/>
  <c r="P171" i="8" s="1"/>
  <c r="Q35" i="8"/>
  <c r="P29" i="8"/>
  <c r="P26" i="8"/>
  <c r="Q1" i="8"/>
  <c r="P25" i="8"/>
  <c r="Q32" i="8"/>
  <c r="P27" i="8"/>
  <c r="P63" i="8"/>
  <c r="P30" i="8"/>
  <c r="Q34" i="8"/>
  <c r="Q38" i="8"/>
  <c r="P62" i="8"/>
  <c r="P24" i="8"/>
  <c r="P22" i="8"/>
  <c r="Q36" i="8"/>
  <c r="P64" i="8"/>
  <c r="N160" i="8"/>
  <c r="O54" i="8"/>
  <c r="P40" i="4"/>
  <c r="P13" i="4"/>
  <c r="P6" i="4"/>
  <c r="Q3" i="4"/>
  <c r="P5" i="4"/>
  <c r="P39" i="4"/>
  <c r="P11" i="4"/>
  <c r="P12" i="4" s="1"/>
  <c r="P196" i="4"/>
  <c r="P41" i="4"/>
  <c r="Q54" i="4"/>
  <c r="P160" i="4"/>
  <c r="O60" i="4"/>
  <c r="O166" i="4" s="1"/>
  <c r="O64" i="4"/>
  <c r="O65" i="4"/>
  <c r="O171" i="4" s="1"/>
  <c r="O63" i="4"/>
  <c r="P36" i="4"/>
  <c r="O30" i="4"/>
  <c r="P38" i="4"/>
  <c r="P35" i="4"/>
  <c r="O22" i="4"/>
  <c r="P1" i="4"/>
  <c r="O26" i="4"/>
  <c r="O62" i="4"/>
  <c r="P32" i="4"/>
  <c r="P34" i="4"/>
  <c r="O24" i="4"/>
  <c r="O31" i="4"/>
  <c r="O27" i="4"/>
  <c r="O29" i="4"/>
  <c r="O25" i="4"/>
  <c r="F63" i="8"/>
  <c r="F60" i="8"/>
  <c r="F166" i="8" s="1"/>
  <c r="G36" i="8"/>
  <c r="G34" i="8"/>
  <c r="F31" i="8"/>
  <c r="F29" i="8"/>
  <c r="F65" i="8"/>
  <c r="F171" i="8" s="1"/>
  <c r="G38" i="8"/>
  <c r="G32" i="8"/>
  <c r="F62" i="8"/>
  <c r="G35" i="8"/>
  <c r="F30" i="8"/>
  <c r="F64" i="8"/>
  <c r="F25" i="8"/>
  <c r="F22" i="8"/>
  <c r="F26" i="8"/>
  <c r="F24" i="8"/>
  <c r="G27" i="8"/>
  <c r="F27" i="8"/>
  <c r="E27" i="8"/>
  <c r="D27" i="8"/>
  <c r="D46" i="8" s="1"/>
  <c r="C27" i="8"/>
  <c r="C46" i="8" s="1"/>
  <c r="C18" i="8" s="1"/>
  <c r="C19" i="8" s="1"/>
  <c r="C48" i="8" s="1"/>
  <c r="C50" i="8" s="1"/>
  <c r="D49" i="8" s="1"/>
  <c r="C85" i="8"/>
  <c r="B92" i="8"/>
  <c r="B109" i="8"/>
  <c r="C102" i="8"/>
  <c r="B126" i="8"/>
  <c r="C119" i="8"/>
  <c r="E41" i="8"/>
  <c r="E6" i="8"/>
  <c r="E196" i="8"/>
  <c r="E40" i="8"/>
  <c r="E11" i="8"/>
  <c r="E12" i="8" s="1"/>
  <c r="E13" i="8"/>
  <c r="E39" i="8"/>
  <c r="E5" i="8"/>
  <c r="E44" i="8"/>
  <c r="E45" i="8"/>
  <c r="E16" i="8"/>
  <c r="E15" i="8"/>
  <c r="E43" i="8"/>
  <c r="E17" i="8"/>
  <c r="D60" i="4"/>
  <c r="D166" i="4" s="1"/>
  <c r="D65" i="4"/>
  <c r="D171" i="4" s="1"/>
  <c r="D62" i="4"/>
  <c r="D63" i="4"/>
  <c r="D64" i="4"/>
  <c r="A84" i="4"/>
  <c r="B92" i="4" s="1"/>
  <c r="A139" i="4" s="1"/>
  <c r="A118" i="4"/>
  <c r="A101" i="4"/>
  <c r="B109" i="4" s="1"/>
  <c r="A140" i="4" s="1"/>
  <c r="G1" i="8"/>
  <c r="D31" i="4"/>
  <c r="D30" i="4"/>
  <c r="D29" i="4"/>
  <c r="D24" i="4"/>
  <c r="D26" i="4"/>
  <c r="D25" i="4"/>
  <c r="C40" i="4"/>
  <c r="C41" i="4"/>
  <c r="C5" i="4"/>
  <c r="C196" i="4"/>
  <c r="F3" i="8"/>
  <c r="F2" i="8"/>
  <c r="G94" i="3"/>
  <c r="G16" i="3"/>
  <c r="E36" i="4"/>
  <c r="D54" i="4"/>
  <c r="D160" i="4" s="1"/>
  <c r="D58" i="4"/>
  <c r="C166" i="4"/>
  <c r="C45" i="4"/>
  <c r="C44" i="4"/>
  <c r="C15" i="4"/>
  <c r="C43" i="4"/>
  <c r="C17" i="4"/>
  <c r="C16" i="4"/>
  <c r="D2" i="4"/>
  <c r="A191" i="4"/>
  <c r="A192" i="4"/>
  <c r="A193" i="4"/>
  <c r="A154" i="4"/>
  <c r="A156" i="4"/>
  <c r="A155" i="4"/>
  <c r="A162" i="4"/>
  <c r="A163" i="4"/>
  <c r="A164" i="4"/>
  <c r="C160" i="4"/>
  <c r="E34" i="4"/>
  <c r="E35" i="4"/>
  <c r="E32" i="4"/>
  <c r="E1" i="4"/>
  <c r="D3" i="4"/>
  <c r="C13" i="4"/>
  <c r="C27" i="4"/>
  <c r="D27" i="4"/>
  <c r="D59" i="4"/>
  <c r="E59" i="4" s="1"/>
  <c r="F59" i="4" s="1"/>
  <c r="G59" i="4" s="1"/>
  <c r="H59" i="4" s="1"/>
  <c r="I59" i="4" s="1"/>
  <c r="C22" i="4"/>
  <c r="D22" i="4"/>
  <c r="C6" i="4"/>
  <c r="C11" i="4"/>
  <c r="O196" i="8" l="1"/>
  <c r="O39" i="8"/>
  <c r="O5" i="8"/>
  <c r="O11" i="8"/>
  <c r="O12" i="8" s="1"/>
  <c r="O40" i="8"/>
  <c r="O13" i="8"/>
  <c r="O41" i="8"/>
  <c r="O6" i="8"/>
  <c r="P3" i="8"/>
  <c r="O160" i="8"/>
  <c r="P54" i="8"/>
  <c r="Q60" i="8"/>
  <c r="Q166" i="8" s="1"/>
  <c r="Q65" i="8"/>
  <c r="Q171" i="8" s="1"/>
  <c r="Q22" i="8"/>
  <c r="R35" i="8"/>
  <c r="Q29" i="8"/>
  <c r="Q62" i="8"/>
  <c r="R32" i="8"/>
  <c r="Q27" i="8"/>
  <c r="Q31" i="8"/>
  <c r="Q24" i="8"/>
  <c r="Q63" i="8"/>
  <c r="Q30" i="8"/>
  <c r="R34" i="8"/>
  <c r="Q25" i="8"/>
  <c r="R1" i="8"/>
  <c r="R38" i="8"/>
  <c r="Q64" i="8"/>
  <c r="R36" i="8"/>
  <c r="Q26" i="8"/>
  <c r="P60" i="4"/>
  <c r="P166" i="4" s="1"/>
  <c r="P64" i="4"/>
  <c r="Q36" i="4"/>
  <c r="Q34" i="4"/>
  <c r="P22" i="4"/>
  <c r="Q1" i="4"/>
  <c r="P63" i="4"/>
  <c r="P30" i="4"/>
  <c r="Q32" i="4"/>
  <c r="P26" i="4"/>
  <c r="P65" i="4"/>
  <c r="P171" i="4" s="1"/>
  <c r="P62" i="4"/>
  <c r="P31" i="4"/>
  <c r="Q38" i="4"/>
  <c r="Q35" i="4"/>
  <c r="P27" i="4"/>
  <c r="P24" i="4"/>
  <c r="P29" i="4"/>
  <c r="P25" i="4"/>
  <c r="Q196" i="4"/>
  <c r="Q40" i="4"/>
  <c r="R3" i="4"/>
  <c r="Q13" i="4"/>
  <c r="Q6" i="4"/>
  <c r="Q11" i="4"/>
  <c r="Q12" i="4" s="1"/>
  <c r="Q41" i="4"/>
  <c r="Q5" i="4"/>
  <c r="Q39" i="4"/>
  <c r="R54" i="4"/>
  <c r="Q160" i="4"/>
  <c r="G63" i="8"/>
  <c r="G60" i="8"/>
  <c r="G166" i="8" s="1"/>
  <c r="G31" i="8"/>
  <c r="G29" i="8"/>
  <c r="G65" i="8"/>
  <c r="G171" i="8" s="1"/>
  <c r="H38" i="8"/>
  <c r="H36" i="8"/>
  <c r="H1" i="8"/>
  <c r="H34" i="8"/>
  <c r="G62" i="8"/>
  <c r="H32" i="8"/>
  <c r="G30" i="8"/>
  <c r="G64" i="8"/>
  <c r="H35" i="8"/>
  <c r="G25" i="8"/>
  <c r="G26" i="8"/>
  <c r="G24" i="8"/>
  <c r="G22" i="8"/>
  <c r="D18" i="8"/>
  <c r="D19" i="8" s="1"/>
  <c r="D48" i="8" s="1"/>
  <c r="D50" i="8" s="1"/>
  <c r="D53" i="8" s="1"/>
  <c r="C53" i="8"/>
  <c r="C68" i="8" s="1"/>
  <c r="A151" i="8"/>
  <c r="A141" i="8"/>
  <c r="A149" i="8"/>
  <c r="A139" i="8"/>
  <c r="C125" i="8"/>
  <c r="C124" i="8"/>
  <c r="C107" i="8"/>
  <c r="C108" i="8"/>
  <c r="A140" i="8"/>
  <c r="A150" i="8"/>
  <c r="C91" i="8"/>
  <c r="C90" i="8"/>
  <c r="F41" i="8"/>
  <c r="F6" i="8"/>
  <c r="F13" i="8"/>
  <c r="F196" i="8"/>
  <c r="F40" i="8"/>
  <c r="F11" i="8"/>
  <c r="F12" i="8" s="1"/>
  <c r="F39" i="8"/>
  <c r="F5" i="8"/>
  <c r="E46" i="8"/>
  <c r="F16" i="8"/>
  <c r="F44" i="8"/>
  <c r="F15" i="8"/>
  <c r="F43" i="8"/>
  <c r="F45" i="8"/>
  <c r="F17" i="8"/>
  <c r="E60" i="4"/>
  <c r="E166" i="4" s="1"/>
  <c r="E65" i="4"/>
  <c r="E171" i="4" s="1"/>
  <c r="E64" i="4"/>
  <c r="E63" i="4"/>
  <c r="E62" i="4"/>
  <c r="C12" i="4"/>
  <c r="E31" i="4"/>
  <c r="E30" i="4"/>
  <c r="E29" i="4"/>
  <c r="E24" i="4"/>
  <c r="E26" i="4"/>
  <c r="E25" i="4"/>
  <c r="D40" i="4"/>
  <c r="D41" i="4"/>
  <c r="D5" i="4"/>
  <c r="C102" i="4"/>
  <c r="C107" i="4" s="1"/>
  <c r="A149" i="4"/>
  <c r="C85" i="4"/>
  <c r="C91" i="4" s="1"/>
  <c r="G2" i="8"/>
  <c r="H2" i="8" s="1"/>
  <c r="I2" i="8" s="1"/>
  <c r="G3" i="8"/>
  <c r="H3" i="8" s="1"/>
  <c r="D6" i="4"/>
  <c r="B126" i="4"/>
  <c r="A151" i="4" s="1"/>
  <c r="C119" i="4"/>
  <c r="E54" i="4"/>
  <c r="E58" i="4"/>
  <c r="D44" i="4"/>
  <c r="D43" i="4"/>
  <c r="D45" i="4"/>
  <c r="A150" i="4"/>
  <c r="D13" i="4"/>
  <c r="D196" i="4"/>
  <c r="E2" i="4"/>
  <c r="D17" i="4"/>
  <c r="D15" i="4"/>
  <c r="D16" i="4"/>
  <c r="E22" i="4"/>
  <c r="E27" i="4"/>
  <c r="F35" i="4"/>
  <c r="F34" i="4"/>
  <c r="F32" i="4"/>
  <c r="F36" i="4"/>
  <c r="D11" i="4"/>
  <c r="D12" i="4" s="1"/>
  <c r="E3" i="4"/>
  <c r="F1" i="4"/>
  <c r="F38" i="4"/>
  <c r="C38" i="4"/>
  <c r="C39" i="4" s="1"/>
  <c r="E38" i="4"/>
  <c r="D38" i="4"/>
  <c r="D39" i="4" s="1"/>
  <c r="R64" i="8" l="1"/>
  <c r="S35" i="8"/>
  <c r="R29" i="8"/>
  <c r="S38" i="8"/>
  <c r="S32" i="8"/>
  <c r="R26" i="8"/>
  <c r="R60" i="8"/>
  <c r="R166" i="8" s="1"/>
  <c r="R63" i="8"/>
  <c r="R30" i="8"/>
  <c r="S36" i="8"/>
  <c r="S34" i="8"/>
  <c r="R25" i="8"/>
  <c r="R62" i="8"/>
  <c r="R31" i="8"/>
  <c r="R24" i="8"/>
  <c r="R65" i="8"/>
  <c r="R171" i="8" s="1"/>
  <c r="R22" i="8"/>
  <c r="R27" i="8"/>
  <c r="S1" i="8"/>
  <c r="P160" i="8"/>
  <c r="Q54" i="8"/>
  <c r="I16" i="8"/>
  <c r="I44" i="8"/>
  <c r="J2" i="8"/>
  <c r="I45" i="8"/>
  <c r="I15" i="8"/>
  <c r="I43" i="8"/>
  <c r="I17" i="8"/>
  <c r="P196" i="8"/>
  <c r="P39" i="8"/>
  <c r="P5" i="8"/>
  <c r="P11" i="8"/>
  <c r="P12" i="8" s="1"/>
  <c r="P6" i="8"/>
  <c r="P13" i="8"/>
  <c r="P41" i="8"/>
  <c r="P40" i="8"/>
  <c r="Q3" i="8"/>
  <c r="R160" i="4"/>
  <c r="S54" i="4"/>
  <c r="Q64" i="4"/>
  <c r="Q62" i="4"/>
  <c r="Q60" i="4"/>
  <c r="Q166" i="4" s="1"/>
  <c r="R35" i="4"/>
  <c r="Q31" i="4"/>
  <c r="R38" i="4"/>
  <c r="Q22" i="4"/>
  <c r="R1" i="4"/>
  <c r="Q26" i="4"/>
  <c r="R32" i="4"/>
  <c r="Q63" i="4"/>
  <c r="Q30" i="4"/>
  <c r="Q27" i="4"/>
  <c r="Q65" i="4"/>
  <c r="Q171" i="4" s="1"/>
  <c r="Q25" i="4"/>
  <c r="Q24" i="4"/>
  <c r="Q29" i="4"/>
  <c r="R34" i="4"/>
  <c r="R36" i="4"/>
  <c r="R196" i="4"/>
  <c r="R40" i="4"/>
  <c r="S3" i="4"/>
  <c r="R13" i="4"/>
  <c r="R11" i="4"/>
  <c r="R12" i="4" s="1"/>
  <c r="R6" i="4"/>
  <c r="R41" i="4"/>
  <c r="R39" i="4"/>
  <c r="R5" i="4"/>
  <c r="H65" i="8"/>
  <c r="H171" i="8" s="1"/>
  <c r="H64" i="8"/>
  <c r="H62" i="8"/>
  <c r="H30" i="8"/>
  <c r="H31" i="8"/>
  <c r="H63" i="8"/>
  <c r="H60" i="8"/>
  <c r="H166" i="8" s="1"/>
  <c r="H29" i="8"/>
  <c r="H26" i="8"/>
  <c r="H25" i="8"/>
  <c r="H24" i="8"/>
  <c r="H22" i="8"/>
  <c r="H27" i="8"/>
  <c r="H5" i="8"/>
  <c r="H41" i="8"/>
  <c r="H13" i="8"/>
  <c r="H11" i="8"/>
  <c r="H12" i="8" s="1"/>
  <c r="H40" i="8"/>
  <c r="H6" i="8"/>
  <c r="H196" i="8"/>
  <c r="H39" i="8"/>
  <c r="H17" i="8"/>
  <c r="H16" i="8"/>
  <c r="H15" i="8"/>
  <c r="H45" i="8"/>
  <c r="H44" i="8"/>
  <c r="H43" i="8"/>
  <c r="E49" i="8"/>
  <c r="E18" i="8" s="1"/>
  <c r="E19" i="8" s="1"/>
  <c r="E48" i="8" s="1"/>
  <c r="E50" i="8" s="1"/>
  <c r="E53" i="8" s="1"/>
  <c r="C66" i="8"/>
  <c r="C178" i="8" s="1"/>
  <c r="C199" i="8" s="1"/>
  <c r="C177" i="8"/>
  <c r="C198" i="8" s="1"/>
  <c r="G6" i="8"/>
  <c r="G13" i="8"/>
  <c r="G11" i="8"/>
  <c r="G12" i="8" s="1"/>
  <c r="G39" i="8"/>
  <c r="G40" i="8"/>
  <c r="G5" i="8"/>
  <c r="G41" i="8"/>
  <c r="G196" i="8"/>
  <c r="F46" i="8"/>
  <c r="G43" i="8"/>
  <c r="G45" i="8"/>
  <c r="G16" i="8"/>
  <c r="G44" i="8"/>
  <c r="G15" i="8"/>
  <c r="G17" i="8"/>
  <c r="C69" i="8"/>
  <c r="C75" i="8" s="1"/>
  <c r="D177" i="8"/>
  <c r="D198" i="8" s="1"/>
  <c r="D68" i="8"/>
  <c r="D66" i="8"/>
  <c r="D178" i="8" s="1"/>
  <c r="D199" i="8" s="1"/>
  <c r="F60" i="4"/>
  <c r="F166" i="4" s="1"/>
  <c r="F65" i="4"/>
  <c r="F171" i="4" s="1"/>
  <c r="F64" i="4"/>
  <c r="F63" i="4"/>
  <c r="F62" i="4"/>
  <c r="F29" i="4"/>
  <c r="F31" i="4"/>
  <c r="F30" i="4"/>
  <c r="F25" i="4"/>
  <c r="F24" i="4"/>
  <c r="F26" i="4"/>
  <c r="E39" i="4"/>
  <c r="E40" i="4"/>
  <c r="E41" i="4"/>
  <c r="E5" i="4"/>
  <c r="C108" i="4"/>
  <c r="C90" i="4"/>
  <c r="E196" i="4"/>
  <c r="E6" i="4"/>
  <c r="A141" i="4"/>
  <c r="C125" i="4"/>
  <c r="C124" i="4"/>
  <c r="F54" i="4"/>
  <c r="E160" i="4"/>
  <c r="F58" i="4"/>
  <c r="E43" i="4"/>
  <c r="E44" i="4"/>
  <c r="E45" i="4"/>
  <c r="F2" i="4"/>
  <c r="E17" i="4"/>
  <c r="E15" i="4"/>
  <c r="E16" i="4"/>
  <c r="G38" i="4"/>
  <c r="G35" i="4"/>
  <c r="G32" i="4"/>
  <c r="G36" i="4"/>
  <c r="G34" i="4"/>
  <c r="G1" i="4"/>
  <c r="F22" i="4"/>
  <c r="F27" i="4"/>
  <c r="F3" i="4"/>
  <c r="E11" i="4"/>
  <c r="E12" i="4" s="1"/>
  <c r="E13" i="4"/>
  <c r="I46" i="8" l="1"/>
  <c r="Q196" i="8"/>
  <c r="Q6" i="8"/>
  <c r="Q41" i="8"/>
  <c r="Q40" i="8"/>
  <c r="Q39" i="8"/>
  <c r="Q11" i="8"/>
  <c r="Q12" i="8" s="1"/>
  <c r="R3" i="8"/>
  <c r="Q13" i="8"/>
  <c r="Q5" i="8"/>
  <c r="Q160" i="8"/>
  <c r="R54" i="8"/>
  <c r="J45" i="8"/>
  <c r="J44" i="8"/>
  <c r="K2" i="8"/>
  <c r="J43" i="8"/>
  <c r="J16" i="8"/>
  <c r="J15" i="8"/>
  <c r="J17" i="8"/>
  <c r="S64" i="8"/>
  <c r="T38" i="8"/>
  <c r="T32" i="8"/>
  <c r="S63" i="8"/>
  <c r="T34" i="8"/>
  <c r="S29" i="8"/>
  <c r="S25" i="8"/>
  <c r="S31" i="8"/>
  <c r="S24" i="8"/>
  <c r="S62" i="8"/>
  <c r="T36" i="8"/>
  <c r="T35" i="8"/>
  <c r="S60" i="8"/>
  <c r="S166" i="8" s="1"/>
  <c r="S65" i="8"/>
  <c r="S171" i="8" s="1"/>
  <c r="S30" i="8"/>
  <c r="S27" i="8"/>
  <c r="T1" i="8"/>
  <c r="S22" i="8"/>
  <c r="S26" i="8"/>
  <c r="S196" i="4"/>
  <c r="S40" i="4"/>
  <c r="T3" i="4"/>
  <c r="S13" i="4"/>
  <c r="S11" i="4"/>
  <c r="S12" i="4" s="1"/>
  <c r="S6" i="4"/>
  <c r="S5" i="4"/>
  <c r="S41" i="4"/>
  <c r="S39" i="4"/>
  <c r="S38" i="4"/>
  <c r="S35" i="4"/>
  <c r="S32" i="4"/>
  <c r="S1" i="4"/>
  <c r="R31" i="4"/>
  <c r="R27" i="4"/>
  <c r="R25" i="4"/>
  <c r="R22" i="4"/>
  <c r="R26" i="4"/>
  <c r="R24" i="4"/>
  <c r="R30" i="4"/>
  <c r="R60" i="4"/>
  <c r="R166" i="4" s="1"/>
  <c r="R65" i="4"/>
  <c r="R171" i="4" s="1"/>
  <c r="R64" i="4"/>
  <c r="R63" i="4"/>
  <c r="R62" i="4"/>
  <c r="R29" i="4"/>
  <c r="S36" i="4"/>
  <c r="S34" i="4"/>
  <c r="S160" i="4"/>
  <c r="T54" i="4"/>
  <c r="H34" i="4"/>
  <c r="H32" i="4"/>
  <c r="H38" i="4"/>
  <c r="H36" i="4"/>
  <c r="H1" i="4"/>
  <c r="H35" i="4"/>
  <c r="H46" i="8"/>
  <c r="F49" i="8"/>
  <c r="F18" i="8" s="1"/>
  <c r="F19" i="8" s="1"/>
  <c r="F48" i="8" s="1"/>
  <c r="F50" i="8" s="1"/>
  <c r="G49" i="8" s="1"/>
  <c r="D69" i="8"/>
  <c r="G46" i="8"/>
  <c r="C78" i="8"/>
  <c r="C79" i="8" s="1"/>
  <c r="C81" i="8" s="1"/>
  <c r="C77" i="8"/>
  <c r="E177" i="8"/>
  <c r="E198" i="8" s="1"/>
  <c r="E68" i="8"/>
  <c r="E66" i="8"/>
  <c r="E178" i="8" s="1"/>
  <c r="E199" i="8" s="1"/>
  <c r="G60" i="4"/>
  <c r="G166" i="4" s="1"/>
  <c r="G65" i="4"/>
  <c r="G171" i="4" s="1"/>
  <c r="G64" i="4"/>
  <c r="G63" i="4"/>
  <c r="G62" i="4"/>
  <c r="G30" i="4"/>
  <c r="G29" i="4"/>
  <c r="G31" i="4"/>
  <c r="G24" i="4"/>
  <c r="G26" i="4"/>
  <c r="G25" i="4"/>
  <c r="F39" i="4"/>
  <c r="F41" i="4"/>
  <c r="F40" i="4"/>
  <c r="F5" i="4"/>
  <c r="F196" i="4"/>
  <c r="G54" i="4"/>
  <c r="H54" i="4" s="1"/>
  <c r="F160" i="4"/>
  <c r="G58" i="4"/>
  <c r="H58" i="4" s="1"/>
  <c r="I58" i="4" s="1"/>
  <c r="F43" i="4"/>
  <c r="F44" i="4"/>
  <c r="F45" i="4"/>
  <c r="G2" i="4"/>
  <c r="H2" i="4" s="1"/>
  <c r="I2" i="4" s="1"/>
  <c r="J2" i="4" s="1"/>
  <c r="F16" i="4"/>
  <c r="F15" i="4"/>
  <c r="F17" i="4"/>
  <c r="G3" i="4"/>
  <c r="H3" i="4" s="1"/>
  <c r="F13" i="4"/>
  <c r="F6" i="4"/>
  <c r="F11" i="4"/>
  <c r="F12" i="4" s="1"/>
  <c r="G27" i="4"/>
  <c r="G22" i="4"/>
  <c r="D46" i="4"/>
  <c r="C46" i="4"/>
  <c r="C18" i="4" s="1"/>
  <c r="E46" i="4"/>
  <c r="R196" i="8" l="1"/>
  <c r="S3" i="8"/>
  <c r="R41" i="8"/>
  <c r="R39" i="8"/>
  <c r="R11" i="8"/>
  <c r="R12" i="8" s="1"/>
  <c r="R13" i="8"/>
  <c r="R5" i="8"/>
  <c r="R6" i="8"/>
  <c r="R40" i="8"/>
  <c r="J46" i="8"/>
  <c r="T64" i="8"/>
  <c r="T62" i="8"/>
  <c r="U38" i="8"/>
  <c r="U32" i="8"/>
  <c r="T26" i="8"/>
  <c r="U1" i="8"/>
  <c r="T24" i="8"/>
  <c r="T31" i="8"/>
  <c r="U36" i="8"/>
  <c r="U35" i="8"/>
  <c r="T22" i="8"/>
  <c r="T60" i="8"/>
  <c r="T166" i="8" s="1"/>
  <c r="T25" i="8"/>
  <c r="T30" i="8"/>
  <c r="T63" i="8"/>
  <c r="U34" i="8"/>
  <c r="T29" i="8"/>
  <c r="T27" i="8"/>
  <c r="T65" i="8"/>
  <c r="T171" i="8" s="1"/>
  <c r="K45" i="8"/>
  <c r="L2" i="8"/>
  <c r="K44" i="8"/>
  <c r="K17" i="8"/>
  <c r="K15" i="8"/>
  <c r="K16" i="8"/>
  <c r="K43" i="8"/>
  <c r="R160" i="8"/>
  <c r="S54" i="8"/>
  <c r="T160" i="4"/>
  <c r="U54" i="4"/>
  <c r="T196" i="4"/>
  <c r="T13" i="4"/>
  <c r="T11" i="4"/>
  <c r="T12" i="4" s="1"/>
  <c r="T6" i="4"/>
  <c r="T39" i="4"/>
  <c r="T41" i="4"/>
  <c r="U3" i="4"/>
  <c r="T5" i="4"/>
  <c r="T40" i="4"/>
  <c r="S30" i="4"/>
  <c r="S63" i="4"/>
  <c r="S65" i="4"/>
  <c r="S171" i="4" s="1"/>
  <c r="S31" i="4"/>
  <c r="T1" i="4"/>
  <c r="S27" i="4"/>
  <c r="S25" i="4"/>
  <c r="T35" i="4"/>
  <c r="S22" i="4"/>
  <c r="S29" i="4"/>
  <c r="S26" i="4"/>
  <c r="S24" i="4"/>
  <c r="T32" i="4"/>
  <c r="S64" i="4"/>
  <c r="S62" i="4"/>
  <c r="S60" i="4"/>
  <c r="S166" i="4" s="1"/>
  <c r="T36" i="4"/>
  <c r="T34" i="4"/>
  <c r="T38" i="4"/>
  <c r="J43" i="4"/>
  <c r="J45" i="4"/>
  <c r="J16" i="4"/>
  <c r="J44" i="4"/>
  <c r="J17" i="4"/>
  <c r="J15" i="4"/>
  <c r="K2" i="4"/>
  <c r="H64" i="4"/>
  <c r="I34" i="4"/>
  <c r="H30" i="4"/>
  <c r="I32" i="4"/>
  <c r="H31" i="4"/>
  <c r="H60" i="4"/>
  <c r="H166" i="4" s="1"/>
  <c r="I38" i="4"/>
  <c r="I36" i="4"/>
  <c r="I35" i="4"/>
  <c r="I1" i="4"/>
  <c r="H63" i="4"/>
  <c r="H62" i="4"/>
  <c r="H29" i="4"/>
  <c r="H65" i="4"/>
  <c r="H171" i="4" s="1"/>
  <c r="H25" i="4"/>
  <c r="H24" i="4"/>
  <c r="H26" i="4"/>
  <c r="H22" i="4"/>
  <c r="H27" i="4"/>
  <c r="H160" i="4"/>
  <c r="I54" i="4"/>
  <c r="H5" i="4"/>
  <c r="H13" i="4"/>
  <c r="H196" i="4"/>
  <c r="H41" i="4"/>
  <c r="I3" i="4"/>
  <c r="H40" i="4"/>
  <c r="H11" i="4"/>
  <c r="H12" i="4" s="1"/>
  <c r="H6" i="4"/>
  <c r="H39" i="4"/>
  <c r="I45" i="4"/>
  <c r="I16" i="4"/>
  <c r="I17" i="4"/>
  <c r="I15" i="4"/>
  <c r="I44" i="4"/>
  <c r="I43" i="4"/>
  <c r="H16" i="4"/>
  <c r="H15" i="4"/>
  <c r="H45" i="4"/>
  <c r="H17" i="4"/>
  <c r="H44" i="4"/>
  <c r="H43" i="4"/>
  <c r="F53" i="8"/>
  <c r="F66" i="8" s="1"/>
  <c r="F178" i="8" s="1"/>
  <c r="F199" i="8" s="1"/>
  <c r="C82" i="8"/>
  <c r="G18" i="8"/>
  <c r="G19" i="8" s="1"/>
  <c r="G48" i="8" s="1"/>
  <c r="G50" i="8" s="1"/>
  <c r="H49" i="8" s="1"/>
  <c r="H18" i="8" s="1"/>
  <c r="H19" i="8" s="1"/>
  <c r="H48" i="8" s="1"/>
  <c r="H50" i="8" s="1"/>
  <c r="I49" i="8" s="1"/>
  <c r="I18" i="8" s="1"/>
  <c r="I19" i="8" s="1"/>
  <c r="I48" i="8" s="1"/>
  <c r="I50" i="8" s="1"/>
  <c r="E69" i="8"/>
  <c r="C165" i="8"/>
  <c r="D74" i="8"/>
  <c r="G40" i="4"/>
  <c r="G41" i="4"/>
  <c r="G39" i="4"/>
  <c r="G5" i="4"/>
  <c r="G160" i="4"/>
  <c r="G45" i="4"/>
  <c r="G44" i="4"/>
  <c r="G43" i="4"/>
  <c r="G196" i="4"/>
  <c r="G16" i="4"/>
  <c r="G17" i="4"/>
  <c r="G15" i="4"/>
  <c r="G13" i="4"/>
  <c r="G6" i="4"/>
  <c r="G11" i="4"/>
  <c r="G12" i="4" s="1"/>
  <c r="F46" i="4"/>
  <c r="S160" i="8" l="1"/>
  <c r="T54" i="8"/>
  <c r="L43" i="8"/>
  <c r="L17" i="8"/>
  <c r="L44" i="8"/>
  <c r="L15" i="8"/>
  <c r="M2" i="8"/>
  <c r="L16" i="8"/>
  <c r="L45" i="8"/>
  <c r="K46" i="8"/>
  <c r="S196" i="8"/>
  <c r="S41" i="8"/>
  <c r="T3" i="8"/>
  <c r="S13" i="8"/>
  <c r="S11" i="8"/>
  <c r="S12" i="8" s="1"/>
  <c r="S40" i="8"/>
  <c r="S5" i="8"/>
  <c r="S6" i="8"/>
  <c r="S39" i="8"/>
  <c r="J49" i="8"/>
  <c r="J18" i="8" s="1"/>
  <c r="J19" i="8" s="1"/>
  <c r="J48" i="8" s="1"/>
  <c r="J50" i="8" s="1"/>
  <c r="I53" i="8"/>
  <c r="U62" i="8"/>
  <c r="U30" i="8"/>
  <c r="U64" i="8"/>
  <c r="V36" i="8"/>
  <c r="V35" i="8"/>
  <c r="U24" i="8"/>
  <c r="U22" i="8"/>
  <c r="U25" i="8"/>
  <c r="U29" i="8"/>
  <c r="U31" i="8"/>
  <c r="V38" i="8"/>
  <c r="V34" i="8"/>
  <c r="U26" i="8"/>
  <c r="U60" i="8"/>
  <c r="U166" i="8" s="1"/>
  <c r="V32" i="8"/>
  <c r="U27" i="8"/>
  <c r="U63" i="8"/>
  <c r="U65" i="8"/>
  <c r="U171" i="8" s="1"/>
  <c r="V1" i="8"/>
  <c r="U196" i="4"/>
  <c r="U39" i="4"/>
  <c r="U11" i="4"/>
  <c r="U12" i="4" s="1"/>
  <c r="U41" i="4"/>
  <c r="V3" i="4"/>
  <c r="U5" i="4"/>
  <c r="U13" i="4"/>
  <c r="U6" i="4"/>
  <c r="T64" i="4"/>
  <c r="T62" i="4"/>
  <c r="T63" i="4"/>
  <c r="U35" i="4"/>
  <c r="T27" i="4"/>
  <c r="T25" i="4"/>
  <c r="T22" i="4"/>
  <c r="U32" i="4"/>
  <c r="T30" i="4"/>
  <c r="T65" i="4"/>
  <c r="T171" i="4" s="1"/>
  <c r="U34" i="4"/>
  <c r="T60" i="4"/>
  <c r="T166" i="4" s="1"/>
  <c r="U36" i="4"/>
  <c r="T24" i="4"/>
  <c r="T31" i="4"/>
  <c r="T29" i="4"/>
  <c r="T26" i="4"/>
  <c r="U1" i="4"/>
  <c r="U38" i="4"/>
  <c r="U40" i="4" s="1"/>
  <c r="K43" i="4"/>
  <c r="K16" i="4"/>
  <c r="L2" i="4"/>
  <c r="K45" i="4"/>
  <c r="K17" i="4"/>
  <c r="K44" i="4"/>
  <c r="K15" i="4"/>
  <c r="U160" i="4"/>
  <c r="V54" i="4"/>
  <c r="J46" i="4"/>
  <c r="I30" i="4"/>
  <c r="I31" i="4"/>
  <c r="I60" i="4"/>
  <c r="I166" i="4" s="1"/>
  <c r="I62" i="4"/>
  <c r="I63" i="4"/>
  <c r="I29" i="4"/>
  <c r="I64" i="4"/>
  <c r="I65" i="4"/>
  <c r="I171" i="4" s="1"/>
  <c r="I22" i="4"/>
  <c r="I24" i="4"/>
  <c r="I25" i="4"/>
  <c r="I26" i="4"/>
  <c r="I27" i="4"/>
  <c r="I160" i="4"/>
  <c r="I5" i="4"/>
  <c r="I6" i="4"/>
  <c r="I196" i="4"/>
  <c r="I13" i="4"/>
  <c r="I40" i="4"/>
  <c r="I41" i="4"/>
  <c r="I11" i="4"/>
  <c r="I12" i="4" s="1"/>
  <c r="I39" i="4"/>
  <c r="H53" i="8"/>
  <c r="H66" i="8" s="1"/>
  <c r="H178" i="8" s="1"/>
  <c r="H199" i="8" s="1"/>
  <c r="H46" i="4"/>
  <c r="F177" i="8"/>
  <c r="F198" i="8" s="1"/>
  <c r="F68" i="8"/>
  <c r="F69" i="8" s="1"/>
  <c r="D75" i="8"/>
  <c r="D76" i="8" s="1"/>
  <c r="G53" i="8"/>
  <c r="G46" i="4"/>
  <c r="J53" i="8" l="1"/>
  <c r="K49" i="8"/>
  <c r="K18" i="8" s="1"/>
  <c r="K19" i="8" s="1"/>
  <c r="K48" i="8" s="1"/>
  <c r="K50" i="8" s="1"/>
  <c r="N2" i="8"/>
  <c r="M43" i="8"/>
  <c r="M17" i="8"/>
  <c r="M15" i="8"/>
  <c r="M45" i="8"/>
  <c r="M16" i="8"/>
  <c r="M44" i="8"/>
  <c r="K46" i="4"/>
  <c r="L46" i="8"/>
  <c r="T196" i="8"/>
  <c r="T41" i="8"/>
  <c r="U3" i="8"/>
  <c r="T40" i="8"/>
  <c r="T13" i="8"/>
  <c r="T11" i="8"/>
  <c r="T12" i="8" s="1"/>
  <c r="T5" i="8"/>
  <c r="T39" i="8"/>
  <c r="T6" i="8"/>
  <c r="V62" i="8"/>
  <c r="W36" i="8"/>
  <c r="V24" i="8"/>
  <c r="V30" i="8"/>
  <c r="V65" i="8"/>
  <c r="V171" i="8" s="1"/>
  <c r="V22" i="8"/>
  <c r="V64" i="8"/>
  <c r="V27" i="8"/>
  <c r="W1" i="8"/>
  <c r="V31" i="8"/>
  <c r="W38" i="8"/>
  <c r="V29" i="8"/>
  <c r="V26" i="8"/>
  <c r="V63" i="8"/>
  <c r="W32" i="8"/>
  <c r="W34" i="8"/>
  <c r="V25" i="8"/>
  <c r="W35" i="8"/>
  <c r="V60" i="8"/>
  <c r="V166" i="8" s="1"/>
  <c r="T160" i="8"/>
  <c r="U54" i="8"/>
  <c r="I177" i="8"/>
  <c r="I198" i="8" s="1"/>
  <c r="I66" i="8"/>
  <c r="I178" i="8" s="1"/>
  <c r="I199" i="8" s="1"/>
  <c r="I68" i="8"/>
  <c r="U63" i="4"/>
  <c r="U60" i="4"/>
  <c r="U166" i="4" s="1"/>
  <c r="U64" i="4"/>
  <c r="U62" i="4"/>
  <c r="V34" i="4"/>
  <c r="U30" i="4"/>
  <c r="U65" i="4"/>
  <c r="U171" i="4" s="1"/>
  <c r="V36" i="4"/>
  <c r="U27" i="4"/>
  <c r="U24" i="4"/>
  <c r="U25" i="4"/>
  <c r="V38" i="4"/>
  <c r="U22" i="4"/>
  <c r="U31" i="4"/>
  <c r="V35" i="4"/>
  <c r="U29" i="4"/>
  <c r="V1" i="4"/>
  <c r="U26" i="4"/>
  <c r="V32" i="4"/>
  <c r="V160" i="4"/>
  <c r="W54" i="4"/>
  <c r="V196" i="4"/>
  <c r="V39" i="4"/>
  <c r="W3" i="4"/>
  <c r="V41" i="4"/>
  <c r="V11" i="4"/>
  <c r="V12" i="4" s="1"/>
  <c r="V40" i="4"/>
  <c r="V13" i="4"/>
  <c r="V6" i="4"/>
  <c r="V5" i="4"/>
  <c r="M2" i="4"/>
  <c r="L17" i="4"/>
  <c r="L15" i="4"/>
  <c r="L44" i="4"/>
  <c r="L45" i="4"/>
  <c r="L16" i="4"/>
  <c r="L43" i="4"/>
  <c r="L46" i="4" s="1"/>
  <c r="I46" i="4"/>
  <c r="H177" i="8"/>
  <c r="H198" i="8" s="1"/>
  <c r="H68" i="8"/>
  <c r="D77" i="8"/>
  <c r="G177" i="8"/>
  <c r="G66" i="8"/>
  <c r="G178" i="8" s="1"/>
  <c r="G199" i="8" s="1"/>
  <c r="G68" i="8"/>
  <c r="D78" i="8"/>
  <c r="D79" i="8" s="1"/>
  <c r="C19" i="4"/>
  <c r="C48" i="4" s="1"/>
  <c r="C50" i="4" s="1"/>
  <c r="U196" i="8" l="1"/>
  <c r="U39" i="8"/>
  <c r="U13" i="8"/>
  <c r="U6" i="8"/>
  <c r="U40" i="8"/>
  <c r="U5" i="8"/>
  <c r="V3" i="8"/>
  <c r="U11" i="8"/>
  <c r="U12" i="8" s="1"/>
  <c r="U41" i="8"/>
  <c r="M46" i="8"/>
  <c r="N17" i="8"/>
  <c r="N43" i="8"/>
  <c r="N15" i="8"/>
  <c r="N16" i="8"/>
  <c r="N45" i="8"/>
  <c r="O2" i="8"/>
  <c r="N44" i="8"/>
  <c r="U160" i="8"/>
  <c r="V54" i="8"/>
  <c r="K53" i="8"/>
  <c r="L49" i="8"/>
  <c r="L18" i="8" s="1"/>
  <c r="L19" i="8" s="1"/>
  <c r="L48" i="8" s="1"/>
  <c r="L50" i="8" s="1"/>
  <c r="W30" i="8"/>
  <c r="W60" i="8"/>
  <c r="W166" i="8" s="1"/>
  <c r="X36" i="8"/>
  <c r="X34" i="8"/>
  <c r="W27" i="8"/>
  <c r="W22" i="8"/>
  <c r="W62" i="8"/>
  <c r="W65" i="8"/>
  <c r="W171" i="8" s="1"/>
  <c r="X38" i="8"/>
  <c r="W26" i="8"/>
  <c r="W63" i="8"/>
  <c r="W24" i="8"/>
  <c r="W29" i="8"/>
  <c r="W64" i="8"/>
  <c r="X1" i="8"/>
  <c r="W25" i="8"/>
  <c r="X32" i="8"/>
  <c r="X35" i="8"/>
  <c r="W31" i="8"/>
  <c r="J177" i="8"/>
  <c r="J198" i="8" s="1"/>
  <c r="J66" i="8"/>
  <c r="J178" i="8" s="1"/>
  <c r="J199" i="8" s="1"/>
  <c r="J68" i="8"/>
  <c r="W160" i="4"/>
  <c r="X54" i="4"/>
  <c r="V30" i="4"/>
  <c r="V64" i="4"/>
  <c r="V62" i="4"/>
  <c r="W34" i="4"/>
  <c r="V65" i="4"/>
  <c r="V171" i="4" s="1"/>
  <c r="V63" i="4"/>
  <c r="V60" i="4"/>
  <c r="V166" i="4" s="1"/>
  <c r="V24" i="4"/>
  <c r="W36" i="4"/>
  <c r="V27" i="4"/>
  <c r="W38" i="4"/>
  <c r="W40" i="4" s="1"/>
  <c r="W32" i="4"/>
  <c r="V31" i="4"/>
  <c r="W35" i="4"/>
  <c r="W1" i="4"/>
  <c r="V29" i="4"/>
  <c r="V25" i="4"/>
  <c r="V22" i="4"/>
  <c r="V26" i="4"/>
  <c r="W196" i="4"/>
  <c r="W41" i="4"/>
  <c r="X3" i="4"/>
  <c r="W11" i="4"/>
  <c r="W12" i="4" s="1"/>
  <c r="W5" i="4"/>
  <c r="W39" i="4"/>
  <c r="W13" i="4"/>
  <c r="W6" i="4"/>
  <c r="M44" i="4"/>
  <c r="N2" i="4"/>
  <c r="M17" i="4"/>
  <c r="M15" i="4"/>
  <c r="M16" i="4"/>
  <c r="M43" i="4"/>
  <c r="M45" i="4"/>
  <c r="D165" i="8"/>
  <c r="E74" i="8"/>
  <c r="D81" i="8"/>
  <c r="G69" i="8"/>
  <c r="H69" i="8" s="1"/>
  <c r="G198" i="8"/>
  <c r="D49" i="4"/>
  <c r="D18" i="4" s="1"/>
  <c r="D19" i="4" s="1"/>
  <c r="D48" i="4" s="1"/>
  <c r="D50" i="4" s="1"/>
  <c r="C53" i="4"/>
  <c r="C68" i="4" s="1"/>
  <c r="N46" i="8" l="1"/>
  <c r="V196" i="8"/>
  <c r="V40" i="8"/>
  <c r="V39" i="8"/>
  <c r="V13" i="8"/>
  <c r="V6" i="8"/>
  <c r="V5" i="8"/>
  <c r="W3" i="8"/>
  <c r="V41" i="8"/>
  <c r="V11" i="8"/>
  <c r="V12" i="8" s="1"/>
  <c r="M49" i="8"/>
  <c r="M18" i="8" s="1"/>
  <c r="M19" i="8" s="1"/>
  <c r="M48" i="8" s="1"/>
  <c r="M50" i="8" s="1"/>
  <c r="L53" i="8"/>
  <c r="I69" i="8"/>
  <c r="M46" i="4"/>
  <c r="K177" i="8"/>
  <c r="K198" i="8" s="1"/>
  <c r="K66" i="8"/>
  <c r="K178" i="8" s="1"/>
  <c r="K199" i="8" s="1"/>
  <c r="K68" i="8"/>
  <c r="X60" i="8"/>
  <c r="X166" i="8" s="1"/>
  <c r="Y36" i="8"/>
  <c r="Y34" i="8"/>
  <c r="X27" i="8"/>
  <c r="X63" i="8"/>
  <c r="X62" i="8"/>
  <c r="X65" i="8"/>
  <c r="X171" i="8" s="1"/>
  <c r="Y38" i="8"/>
  <c r="X29" i="8"/>
  <c r="X25" i="8"/>
  <c r="X30" i="8"/>
  <c r="Y35" i="8"/>
  <c r="X24" i="8"/>
  <c r="Y1" i="8"/>
  <c r="Y32" i="8"/>
  <c r="X22" i="8"/>
  <c r="X26" i="8"/>
  <c r="X31" i="8"/>
  <c r="X64" i="8"/>
  <c r="O43" i="8"/>
  <c r="O44" i="8"/>
  <c r="O17" i="8"/>
  <c r="O45" i="8"/>
  <c r="O16" i="8"/>
  <c r="O15" i="8"/>
  <c r="P2" i="8"/>
  <c r="J69" i="8"/>
  <c r="V160" i="8"/>
  <c r="W54" i="8"/>
  <c r="X196" i="4"/>
  <c r="X5" i="4"/>
  <c r="Y3" i="4"/>
  <c r="X11" i="4"/>
  <c r="X12" i="4" s="1"/>
  <c r="X39" i="4"/>
  <c r="X13" i="4"/>
  <c r="X6" i="4"/>
  <c r="X41" i="4"/>
  <c r="X160" i="4"/>
  <c r="Y54" i="4"/>
  <c r="N17" i="4"/>
  <c r="N15" i="4"/>
  <c r="N45" i="4"/>
  <c r="N43" i="4"/>
  <c r="O2" i="4"/>
  <c r="N16" i="4"/>
  <c r="N44" i="4"/>
  <c r="W62" i="4"/>
  <c r="W64" i="4"/>
  <c r="X34" i="4"/>
  <c r="W30" i="4"/>
  <c r="X38" i="4"/>
  <c r="X40" i="4" s="1"/>
  <c r="W63" i="4"/>
  <c r="W60" i="4"/>
  <c r="W166" i="4" s="1"/>
  <c r="W24" i="4"/>
  <c r="X36" i="4"/>
  <c r="W27" i="4"/>
  <c r="W31" i="4"/>
  <c r="W29" i="4"/>
  <c r="X35" i="4"/>
  <c r="W26" i="4"/>
  <c r="X1" i="4"/>
  <c r="X32" i="4"/>
  <c r="W65" i="4"/>
  <c r="W171" i="4" s="1"/>
  <c r="W25" i="4"/>
  <c r="W22" i="4"/>
  <c r="D82" i="8"/>
  <c r="C86" i="8" s="1"/>
  <c r="E75" i="8"/>
  <c r="E76" i="8" s="1"/>
  <c r="C177" i="4"/>
  <c r="E49" i="4"/>
  <c r="E18" i="4" s="1"/>
  <c r="E19" i="4" s="1"/>
  <c r="E48" i="4" s="1"/>
  <c r="E50" i="4" s="1"/>
  <c r="D53" i="4"/>
  <c r="D68" i="4" s="1"/>
  <c r="C66" i="4"/>
  <c r="C69" i="4"/>
  <c r="O46" i="8" l="1"/>
  <c r="K69" i="8"/>
  <c r="Y65" i="8"/>
  <c r="Y171" i="8" s="1"/>
  <c r="Y63" i="8"/>
  <c r="Y60" i="8"/>
  <c r="Y166" i="8" s="1"/>
  <c r="Z36" i="8"/>
  <c r="Z34" i="8"/>
  <c r="Y27" i="8"/>
  <c r="Y62" i="8"/>
  <c r="Y25" i="8"/>
  <c r="Z38" i="8"/>
  <c r="Z32" i="8"/>
  <c r="Y31" i="8"/>
  <c r="Y30" i="8"/>
  <c r="Y22" i="8"/>
  <c r="Y29" i="8"/>
  <c r="Y24" i="8"/>
  <c r="Z35" i="8"/>
  <c r="Z1" i="8"/>
  <c r="Y26" i="8"/>
  <c r="Y64" i="8"/>
  <c r="W196" i="8"/>
  <c r="W13" i="8"/>
  <c r="W40" i="8"/>
  <c r="W6" i="8"/>
  <c r="W41" i="8"/>
  <c r="W11" i="8"/>
  <c r="W12" i="8" s="1"/>
  <c r="W39" i="8"/>
  <c r="W5" i="8"/>
  <c r="X3" i="8"/>
  <c r="P15" i="8"/>
  <c r="P45" i="8"/>
  <c r="P17" i="8"/>
  <c r="P16" i="8"/>
  <c r="P43" i="8"/>
  <c r="Q2" i="8"/>
  <c r="P44" i="8"/>
  <c r="L68" i="8"/>
  <c r="L177" i="8"/>
  <c r="L198" i="8" s="1"/>
  <c r="L66" i="8"/>
  <c r="L178" i="8" s="1"/>
  <c r="L199" i="8" s="1"/>
  <c r="X54" i="8"/>
  <c r="W160" i="8"/>
  <c r="M53" i="8"/>
  <c r="N49" i="8"/>
  <c r="N18" i="8" s="1"/>
  <c r="N19" i="8" s="1"/>
  <c r="N48" i="8" s="1"/>
  <c r="N50" i="8" s="1"/>
  <c r="O45" i="4"/>
  <c r="O17" i="4"/>
  <c r="P2" i="4"/>
  <c r="O15" i="4"/>
  <c r="O43" i="4"/>
  <c r="O16" i="4"/>
  <c r="O44" i="4"/>
  <c r="Y196" i="4"/>
  <c r="Y41" i="4"/>
  <c r="Y39" i="4"/>
  <c r="Y5" i="4"/>
  <c r="Y13" i="4"/>
  <c r="Y11" i="4"/>
  <c r="Y12" i="4" s="1"/>
  <c r="Y6" i="4"/>
  <c r="Z3" i="4"/>
  <c r="Y160" i="4"/>
  <c r="Z54" i="4"/>
  <c r="N46" i="4"/>
  <c r="Y36" i="4"/>
  <c r="Y34" i="4"/>
  <c r="X62" i="4"/>
  <c r="X65" i="4"/>
  <c r="X171" i="4" s="1"/>
  <c r="X64" i="4"/>
  <c r="Y38" i="4"/>
  <c r="Y40" i="4" s="1"/>
  <c r="X29" i="4"/>
  <c r="X26" i="4"/>
  <c r="X24" i="4"/>
  <c r="X31" i="4"/>
  <c r="X63" i="4"/>
  <c r="X60" i="4"/>
  <c r="X166" i="4" s="1"/>
  <c r="X27" i="4"/>
  <c r="X25" i="4"/>
  <c r="Y35" i="4"/>
  <c r="Y1" i="4"/>
  <c r="Y32" i="4"/>
  <c r="X22" i="4"/>
  <c r="X30" i="4"/>
  <c r="E78" i="8"/>
  <c r="E79" i="8" s="1"/>
  <c r="E77" i="8"/>
  <c r="C89" i="8"/>
  <c r="C139" i="8"/>
  <c r="C88" i="8"/>
  <c r="C75" i="4"/>
  <c r="C178" i="4"/>
  <c r="C199" i="4" s="1"/>
  <c r="F49" i="4"/>
  <c r="F18" i="4" s="1"/>
  <c r="F19" i="4" s="1"/>
  <c r="F48" i="4" s="1"/>
  <c r="F50" i="4" s="1"/>
  <c r="E53" i="4"/>
  <c r="E68" i="4" s="1"/>
  <c r="C198" i="4"/>
  <c r="D177" i="4"/>
  <c r="D69" i="4"/>
  <c r="D66" i="4"/>
  <c r="D178" i="4" s="1"/>
  <c r="D199" i="4" s="1"/>
  <c r="L69" i="8" l="1"/>
  <c r="Z65" i="8"/>
  <c r="Z171" i="8" s="1"/>
  <c r="Z63" i="8"/>
  <c r="Z62" i="8"/>
  <c r="Z64" i="8"/>
  <c r="Z31" i="8"/>
  <c r="Z60" i="8"/>
  <c r="Z166" i="8" s="1"/>
  <c r="AA38" i="8"/>
  <c r="AA35" i="8"/>
  <c r="Z30" i="8"/>
  <c r="Z29" i="8"/>
  <c r="Z24" i="8"/>
  <c r="AA36" i="8"/>
  <c r="Z22" i="8"/>
  <c r="Z27" i="8"/>
  <c r="Z26" i="8"/>
  <c r="AA32" i="8"/>
  <c r="AA34" i="8"/>
  <c r="Z25" i="8"/>
  <c r="AA1" i="8"/>
  <c r="X160" i="8"/>
  <c r="Y54" i="8"/>
  <c r="X196" i="8"/>
  <c r="X40" i="8"/>
  <c r="X5" i="8"/>
  <c r="X6" i="8"/>
  <c r="X41" i="8"/>
  <c r="X13" i="8"/>
  <c r="X39" i="8"/>
  <c r="Y3" i="8"/>
  <c r="X11" i="8"/>
  <c r="X12" i="8" s="1"/>
  <c r="Q44" i="8"/>
  <c r="Q45" i="8"/>
  <c r="Q16" i="8"/>
  <c r="Q15" i="8"/>
  <c r="R2" i="8"/>
  <c r="Q43" i="8"/>
  <c r="Q17" i="8"/>
  <c r="P46" i="8"/>
  <c r="O49" i="8"/>
  <c r="O18" i="8" s="1"/>
  <c r="O19" i="8" s="1"/>
  <c r="O48" i="8" s="1"/>
  <c r="O50" i="8" s="1"/>
  <c r="N53" i="8"/>
  <c r="M177" i="8"/>
  <c r="M198" i="8" s="1"/>
  <c r="M68" i="8"/>
  <c r="M66" i="8"/>
  <c r="M178" i="8" s="1"/>
  <c r="M199" i="8" s="1"/>
  <c r="Y62" i="4"/>
  <c r="Y31" i="4"/>
  <c r="Y29" i="4"/>
  <c r="Y65" i="4"/>
  <c r="Y171" i="4" s="1"/>
  <c r="Z38" i="4"/>
  <c r="Z40" i="4" s="1"/>
  <c r="Y26" i="4"/>
  <c r="Y24" i="4"/>
  <c r="Z32" i="4"/>
  <c r="Z35" i="4"/>
  <c r="Y27" i="4"/>
  <c r="Y25" i="4"/>
  <c r="Y22" i="4"/>
  <c r="Y64" i="4"/>
  <c r="Z36" i="4"/>
  <c r="Z34" i="4"/>
  <c r="Z1" i="4"/>
  <c r="Y60" i="4"/>
  <c r="Y166" i="4" s="1"/>
  <c r="Y63" i="4"/>
  <c r="Y30" i="4"/>
  <c r="O46" i="4"/>
  <c r="Z196" i="4"/>
  <c r="Z5" i="4"/>
  <c r="Z41" i="4"/>
  <c r="Z39" i="4"/>
  <c r="Z13" i="4"/>
  <c r="Z6" i="4"/>
  <c r="Z11" i="4"/>
  <c r="Z12" i="4" s="1"/>
  <c r="AA3" i="4"/>
  <c r="P45" i="4"/>
  <c r="P43" i="4"/>
  <c r="Q2" i="4"/>
  <c r="P44" i="4"/>
  <c r="P17" i="4"/>
  <c r="P15" i="4"/>
  <c r="P16" i="4"/>
  <c r="Z160" i="4"/>
  <c r="AA54" i="4"/>
  <c r="D85" i="8"/>
  <c r="C92" i="8"/>
  <c r="E81" i="8"/>
  <c r="E165" i="8"/>
  <c r="F74" i="8"/>
  <c r="D198" i="4"/>
  <c r="E177" i="4"/>
  <c r="E198" i="4" s="1"/>
  <c r="E66" i="4"/>
  <c r="E178" i="4" s="1"/>
  <c r="E199" i="4" s="1"/>
  <c r="E69" i="4"/>
  <c r="G49" i="4"/>
  <c r="G18" i="4" s="1"/>
  <c r="G19" i="4" s="1"/>
  <c r="G48" i="4" s="1"/>
  <c r="G50" i="4" s="1"/>
  <c r="H49" i="4" s="1"/>
  <c r="H18" i="4" s="1"/>
  <c r="H19" i="4" s="1"/>
  <c r="H48" i="4" s="1"/>
  <c r="H50" i="4" s="1"/>
  <c r="F53" i="4"/>
  <c r="F68" i="4" s="1"/>
  <c r="Q46" i="8" l="1"/>
  <c r="N177" i="8"/>
  <c r="N198" i="8" s="1"/>
  <c r="N68" i="8"/>
  <c r="N66" i="8"/>
  <c r="N178" i="8" s="1"/>
  <c r="N199" i="8" s="1"/>
  <c r="R45" i="8"/>
  <c r="R43" i="8"/>
  <c r="R15" i="8"/>
  <c r="R44" i="8"/>
  <c r="R17" i="8"/>
  <c r="S2" i="8"/>
  <c r="R16" i="8"/>
  <c r="M69" i="8"/>
  <c r="Y196" i="8"/>
  <c r="Y11" i="8"/>
  <c r="Y12" i="8" s="1"/>
  <c r="Y41" i="8"/>
  <c r="Y40" i="8"/>
  <c r="Y39" i="8"/>
  <c r="Z3" i="8"/>
  <c r="Y13" i="8"/>
  <c r="Y5" i="8"/>
  <c r="Y6" i="8"/>
  <c r="Y160" i="8"/>
  <c r="Z54" i="8"/>
  <c r="P49" i="8"/>
  <c r="P18" i="8" s="1"/>
  <c r="P19" i="8" s="1"/>
  <c r="P48" i="8" s="1"/>
  <c r="P50" i="8" s="1"/>
  <c r="O53" i="8"/>
  <c r="AA63" i="8"/>
  <c r="AB38" i="8"/>
  <c r="AA65" i="8"/>
  <c r="AA171" i="8" s="1"/>
  <c r="AA60" i="8"/>
  <c r="AA166" i="8" s="1"/>
  <c r="AA62" i="8"/>
  <c r="AA25" i="8"/>
  <c r="AA64" i="8"/>
  <c r="AA31" i="8"/>
  <c r="AA22" i="8"/>
  <c r="AA26" i="8"/>
  <c r="AB1" i="8"/>
  <c r="AB34" i="8"/>
  <c r="AA24" i="8"/>
  <c r="AB36" i="8"/>
  <c r="AA27" i="8"/>
  <c r="AB35" i="8"/>
  <c r="AA30" i="8"/>
  <c r="AA29" i="8"/>
  <c r="AB32" i="8"/>
  <c r="AA160" i="4"/>
  <c r="AB54" i="4"/>
  <c r="Z65" i="4"/>
  <c r="Z171" i="4" s="1"/>
  <c r="Z63" i="4"/>
  <c r="Z60" i="4"/>
  <c r="Z166" i="4" s="1"/>
  <c r="Z62" i="4"/>
  <c r="Z26" i="4"/>
  <c r="Z24" i="4"/>
  <c r="AA32" i="4"/>
  <c r="Z29" i="4"/>
  <c r="AA34" i="4"/>
  <c r="Z31" i="4"/>
  <c r="Z25" i="4"/>
  <c r="Z22" i="4"/>
  <c r="AA36" i="4"/>
  <c r="AA35" i="4"/>
  <c r="Z27" i="4"/>
  <c r="AA1" i="4"/>
  <c r="Z30" i="4"/>
  <c r="AA38" i="4"/>
  <c r="Z64" i="4"/>
  <c r="R2" i="4"/>
  <c r="Q17" i="4"/>
  <c r="Q44" i="4"/>
  <c r="Q16" i="4"/>
  <c r="Q45" i="4"/>
  <c r="Q43" i="4"/>
  <c r="Q46" i="4" s="1"/>
  <c r="Q15" i="4"/>
  <c r="AA196" i="4"/>
  <c r="AA41" i="4"/>
  <c r="AA40" i="4"/>
  <c r="AA5" i="4"/>
  <c r="AA6" i="4"/>
  <c r="AA39" i="4"/>
  <c r="AB3" i="4"/>
  <c r="AA13" i="4"/>
  <c r="AA11" i="4"/>
  <c r="AA12" i="4" s="1"/>
  <c r="P46" i="4"/>
  <c r="H53" i="4"/>
  <c r="H177" i="4" s="1"/>
  <c r="H198" i="4" s="1"/>
  <c r="I49" i="4"/>
  <c r="I18" i="4" s="1"/>
  <c r="I19" i="4" s="1"/>
  <c r="I48" i="4" s="1"/>
  <c r="I50" i="4" s="1"/>
  <c r="J49" i="4" s="1"/>
  <c r="J18" i="4" s="1"/>
  <c r="J19" i="4" s="1"/>
  <c r="J48" i="4" s="1"/>
  <c r="J50" i="4" s="1"/>
  <c r="C149" i="8"/>
  <c r="F75" i="8"/>
  <c r="D90" i="8"/>
  <c r="D91" i="8"/>
  <c r="E82" i="8"/>
  <c r="D86" i="8" s="1"/>
  <c r="C93" i="8"/>
  <c r="F69" i="4"/>
  <c r="F177" i="4"/>
  <c r="F198" i="4" s="1"/>
  <c r="F66" i="4"/>
  <c r="F178" i="4" s="1"/>
  <c r="F199" i="4" s="1"/>
  <c r="G53" i="4"/>
  <c r="G68" i="4" s="1"/>
  <c r="R46" i="8" l="1"/>
  <c r="Q49" i="8"/>
  <c r="Q18" i="8" s="1"/>
  <c r="Q19" i="8" s="1"/>
  <c r="Q48" i="8" s="1"/>
  <c r="Q50" i="8" s="1"/>
  <c r="P53" i="8"/>
  <c r="Z196" i="8"/>
  <c r="Z40" i="8"/>
  <c r="Z41" i="8"/>
  <c r="Z39" i="8"/>
  <c r="AA3" i="8"/>
  <c r="Z11" i="8"/>
  <c r="Z12" i="8" s="1"/>
  <c r="Z6" i="8"/>
  <c r="Z13" i="8"/>
  <c r="Z5" i="8"/>
  <c r="AB65" i="8"/>
  <c r="AB171" i="8" s="1"/>
  <c r="AB60" i="8"/>
  <c r="AB166" i="8" s="1"/>
  <c r="AB64" i="8"/>
  <c r="AB31" i="8"/>
  <c r="AB63" i="8"/>
  <c r="AC35" i="8"/>
  <c r="AB29" i="8"/>
  <c r="AC38" i="8"/>
  <c r="AC1" i="8"/>
  <c r="AB26" i="8"/>
  <c r="AC34" i="8"/>
  <c r="AB62" i="8"/>
  <c r="AC36" i="8"/>
  <c r="AB27" i="8"/>
  <c r="AB22" i="8"/>
  <c r="AB25" i="8"/>
  <c r="AB30" i="8"/>
  <c r="AC32" i="8"/>
  <c r="AB24" i="8"/>
  <c r="Z160" i="8"/>
  <c r="AA54" i="8"/>
  <c r="N69" i="8"/>
  <c r="O177" i="8"/>
  <c r="O198" i="8" s="1"/>
  <c r="O68" i="8"/>
  <c r="O66" i="8"/>
  <c r="O178" i="8" s="1"/>
  <c r="O199" i="8" s="1"/>
  <c r="S16" i="8"/>
  <c r="S45" i="8"/>
  <c r="S15" i="8"/>
  <c r="S43" i="8"/>
  <c r="S44" i="8"/>
  <c r="T2" i="8"/>
  <c r="S17" i="8"/>
  <c r="R44" i="4"/>
  <c r="R16" i="4"/>
  <c r="S2" i="4"/>
  <c r="R17" i="4"/>
  <c r="R15" i="4"/>
  <c r="R43" i="4"/>
  <c r="R45" i="4"/>
  <c r="AA65" i="4"/>
  <c r="AA171" i="4" s="1"/>
  <c r="AA60" i="4"/>
  <c r="AA166" i="4" s="1"/>
  <c r="AA63" i="4"/>
  <c r="AB32" i="4"/>
  <c r="AA29" i="4"/>
  <c r="AB36" i="4"/>
  <c r="AA62" i="4"/>
  <c r="AB34" i="4"/>
  <c r="AA31" i="4"/>
  <c r="AA25" i="4"/>
  <c r="AA26" i="4"/>
  <c r="AA30" i="4"/>
  <c r="AB35" i="4"/>
  <c r="AA27" i="4"/>
  <c r="AB1" i="4"/>
  <c r="AA24" i="4"/>
  <c r="AB38" i="4"/>
  <c r="AB40" i="4" s="1"/>
  <c r="AA64" i="4"/>
  <c r="AA22" i="4"/>
  <c r="K49" i="4"/>
  <c r="K18" i="4" s="1"/>
  <c r="K19" i="4" s="1"/>
  <c r="K48" i="4" s="1"/>
  <c r="K50" i="4" s="1"/>
  <c r="J53" i="4"/>
  <c r="AB196" i="4"/>
  <c r="AB41" i="4"/>
  <c r="AB39" i="4"/>
  <c r="AB5" i="4"/>
  <c r="AC3" i="4"/>
  <c r="AB6" i="4"/>
  <c r="AB11" i="4"/>
  <c r="AB12" i="4" s="1"/>
  <c r="AB13" i="4"/>
  <c r="AB160" i="4"/>
  <c r="AC54" i="4"/>
  <c r="H66" i="4"/>
  <c r="H178" i="4" s="1"/>
  <c r="H199" i="4" s="1"/>
  <c r="H68" i="4"/>
  <c r="I53" i="4"/>
  <c r="I68" i="4" s="1"/>
  <c r="D87" i="8"/>
  <c r="D88" i="8" s="1"/>
  <c r="F78" i="8"/>
  <c r="F79" i="8" s="1"/>
  <c r="C95" i="8"/>
  <c r="D89" i="8"/>
  <c r="D139" i="8"/>
  <c r="F76" i="8"/>
  <c r="F77" i="8" s="1"/>
  <c r="G66" i="4"/>
  <c r="G178" i="4" s="1"/>
  <c r="G199" i="4" s="1"/>
  <c r="G69" i="4"/>
  <c r="G177" i="4"/>
  <c r="AA160" i="8" l="1"/>
  <c r="AB54" i="8"/>
  <c r="AA196" i="8"/>
  <c r="AA39" i="8"/>
  <c r="AA40" i="8"/>
  <c r="AA5" i="8"/>
  <c r="AA6" i="8"/>
  <c r="AB3" i="8"/>
  <c r="AA41" i="8"/>
  <c r="AA11" i="8"/>
  <c r="AA12" i="8" s="1"/>
  <c r="AA13" i="8"/>
  <c r="T43" i="8"/>
  <c r="T45" i="8"/>
  <c r="T15" i="8"/>
  <c r="T17" i="8"/>
  <c r="U2" i="8"/>
  <c r="T44" i="8"/>
  <c r="T16" i="8"/>
  <c r="S46" i="8"/>
  <c r="O69" i="8"/>
  <c r="AC60" i="8"/>
  <c r="AC166" i="8" s="1"/>
  <c r="AC63" i="8"/>
  <c r="AC22" i="8"/>
  <c r="AD35" i="8"/>
  <c r="AC29" i="8"/>
  <c r="AD1" i="8"/>
  <c r="AC64" i="8"/>
  <c r="AC27" i="8"/>
  <c r="AC65" i="8"/>
  <c r="AC171" i="8" s="1"/>
  <c r="AC26" i="8"/>
  <c r="AD32" i="8"/>
  <c r="AD38" i="8"/>
  <c r="AC62" i="8"/>
  <c r="AD36" i="8"/>
  <c r="AD34" i="8"/>
  <c r="AC25" i="8"/>
  <c r="AC31" i="8"/>
  <c r="AC30" i="8"/>
  <c r="AC24" i="8"/>
  <c r="P177" i="8"/>
  <c r="P198" i="8" s="1"/>
  <c r="P68" i="8"/>
  <c r="P66" i="8"/>
  <c r="P178" i="8" s="1"/>
  <c r="P199" i="8" s="1"/>
  <c r="R49" i="8"/>
  <c r="R18" i="8" s="1"/>
  <c r="R19" i="8" s="1"/>
  <c r="R48" i="8" s="1"/>
  <c r="R50" i="8" s="1"/>
  <c r="Q53" i="8"/>
  <c r="J177" i="4"/>
  <c r="J198" i="4" s="1"/>
  <c r="J66" i="4"/>
  <c r="J178" i="4" s="1"/>
  <c r="J199" i="4" s="1"/>
  <c r="J68" i="4"/>
  <c r="R46" i="4"/>
  <c r="AD54" i="4"/>
  <c r="AC160" i="4"/>
  <c r="AB60" i="4"/>
  <c r="AB166" i="4" s="1"/>
  <c r="AB64" i="4"/>
  <c r="AC36" i="4"/>
  <c r="AB30" i="4"/>
  <c r="AC38" i="4"/>
  <c r="AC35" i="4"/>
  <c r="AB31" i="4"/>
  <c r="AB25" i="4"/>
  <c r="AB29" i="4"/>
  <c r="AC1" i="4"/>
  <c r="AC32" i="4"/>
  <c r="AB24" i="4"/>
  <c r="AB27" i="4"/>
  <c r="AB63" i="4"/>
  <c r="AB65" i="4"/>
  <c r="AB171" i="4" s="1"/>
  <c r="AB62" i="4"/>
  <c r="AB26" i="4"/>
  <c r="AB22" i="4"/>
  <c r="AC34" i="4"/>
  <c r="S45" i="4"/>
  <c r="S43" i="4"/>
  <c r="S44" i="4"/>
  <c r="S16" i="4"/>
  <c r="S17" i="4"/>
  <c r="S15" i="4"/>
  <c r="T2" i="4"/>
  <c r="AC196" i="4"/>
  <c r="AC40" i="4"/>
  <c r="AD3" i="4"/>
  <c r="AC5" i="4"/>
  <c r="AC6" i="4"/>
  <c r="AC13" i="4"/>
  <c r="AC11" i="4"/>
  <c r="AC12" i="4" s="1"/>
  <c r="AC39" i="4"/>
  <c r="AC41" i="4"/>
  <c r="K53" i="4"/>
  <c r="L49" i="4"/>
  <c r="L18" i="4" s="1"/>
  <c r="L19" i="4" s="1"/>
  <c r="L48" i="4" s="1"/>
  <c r="L50" i="4" s="1"/>
  <c r="I177" i="4"/>
  <c r="I198" i="4" s="1"/>
  <c r="I66" i="4"/>
  <c r="I178" i="4" s="1"/>
  <c r="I199" i="4" s="1"/>
  <c r="H69" i="4"/>
  <c r="I69" i="4" s="1"/>
  <c r="E85" i="8"/>
  <c r="D92" i="8"/>
  <c r="F165" i="8"/>
  <c r="G74" i="8"/>
  <c r="F81" i="8"/>
  <c r="C96" i="8"/>
  <c r="C97" i="8" s="1"/>
  <c r="C98" i="8" s="1"/>
  <c r="G198" i="4"/>
  <c r="AB196" i="8" l="1"/>
  <c r="AB39" i="8"/>
  <c r="AB5" i="8"/>
  <c r="AB41" i="8"/>
  <c r="AB13" i="8"/>
  <c r="AB40" i="8"/>
  <c r="AC3" i="8"/>
  <c r="AB6" i="8"/>
  <c r="AB11" i="8"/>
  <c r="AB12" i="8" s="1"/>
  <c r="U16" i="8"/>
  <c r="U44" i="8"/>
  <c r="U43" i="8"/>
  <c r="U17" i="8"/>
  <c r="V2" i="8"/>
  <c r="U45" i="8"/>
  <c r="U15" i="8"/>
  <c r="P69" i="8"/>
  <c r="R53" i="8"/>
  <c r="S49" i="8"/>
  <c r="S18" i="8" s="1"/>
  <c r="S19" i="8" s="1"/>
  <c r="S48" i="8" s="1"/>
  <c r="S50" i="8" s="1"/>
  <c r="AB160" i="8"/>
  <c r="AC54" i="8"/>
  <c r="T46" i="8"/>
  <c r="Q68" i="8"/>
  <c r="Q177" i="8"/>
  <c r="Q198" i="8" s="1"/>
  <c r="Q66" i="8"/>
  <c r="Q178" i="8" s="1"/>
  <c r="Q199" i="8" s="1"/>
  <c r="AD64" i="8"/>
  <c r="AE35" i="8"/>
  <c r="AD29" i="8"/>
  <c r="AE32" i="8"/>
  <c r="AD26" i="8"/>
  <c r="AD65" i="8"/>
  <c r="AD171" i="8" s="1"/>
  <c r="AD25" i="8"/>
  <c r="AD30" i="8"/>
  <c r="AD60" i="8"/>
  <c r="AD166" i="8" s="1"/>
  <c r="AD27" i="8"/>
  <c r="AD63" i="8"/>
  <c r="AE36" i="8"/>
  <c r="AD22" i="8"/>
  <c r="AD62" i="8"/>
  <c r="AE34" i="8"/>
  <c r="AD31" i="8"/>
  <c r="AE38" i="8"/>
  <c r="AD24" i="8"/>
  <c r="AE1" i="8"/>
  <c r="AD196" i="4"/>
  <c r="AE3" i="4"/>
  <c r="AD40" i="4"/>
  <c r="AD13" i="4"/>
  <c r="AD11" i="4"/>
  <c r="AD12" i="4" s="1"/>
  <c r="AD6" i="4"/>
  <c r="AD5" i="4"/>
  <c r="AD39" i="4"/>
  <c r="AD41" i="4"/>
  <c r="S46" i="4"/>
  <c r="AD160" i="4"/>
  <c r="AE54" i="4"/>
  <c r="T44" i="4"/>
  <c r="T16" i="4"/>
  <c r="T15" i="4"/>
  <c r="T45" i="4"/>
  <c r="T43" i="4"/>
  <c r="U2" i="4"/>
  <c r="T17" i="4"/>
  <c r="AC60" i="4"/>
  <c r="AC166" i="4" s="1"/>
  <c r="AC64" i="4"/>
  <c r="AD36" i="4"/>
  <c r="AD34" i="4"/>
  <c r="AC31" i="4"/>
  <c r="AC25" i="4"/>
  <c r="AD38" i="4"/>
  <c r="AD35" i="4"/>
  <c r="AC29" i="4"/>
  <c r="AD1" i="4"/>
  <c r="AC22" i="4"/>
  <c r="AC30" i="4"/>
  <c r="AC27" i="4"/>
  <c r="AC24" i="4"/>
  <c r="AC63" i="4"/>
  <c r="AC65" i="4"/>
  <c r="AC171" i="4" s="1"/>
  <c r="AD32" i="4"/>
  <c r="AC62" i="4"/>
  <c r="AC26" i="4"/>
  <c r="J69" i="4"/>
  <c r="K177" i="4"/>
  <c r="K198" i="4" s="1"/>
  <c r="K68" i="4"/>
  <c r="K66" i="4"/>
  <c r="K178" i="4" s="1"/>
  <c r="K199" i="4" s="1"/>
  <c r="M49" i="4"/>
  <c r="M18" i="4" s="1"/>
  <c r="M19" i="4" s="1"/>
  <c r="M48" i="4" s="1"/>
  <c r="M50" i="4" s="1"/>
  <c r="L53" i="4"/>
  <c r="D149" i="8"/>
  <c r="D93" i="8"/>
  <c r="D95" i="8" s="1"/>
  <c r="D96" i="8" s="1"/>
  <c r="D97" i="8" s="1"/>
  <c r="D98" i="8" s="1"/>
  <c r="E90" i="8"/>
  <c r="E91" i="8"/>
  <c r="C99" i="8"/>
  <c r="F82" i="8"/>
  <c r="E86" i="8" s="1"/>
  <c r="G75" i="8"/>
  <c r="T46" i="4" l="1"/>
  <c r="R177" i="8"/>
  <c r="R198" i="8" s="1"/>
  <c r="R68" i="8"/>
  <c r="R66" i="8"/>
  <c r="R178" i="8" s="1"/>
  <c r="R199" i="8" s="1"/>
  <c r="AC196" i="8"/>
  <c r="AC39" i="8"/>
  <c r="AC6" i="8"/>
  <c r="AC5" i="8"/>
  <c r="AC41" i="8"/>
  <c r="AC11" i="8"/>
  <c r="AC12" i="8" s="1"/>
  <c r="AD3" i="8"/>
  <c r="AC40" i="8"/>
  <c r="AC13" i="8"/>
  <c r="Q69" i="8"/>
  <c r="S53" i="8"/>
  <c r="T49" i="8"/>
  <c r="T18" i="8" s="1"/>
  <c r="T19" i="8" s="1"/>
  <c r="T48" i="8" s="1"/>
  <c r="T50" i="8" s="1"/>
  <c r="V45" i="8"/>
  <c r="V44" i="8"/>
  <c r="V43" i="8"/>
  <c r="V46" i="8" s="1"/>
  <c r="W2" i="8"/>
  <c r="V17" i="8"/>
  <c r="V16" i="8"/>
  <c r="V15" i="8"/>
  <c r="AE64" i="8"/>
  <c r="AF32" i="8"/>
  <c r="AE26" i="8"/>
  <c r="AE65" i="8"/>
  <c r="AE171" i="8" s="1"/>
  <c r="AF38" i="8"/>
  <c r="AF34" i="8"/>
  <c r="AE60" i="8"/>
  <c r="AE166" i="8" s="1"/>
  <c r="AE27" i="8"/>
  <c r="AE24" i="8"/>
  <c r="AE30" i="8"/>
  <c r="AE25" i="8"/>
  <c r="AE29" i="8"/>
  <c r="AF36" i="8"/>
  <c r="AF35" i="8"/>
  <c r="AE22" i="8"/>
  <c r="AF1" i="8"/>
  <c r="AE63" i="8"/>
  <c r="AE31" i="8"/>
  <c r="AE62" i="8"/>
  <c r="AC160" i="8"/>
  <c r="AD54" i="8"/>
  <c r="U46" i="8"/>
  <c r="AD64" i="4"/>
  <c r="AE38" i="4"/>
  <c r="AE41" i="4" s="1"/>
  <c r="AE35" i="4"/>
  <c r="AE32" i="4"/>
  <c r="AD62" i="4"/>
  <c r="AE1" i="4"/>
  <c r="AD65" i="4"/>
  <c r="AD171" i="4" s="1"/>
  <c r="AD63" i="4"/>
  <c r="AD31" i="4"/>
  <c r="AD27" i="4"/>
  <c r="AD25" i="4"/>
  <c r="AD22" i="4"/>
  <c r="AD29" i="4"/>
  <c r="AD26" i="4"/>
  <c r="AD24" i="4"/>
  <c r="AD60" i="4"/>
  <c r="AD166" i="4" s="1"/>
  <c r="AE36" i="4"/>
  <c r="AD30" i="4"/>
  <c r="AE34" i="4"/>
  <c r="U44" i="4"/>
  <c r="U15" i="4"/>
  <c r="U45" i="4"/>
  <c r="U43" i="4"/>
  <c r="U16" i="4"/>
  <c r="U17" i="4"/>
  <c r="V2" i="4"/>
  <c r="L177" i="4"/>
  <c r="L198" i="4" s="1"/>
  <c r="L68" i="4"/>
  <c r="L66" i="4"/>
  <c r="L178" i="4" s="1"/>
  <c r="L199" i="4" s="1"/>
  <c r="M53" i="4"/>
  <c r="N49" i="4"/>
  <c r="N18" i="4" s="1"/>
  <c r="N19" i="4" s="1"/>
  <c r="N48" i="4" s="1"/>
  <c r="N50" i="4" s="1"/>
  <c r="K69" i="4"/>
  <c r="AE196" i="4"/>
  <c r="AE40" i="4"/>
  <c r="AF3" i="4"/>
  <c r="AE11" i="4"/>
  <c r="AE12" i="4" s="1"/>
  <c r="AE6" i="4"/>
  <c r="AE13" i="4"/>
  <c r="AE5" i="4"/>
  <c r="AE39" i="4"/>
  <c r="AE160" i="4"/>
  <c r="AF54" i="4"/>
  <c r="D99" i="8"/>
  <c r="C103" i="8" s="1"/>
  <c r="G76" i="8"/>
  <c r="G77" i="8" s="1"/>
  <c r="H74" i="8" s="1"/>
  <c r="E89" i="8"/>
  <c r="E87" i="8"/>
  <c r="E88" i="8" s="1"/>
  <c r="E139" i="8"/>
  <c r="G78" i="8"/>
  <c r="G79" i="8" s="1"/>
  <c r="C77" i="4"/>
  <c r="D74" i="4" s="1"/>
  <c r="C78" i="4"/>
  <c r="C79" i="4" s="1"/>
  <c r="AD196" i="8" l="1"/>
  <c r="AE3" i="8"/>
  <c r="AD41" i="8"/>
  <c r="AD40" i="8"/>
  <c r="AD11" i="8"/>
  <c r="AD12" i="8" s="1"/>
  <c r="AD6" i="8"/>
  <c r="AD39" i="8"/>
  <c r="AD13" i="8"/>
  <c r="AD5" i="8"/>
  <c r="AF64" i="8"/>
  <c r="AF62" i="8"/>
  <c r="AG32" i="8"/>
  <c r="AF26" i="8"/>
  <c r="AG1" i="8"/>
  <c r="AF65" i="8"/>
  <c r="AF171" i="8" s="1"/>
  <c r="AG38" i="8"/>
  <c r="AF24" i="8"/>
  <c r="AF60" i="8"/>
  <c r="AF166" i="8" s="1"/>
  <c r="AF27" i="8"/>
  <c r="AF30" i="8"/>
  <c r="AF25" i="8"/>
  <c r="AG34" i="8"/>
  <c r="AF29" i="8"/>
  <c r="AF31" i="8"/>
  <c r="AG35" i="8"/>
  <c r="AF22" i="8"/>
  <c r="AF63" i="8"/>
  <c r="AG36" i="8"/>
  <c r="W44" i="8"/>
  <c r="X2" i="8"/>
  <c r="W17" i="8"/>
  <c r="W45" i="8"/>
  <c r="W43" i="8"/>
  <c r="W46" i="8" s="1"/>
  <c r="W15" i="8"/>
  <c r="W16" i="8"/>
  <c r="AD160" i="8"/>
  <c r="AE54" i="8"/>
  <c r="S66" i="8"/>
  <c r="S178" i="8" s="1"/>
  <c r="S199" i="8" s="1"/>
  <c r="S177" i="8"/>
  <c r="S198" i="8" s="1"/>
  <c r="S68" i="8"/>
  <c r="R69" i="8"/>
  <c r="U46" i="4"/>
  <c r="T53" i="8"/>
  <c r="U49" i="8"/>
  <c r="U18" i="8" s="1"/>
  <c r="U19" i="8" s="1"/>
  <c r="U48" i="8" s="1"/>
  <c r="U50" i="8" s="1"/>
  <c r="AE30" i="4"/>
  <c r="AF1" i="4"/>
  <c r="AE31" i="4"/>
  <c r="AE27" i="4"/>
  <c r="AE25" i="4"/>
  <c r="AE22" i="4"/>
  <c r="AE65" i="4"/>
  <c r="AE171" i="4" s="1"/>
  <c r="AE63" i="4"/>
  <c r="AF35" i="4"/>
  <c r="AF38" i="4"/>
  <c r="AE26" i="4"/>
  <c r="AE24" i="4"/>
  <c r="AE29" i="4"/>
  <c r="AE60" i="4"/>
  <c r="AE166" i="4" s="1"/>
  <c r="AF32" i="4"/>
  <c r="AF36" i="4"/>
  <c r="AE62" i="4"/>
  <c r="AF34" i="4"/>
  <c r="AE64" i="4"/>
  <c r="AF196" i="4"/>
  <c r="AF40" i="4"/>
  <c r="AF13" i="4"/>
  <c r="AF11" i="4"/>
  <c r="AF12" i="4" s="1"/>
  <c r="AF6" i="4"/>
  <c r="AF41" i="4"/>
  <c r="AF39" i="4"/>
  <c r="AG3" i="4"/>
  <c r="AF5" i="4"/>
  <c r="V43" i="4"/>
  <c r="V45" i="4"/>
  <c r="V15" i="4"/>
  <c r="V44" i="4"/>
  <c r="W2" i="4"/>
  <c r="V16" i="4"/>
  <c r="V17" i="4"/>
  <c r="AF160" i="4"/>
  <c r="AG54" i="4"/>
  <c r="N53" i="4"/>
  <c r="O49" i="4"/>
  <c r="O18" i="4" s="1"/>
  <c r="O19" i="4" s="1"/>
  <c r="O48" i="4" s="1"/>
  <c r="O50" i="4" s="1"/>
  <c r="L69" i="4"/>
  <c r="M177" i="4"/>
  <c r="M198" i="4" s="1"/>
  <c r="M66" i="4"/>
  <c r="M178" i="4" s="1"/>
  <c r="M199" i="4" s="1"/>
  <c r="M68" i="4"/>
  <c r="H75" i="8"/>
  <c r="G81" i="8"/>
  <c r="G165" i="8"/>
  <c r="F85" i="8"/>
  <c r="E92" i="8"/>
  <c r="C140" i="8"/>
  <c r="C106" i="8"/>
  <c r="C105" i="8"/>
  <c r="C81" i="4"/>
  <c r="D75" i="4"/>
  <c r="D76" i="4" s="1"/>
  <c r="D77" i="4" s="1"/>
  <c r="C165" i="4"/>
  <c r="AG64" i="8" l="1"/>
  <c r="AG62" i="8"/>
  <c r="AG65" i="8"/>
  <c r="AG171" i="8" s="1"/>
  <c r="AH38" i="8"/>
  <c r="AG30" i="8"/>
  <c r="AG60" i="8"/>
  <c r="AG166" i="8" s="1"/>
  <c r="AG26" i="8"/>
  <c r="AG25" i="8"/>
  <c r="AH34" i="8"/>
  <c r="AG29" i="8"/>
  <c r="AH32" i="8"/>
  <c r="AG31" i="8"/>
  <c r="AG24" i="8"/>
  <c r="AH35" i="8"/>
  <c r="AG63" i="8"/>
  <c r="AG27" i="8"/>
  <c r="AH1" i="8"/>
  <c r="AH36" i="8"/>
  <c r="AG22" i="8"/>
  <c r="U53" i="8"/>
  <c r="V49" i="8"/>
  <c r="V18" i="8" s="1"/>
  <c r="V19" i="8" s="1"/>
  <c r="V48" i="8" s="1"/>
  <c r="V50" i="8" s="1"/>
  <c r="T177" i="8"/>
  <c r="T198" i="8" s="1"/>
  <c r="T68" i="8"/>
  <c r="T66" i="8"/>
  <c r="T178" i="8" s="1"/>
  <c r="T199" i="8" s="1"/>
  <c r="AE160" i="8"/>
  <c r="AF54" i="8"/>
  <c r="X43" i="8"/>
  <c r="X17" i="8"/>
  <c r="X45" i="8"/>
  <c r="Y2" i="8"/>
  <c r="X16" i="8"/>
  <c r="X15" i="8"/>
  <c r="X44" i="8"/>
  <c r="AE196" i="8"/>
  <c r="AE41" i="8"/>
  <c r="AE11" i="8"/>
  <c r="AE12" i="8" s="1"/>
  <c r="AF3" i="8"/>
  <c r="AE40" i="8"/>
  <c r="AE6" i="8"/>
  <c r="AE13" i="8"/>
  <c r="AE5" i="8"/>
  <c r="AE39" i="8"/>
  <c r="S69" i="8"/>
  <c r="AG196" i="4"/>
  <c r="AG39" i="4"/>
  <c r="AG13" i="4"/>
  <c r="AG6" i="4"/>
  <c r="AG40" i="4"/>
  <c r="AG11" i="4"/>
  <c r="AG12" i="4" s="1"/>
  <c r="AG5" i="4"/>
  <c r="AH3" i="4"/>
  <c r="AF64" i="4"/>
  <c r="AF62" i="4"/>
  <c r="AF63" i="4"/>
  <c r="AF65" i="4"/>
  <c r="AF171" i="4" s="1"/>
  <c r="AF31" i="4"/>
  <c r="AF27" i="4"/>
  <c r="AF25" i="4"/>
  <c r="AF22" i="4"/>
  <c r="AG35" i="4"/>
  <c r="AF60" i="4"/>
  <c r="AF166" i="4" s="1"/>
  <c r="AF29" i="4"/>
  <c r="AG1" i="4"/>
  <c r="AG32" i="4"/>
  <c r="AG38" i="4"/>
  <c r="AG41" i="4" s="1"/>
  <c r="AF26" i="4"/>
  <c r="AF24" i="4"/>
  <c r="AG36" i="4"/>
  <c r="AG34" i="4"/>
  <c r="AF30" i="4"/>
  <c r="N177" i="4"/>
  <c r="N198" i="4" s="1"/>
  <c r="N68" i="4"/>
  <c r="N66" i="4"/>
  <c r="N178" i="4" s="1"/>
  <c r="N199" i="4" s="1"/>
  <c r="O53" i="4"/>
  <c r="P49" i="4"/>
  <c r="P18" i="4" s="1"/>
  <c r="P19" i="4" s="1"/>
  <c r="P48" i="4" s="1"/>
  <c r="P50" i="4" s="1"/>
  <c r="M69" i="4"/>
  <c r="W43" i="4"/>
  <c r="X2" i="4"/>
  <c r="W44" i="4"/>
  <c r="W15" i="4"/>
  <c r="W17" i="4"/>
  <c r="W45" i="4"/>
  <c r="W16" i="4"/>
  <c r="AG160" i="4"/>
  <c r="AH54" i="4"/>
  <c r="V46" i="4"/>
  <c r="H78" i="8"/>
  <c r="H79" i="8" s="1"/>
  <c r="H76" i="8"/>
  <c r="H77" i="8" s="1"/>
  <c r="I74" i="8" s="1"/>
  <c r="D102" i="8"/>
  <c r="C109" i="8"/>
  <c r="E149" i="8"/>
  <c r="E93" i="8"/>
  <c r="F91" i="8"/>
  <c r="F90" i="8"/>
  <c r="G82" i="8"/>
  <c r="F86" i="8" s="1"/>
  <c r="D78" i="4"/>
  <c r="D79" i="4" s="1"/>
  <c r="D165" i="4"/>
  <c r="E74" i="4"/>
  <c r="E75" i="4" s="1"/>
  <c r="C82" i="4"/>
  <c r="X46" i="8" l="1"/>
  <c r="AF160" i="8"/>
  <c r="AG54" i="8"/>
  <c r="AH62" i="8"/>
  <c r="AI36" i="8"/>
  <c r="AH24" i="8"/>
  <c r="AH30" i="8"/>
  <c r="AH63" i="8"/>
  <c r="AI34" i="8"/>
  <c r="AH29" i="8"/>
  <c r="AH22" i="8"/>
  <c r="AI32" i="8"/>
  <c r="AH31" i="8"/>
  <c r="AH64" i="8"/>
  <c r="AI35" i="8"/>
  <c r="AH27" i="8"/>
  <c r="AI1" i="8"/>
  <c r="AH26" i="8"/>
  <c r="AI38" i="8"/>
  <c r="AH25" i="8"/>
  <c r="AH65" i="8"/>
  <c r="AH171" i="8" s="1"/>
  <c r="AH60" i="8"/>
  <c r="AH166" i="8" s="1"/>
  <c r="AF196" i="8"/>
  <c r="AF41" i="8"/>
  <c r="AG3" i="8"/>
  <c r="AF13" i="8"/>
  <c r="AF39" i="8"/>
  <c r="AF40" i="8"/>
  <c r="AF6" i="8"/>
  <c r="AF11" i="8"/>
  <c r="AF12" i="8" s="1"/>
  <c r="AF5" i="8"/>
  <c r="T69" i="8"/>
  <c r="I75" i="8"/>
  <c r="U177" i="8"/>
  <c r="U198" i="8" s="1"/>
  <c r="U66" i="8"/>
  <c r="U178" i="8" s="1"/>
  <c r="U199" i="8" s="1"/>
  <c r="U68" i="8"/>
  <c r="Z2" i="8"/>
  <c r="Y15" i="8"/>
  <c r="Y17" i="8"/>
  <c r="Y45" i="8"/>
  <c r="Y43" i="8"/>
  <c r="Y16" i="8"/>
  <c r="Y44" i="8"/>
  <c r="V53" i="8"/>
  <c r="W49" i="8"/>
  <c r="W18" i="8" s="1"/>
  <c r="W19" i="8" s="1"/>
  <c r="W48" i="8" s="1"/>
  <c r="W50" i="8" s="1"/>
  <c r="X43" i="4"/>
  <c r="Y2" i="4"/>
  <c r="X17" i="4"/>
  <c r="X15" i="4"/>
  <c r="X16" i="4"/>
  <c r="X45" i="4"/>
  <c r="X44" i="4"/>
  <c r="AH39" i="4"/>
  <c r="AH40" i="4"/>
  <c r="AH13" i="4"/>
  <c r="AH6" i="4"/>
  <c r="AH196" i="4"/>
  <c r="AH11" i="4"/>
  <c r="AH12" i="4" s="1"/>
  <c r="AI3" i="4"/>
  <c r="AH5" i="4"/>
  <c r="W46" i="4"/>
  <c r="AH160" i="4"/>
  <c r="AI54" i="4"/>
  <c r="P53" i="4"/>
  <c r="Q49" i="4"/>
  <c r="Q18" i="4" s="1"/>
  <c r="Q19" i="4" s="1"/>
  <c r="Q48" i="4" s="1"/>
  <c r="Q50" i="4" s="1"/>
  <c r="O177" i="4"/>
  <c r="O198" i="4" s="1"/>
  <c r="O66" i="4"/>
  <c r="O178" i="4" s="1"/>
  <c r="O199" i="4" s="1"/>
  <c r="O68" i="4"/>
  <c r="AG63" i="4"/>
  <c r="AG65" i="4"/>
  <c r="AG171" i="4" s="1"/>
  <c r="AH35" i="4"/>
  <c r="AG60" i="4"/>
  <c r="AG166" i="4" s="1"/>
  <c r="AG64" i="4"/>
  <c r="AG62" i="4"/>
  <c r="AH32" i="4"/>
  <c r="AH1" i="4"/>
  <c r="AG30" i="4"/>
  <c r="AH38" i="4"/>
  <c r="AH41" i="4" s="1"/>
  <c r="AG22" i="4"/>
  <c r="AG26" i="4"/>
  <c r="AH36" i="4"/>
  <c r="AH34" i="4"/>
  <c r="AG27" i="4"/>
  <c r="AG31" i="4"/>
  <c r="AG29" i="4"/>
  <c r="AG25" i="4"/>
  <c r="AG24" i="4"/>
  <c r="N69" i="4"/>
  <c r="H81" i="8"/>
  <c r="H82" i="8" s="1"/>
  <c r="H165" i="8"/>
  <c r="F89" i="8"/>
  <c r="F139" i="8"/>
  <c r="D108" i="8"/>
  <c r="D107" i="8"/>
  <c r="F87" i="8"/>
  <c r="F88" i="8" s="1"/>
  <c r="E95" i="8"/>
  <c r="C150" i="8"/>
  <c r="C110" i="8"/>
  <c r="D81" i="4"/>
  <c r="D82" i="4" s="1"/>
  <c r="C86" i="4" s="1"/>
  <c r="I78" i="8" l="1"/>
  <c r="I79" i="8" s="1"/>
  <c r="U69" i="8"/>
  <c r="I76" i="8"/>
  <c r="I77" i="8" s="1"/>
  <c r="V177" i="8"/>
  <c r="V198" i="8" s="1"/>
  <c r="V66" i="8"/>
  <c r="V178" i="8" s="1"/>
  <c r="V199" i="8" s="1"/>
  <c r="V68" i="8"/>
  <c r="AG160" i="8"/>
  <c r="AH54" i="8"/>
  <c r="W53" i="8"/>
  <c r="X49" i="8"/>
  <c r="X18" i="8" s="1"/>
  <c r="X19" i="8" s="1"/>
  <c r="X48" i="8" s="1"/>
  <c r="X50" i="8" s="1"/>
  <c r="Y46" i="8"/>
  <c r="AI30" i="8"/>
  <c r="AJ34" i="8"/>
  <c r="AI27" i="8"/>
  <c r="AI62" i="8"/>
  <c r="AJ32" i="8"/>
  <c r="AI31" i="8"/>
  <c r="AI64" i="8"/>
  <c r="AJ35" i="8"/>
  <c r="AI24" i="8"/>
  <c r="AI63" i="8"/>
  <c r="AJ36" i="8"/>
  <c r="AI22" i="8"/>
  <c r="AJ1" i="8"/>
  <c r="AI26" i="8"/>
  <c r="AI65" i="8"/>
  <c r="AI171" i="8" s="1"/>
  <c r="AI60" i="8"/>
  <c r="AI166" i="8" s="1"/>
  <c r="AI25" i="8"/>
  <c r="AJ38" i="8"/>
  <c r="AI29" i="8"/>
  <c r="Z17" i="8"/>
  <c r="Z43" i="8"/>
  <c r="Z15" i="8"/>
  <c r="Z44" i="8"/>
  <c r="AA2" i="8"/>
  <c r="Z16" i="8"/>
  <c r="Z45" i="8"/>
  <c r="AG196" i="8"/>
  <c r="AG39" i="8"/>
  <c r="AG41" i="8"/>
  <c r="AG13" i="8"/>
  <c r="AH3" i="8"/>
  <c r="AG40" i="8"/>
  <c r="AG6" i="8"/>
  <c r="AG11" i="8"/>
  <c r="AG12" i="8" s="1"/>
  <c r="AG5" i="8"/>
  <c r="O69" i="4"/>
  <c r="Y44" i="4"/>
  <c r="Z2" i="4"/>
  <c r="Y17" i="4"/>
  <c r="Y15" i="4"/>
  <c r="Y16" i="4"/>
  <c r="Y45" i="4"/>
  <c r="Y43" i="4"/>
  <c r="AH63" i="4"/>
  <c r="AH60" i="4"/>
  <c r="AH166" i="4" s="1"/>
  <c r="AI34" i="4"/>
  <c r="AH30" i="4"/>
  <c r="AI36" i="4"/>
  <c r="AI38" i="4"/>
  <c r="AI41" i="4" s="1"/>
  <c r="AH26" i="4"/>
  <c r="AI35" i="4"/>
  <c r="AH22" i="4"/>
  <c r="AI32" i="4"/>
  <c r="AH65" i="4"/>
  <c r="AH171" i="4" s="1"/>
  <c r="AH64" i="4"/>
  <c r="AH62" i="4"/>
  <c r="AI1" i="4"/>
  <c r="AH29" i="4"/>
  <c r="AH25" i="4"/>
  <c r="AH24" i="4"/>
  <c r="AH31" i="4"/>
  <c r="AH27" i="4"/>
  <c r="R49" i="4"/>
  <c r="R18" i="4" s="1"/>
  <c r="R19" i="4" s="1"/>
  <c r="R48" i="4" s="1"/>
  <c r="R50" i="4" s="1"/>
  <c r="Q53" i="4"/>
  <c r="P177" i="4"/>
  <c r="P198" i="4" s="1"/>
  <c r="P68" i="4"/>
  <c r="P66" i="4"/>
  <c r="P178" i="4" s="1"/>
  <c r="P199" i="4" s="1"/>
  <c r="X46" i="4"/>
  <c r="AI196" i="4"/>
  <c r="AI39" i="4"/>
  <c r="AI40" i="4"/>
  <c r="AI13" i="4"/>
  <c r="AI6" i="4"/>
  <c r="AJ3" i="4"/>
  <c r="AI5" i="4"/>
  <c r="AI11" i="4"/>
  <c r="AI12" i="4" s="1"/>
  <c r="AI160" i="4"/>
  <c r="AJ54" i="4"/>
  <c r="C112" i="8"/>
  <c r="C113" i="8" s="1"/>
  <c r="G85" i="8"/>
  <c r="F92" i="8"/>
  <c r="E96" i="8"/>
  <c r="E97" i="8" s="1"/>
  <c r="E98" i="8" s="1"/>
  <c r="C139" i="4"/>
  <c r="C89" i="4"/>
  <c r="C88" i="4"/>
  <c r="E78" i="4"/>
  <c r="E79" i="4" s="1"/>
  <c r="E76" i="4"/>
  <c r="E77" i="4" s="1"/>
  <c r="Y46" i="4" l="1"/>
  <c r="J74" i="8"/>
  <c r="I165" i="8"/>
  <c r="I81" i="8"/>
  <c r="AA43" i="8"/>
  <c r="AA17" i="8"/>
  <c r="AA44" i="8"/>
  <c r="AA45" i="8"/>
  <c r="AA16" i="8"/>
  <c r="AA15" i="8"/>
  <c r="AB2" i="8"/>
  <c r="AK34" i="8"/>
  <c r="AJ27" i="8"/>
  <c r="AK36" i="8"/>
  <c r="AJ64" i="8"/>
  <c r="AK35" i="8"/>
  <c r="AJ30" i="8"/>
  <c r="AJ24" i="8"/>
  <c r="AJ22" i="8"/>
  <c r="AJ63" i="8"/>
  <c r="AJ62" i="8"/>
  <c r="AK38" i="8"/>
  <c r="AK1" i="8"/>
  <c r="AJ25" i="8"/>
  <c r="AJ26" i="8"/>
  <c r="AK32" i="8"/>
  <c r="AJ65" i="8"/>
  <c r="AJ171" i="8" s="1"/>
  <c r="AJ60" i="8"/>
  <c r="AJ166" i="8" s="1"/>
  <c r="AJ29" i="8"/>
  <c r="AJ31" i="8"/>
  <c r="V69" i="8"/>
  <c r="Z46" i="8"/>
  <c r="AH196" i="8"/>
  <c r="AH41" i="8"/>
  <c r="AH6" i="8"/>
  <c r="AH39" i="8"/>
  <c r="AH13" i="8"/>
  <c r="AH5" i="8"/>
  <c r="AI3" i="8"/>
  <c r="AH11" i="8"/>
  <c r="AH12" i="8" s="1"/>
  <c r="AH40" i="8"/>
  <c r="AH160" i="8"/>
  <c r="AI54" i="8"/>
  <c r="Y49" i="8"/>
  <c r="Y18" i="8" s="1"/>
  <c r="Y19" i="8" s="1"/>
  <c r="Y48" i="8" s="1"/>
  <c r="Y50" i="8" s="1"/>
  <c r="X53" i="8"/>
  <c r="W177" i="8"/>
  <c r="W198" i="8" s="1"/>
  <c r="W66" i="8"/>
  <c r="W178" i="8" s="1"/>
  <c r="W199" i="8" s="1"/>
  <c r="W68" i="8"/>
  <c r="AJ160" i="4"/>
  <c r="AK54" i="4"/>
  <c r="Z17" i="4"/>
  <c r="Z15" i="4"/>
  <c r="Z44" i="4"/>
  <c r="Z16" i="4"/>
  <c r="Z45" i="4"/>
  <c r="AA2" i="4"/>
  <c r="Z43" i="4"/>
  <c r="AJ5" i="4"/>
  <c r="AK3" i="4"/>
  <c r="AJ13" i="4"/>
  <c r="AJ6" i="4"/>
  <c r="AJ196" i="4"/>
  <c r="AJ11" i="4"/>
  <c r="AJ12" i="4" s="1"/>
  <c r="AJ40" i="4"/>
  <c r="AJ39" i="4"/>
  <c r="P69" i="4"/>
  <c r="AI63" i="4"/>
  <c r="AI60" i="4"/>
  <c r="AI166" i="4" s="1"/>
  <c r="AI30" i="4"/>
  <c r="AJ34" i="4"/>
  <c r="AI26" i="4"/>
  <c r="AJ35" i="4"/>
  <c r="AI22" i="4"/>
  <c r="AI24" i="4"/>
  <c r="AJ32" i="4"/>
  <c r="AI65" i="4"/>
  <c r="AI171" i="4" s="1"/>
  <c r="AI64" i="4"/>
  <c r="AI62" i="4"/>
  <c r="AJ36" i="4"/>
  <c r="AJ1" i="4"/>
  <c r="AI29" i="4"/>
  <c r="AI25" i="4"/>
  <c r="AI31" i="4"/>
  <c r="AJ38" i="4"/>
  <c r="AJ41" i="4" s="1"/>
  <c r="AI27" i="4"/>
  <c r="Q68" i="4"/>
  <c r="Q177" i="4"/>
  <c r="Q198" i="4" s="1"/>
  <c r="Q66" i="4"/>
  <c r="Q178" i="4" s="1"/>
  <c r="Q199" i="4" s="1"/>
  <c r="R53" i="4"/>
  <c r="S49" i="4"/>
  <c r="S18" i="4" s="1"/>
  <c r="S19" i="4" s="1"/>
  <c r="S48" i="4" s="1"/>
  <c r="S50" i="4" s="1"/>
  <c r="E99" i="8"/>
  <c r="D103" i="8" s="1"/>
  <c r="G86" i="8"/>
  <c r="C114" i="8"/>
  <c r="C115" i="8" s="1"/>
  <c r="F149" i="8"/>
  <c r="F93" i="8"/>
  <c r="G91" i="8"/>
  <c r="G90" i="8"/>
  <c r="E81" i="4"/>
  <c r="E165" i="4"/>
  <c r="F74" i="4"/>
  <c r="F75" i="4" s="1"/>
  <c r="D85" i="4"/>
  <c r="C92" i="4"/>
  <c r="X177" i="8" l="1"/>
  <c r="X198" i="8" s="1"/>
  <c r="X68" i="8"/>
  <c r="X66" i="8"/>
  <c r="X178" i="8" s="1"/>
  <c r="X199" i="8" s="1"/>
  <c r="Z46" i="4"/>
  <c r="Y53" i="8"/>
  <c r="Z49" i="8"/>
  <c r="Z18" i="8" s="1"/>
  <c r="Z19" i="8" s="1"/>
  <c r="Z48" i="8" s="1"/>
  <c r="Z50" i="8" s="1"/>
  <c r="AB43" i="8"/>
  <c r="AB15" i="8"/>
  <c r="AB44" i="8"/>
  <c r="AB16" i="8"/>
  <c r="AB17" i="8"/>
  <c r="AB45" i="8"/>
  <c r="AC2" i="8"/>
  <c r="AI160" i="8"/>
  <c r="AJ54" i="8"/>
  <c r="AI196" i="8"/>
  <c r="AI13" i="8"/>
  <c r="AI40" i="8"/>
  <c r="AI39" i="8"/>
  <c r="AI41" i="8"/>
  <c r="AI6" i="8"/>
  <c r="AI5" i="8"/>
  <c r="AI11" i="8"/>
  <c r="AI12" i="8" s="1"/>
  <c r="AJ3" i="8"/>
  <c r="AA46" i="8"/>
  <c r="W69" i="8"/>
  <c r="AK63" i="8"/>
  <c r="AL34" i="8"/>
  <c r="AK27" i="8"/>
  <c r="AL36" i="8"/>
  <c r="AK25" i="8"/>
  <c r="AK64" i="8"/>
  <c r="AK22" i="8"/>
  <c r="AK26" i="8"/>
  <c r="AL32" i="8"/>
  <c r="AL38" i="8"/>
  <c r="AK30" i="8"/>
  <c r="AK29" i="8"/>
  <c r="AK24" i="8"/>
  <c r="AK62" i="8"/>
  <c r="AK31" i="8"/>
  <c r="AL35" i="8"/>
  <c r="AK65" i="8"/>
  <c r="AK171" i="8" s="1"/>
  <c r="AK60" i="8"/>
  <c r="AK166" i="8" s="1"/>
  <c r="AL1" i="8"/>
  <c r="I82" i="8"/>
  <c r="J75" i="8"/>
  <c r="AK196" i="4"/>
  <c r="AK39" i="4"/>
  <c r="AK5" i="4"/>
  <c r="AK40" i="4"/>
  <c r="AK13" i="4"/>
  <c r="AK11" i="4"/>
  <c r="AK12" i="4" s="1"/>
  <c r="AK6" i="4"/>
  <c r="AL3" i="4"/>
  <c r="T49" i="4"/>
  <c r="T18" i="4" s="1"/>
  <c r="T19" i="4" s="1"/>
  <c r="T48" i="4" s="1"/>
  <c r="T50" i="4" s="1"/>
  <c r="S53" i="4"/>
  <c r="Q69" i="4"/>
  <c r="AK36" i="4"/>
  <c r="AK34" i="4"/>
  <c r="AJ62" i="4"/>
  <c r="AJ64" i="4"/>
  <c r="AJ30" i="4"/>
  <c r="AK38" i="4"/>
  <c r="AK41" i="4" s="1"/>
  <c r="AJ26" i="4"/>
  <c r="AJ24" i="4"/>
  <c r="AK35" i="4"/>
  <c r="AJ22" i="4"/>
  <c r="AJ27" i="4"/>
  <c r="AK32" i="4"/>
  <c r="AJ63" i="4"/>
  <c r="AJ60" i="4"/>
  <c r="AJ166" i="4" s="1"/>
  <c r="AJ31" i="4"/>
  <c r="AJ29" i="4"/>
  <c r="AJ25" i="4"/>
  <c r="AJ65" i="4"/>
  <c r="AJ171" i="4" s="1"/>
  <c r="AK1" i="4"/>
  <c r="AA45" i="4"/>
  <c r="AA43" i="4"/>
  <c r="AA16" i="4"/>
  <c r="AA17" i="4"/>
  <c r="AB2" i="4"/>
  <c r="AA15" i="4"/>
  <c r="AA44" i="4"/>
  <c r="AK160" i="4"/>
  <c r="AL54" i="4"/>
  <c r="R68" i="4"/>
  <c r="R66" i="4"/>
  <c r="R178" i="4" s="1"/>
  <c r="R199" i="4" s="1"/>
  <c r="R177" i="4"/>
  <c r="R198" i="4" s="1"/>
  <c r="C116" i="8"/>
  <c r="G89" i="8"/>
  <c r="G139" i="8"/>
  <c r="G87" i="8"/>
  <c r="G88" i="8" s="1"/>
  <c r="H85" i="8" s="1"/>
  <c r="D106" i="8"/>
  <c r="D140" i="8"/>
  <c r="D104" i="8"/>
  <c r="D105" i="8" s="1"/>
  <c r="F95" i="8"/>
  <c r="E82" i="4"/>
  <c r="D86" i="4" s="1"/>
  <c r="F76" i="4"/>
  <c r="F77" i="4" s="1"/>
  <c r="C149" i="4"/>
  <c r="C93" i="4"/>
  <c r="D90" i="4"/>
  <c r="D91" i="4"/>
  <c r="AA46" i="4" l="1"/>
  <c r="AB46" i="8"/>
  <c r="AL65" i="8"/>
  <c r="AL171" i="8" s="1"/>
  <c r="AL63" i="8"/>
  <c r="AM36" i="8"/>
  <c r="AL60" i="8"/>
  <c r="AL166" i="8" s="1"/>
  <c r="AL31" i="8"/>
  <c r="AM38" i="8"/>
  <c r="AL26" i="8"/>
  <c r="AM34" i="8"/>
  <c r="AL25" i="8"/>
  <c r="AL64" i="8"/>
  <c r="AM32" i="8"/>
  <c r="AL30" i="8"/>
  <c r="AL29" i="8"/>
  <c r="AL24" i="8"/>
  <c r="AM35" i="8"/>
  <c r="AL22" i="8"/>
  <c r="AL62" i="8"/>
  <c r="AM1" i="8"/>
  <c r="AL27" i="8"/>
  <c r="Z53" i="8"/>
  <c r="AA49" i="8"/>
  <c r="AA18" i="8" s="1"/>
  <c r="AA19" i="8" s="1"/>
  <c r="AA48" i="8" s="1"/>
  <c r="AA50" i="8" s="1"/>
  <c r="X69" i="8"/>
  <c r="Y177" i="8"/>
  <c r="Y198" i="8" s="1"/>
  <c r="Y66" i="8"/>
  <c r="Y178" i="8" s="1"/>
  <c r="Y199" i="8" s="1"/>
  <c r="Y68" i="8"/>
  <c r="AJ196" i="8"/>
  <c r="AJ5" i="8"/>
  <c r="AJ40" i="8"/>
  <c r="AJ6" i="8"/>
  <c r="AJ39" i="8"/>
  <c r="AJ13" i="8"/>
  <c r="AJ11" i="8"/>
  <c r="AJ12" i="8" s="1"/>
  <c r="AJ41" i="8"/>
  <c r="AK3" i="8"/>
  <c r="AC44" i="8"/>
  <c r="AC45" i="8"/>
  <c r="AC17" i="8"/>
  <c r="AC16" i="8"/>
  <c r="AC43" i="8"/>
  <c r="AC15" i="8"/>
  <c r="AD2" i="8"/>
  <c r="AJ160" i="8"/>
  <c r="AK54" i="8"/>
  <c r="J78" i="8"/>
  <c r="J79" i="8" s="1"/>
  <c r="J76" i="8"/>
  <c r="J77" i="8" s="1"/>
  <c r="S177" i="4"/>
  <c r="S198" i="4" s="1"/>
  <c r="S68" i="4"/>
  <c r="S66" i="4"/>
  <c r="S178" i="4" s="1"/>
  <c r="S199" i="4" s="1"/>
  <c r="T53" i="4"/>
  <c r="U49" i="4"/>
  <c r="U18" i="4" s="1"/>
  <c r="U19" i="4" s="1"/>
  <c r="U48" i="4" s="1"/>
  <c r="U50" i="4" s="1"/>
  <c r="AL196" i="4"/>
  <c r="AL5" i="4"/>
  <c r="AM3" i="4"/>
  <c r="AL11" i="4"/>
  <c r="AL12" i="4" s="1"/>
  <c r="AL6" i="4"/>
  <c r="AL40" i="4"/>
  <c r="AL39" i="4"/>
  <c r="AL13" i="4"/>
  <c r="AL160" i="4"/>
  <c r="AM54" i="4"/>
  <c r="AM160" i="4" s="1"/>
  <c r="R69" i="4"/>
  <c r="AK31" i="4"/>
  <c r="AK29" i="4"/>
  <c r="AK62" i="4"/>
  <c r="AK65" i="4"/>
  <c r="AK171" i="4" s="1"/>
  <c r="AL34" i="4"/>
  <c r="AK26" i="4"/>
  <c r="AK24" i="4"/>
  <c r="AL38" i="4"/>
  <c r="AL41" i="4" s="1"/>
  <c r="AK27" i="4"/>
  <c r="AK25" i="4"/>
  <c r="AK22" i="4"/>
  <c r="AL32" i="4"/>
  <c r="AK30" i="4"/>
  <c r="AK63" i="4"/>
  <c r="AK60" i="4"/>
  <c r="AK166" i="4" s="1"/>
  <c r="AL1" i="4"/>
  <c r="AL36" i="4"/>
  <c r="AL35" i="4"/>
  <c r="AK64" i="4"/>
  <c r="AB45" i="4"/>
  <c r="AB43" i="4"/>
  <c r="AB16" i="4"/>
  <c r="AC2" i="4"/>
  <c r="AB15" i="4"/>
  <c r="AB44" i="4"/>
  <c r="AB17" i="4"/>
  <c r="H86" i="8"/>
  <c r="H139" i="8" s="1"/>
  <c r="H91" i="8"/>
  <c r="H90" i="8"/>
  <c r="F96" i="8"/>
  <c r="F97" i="8" s="1"/>
  <c r="F98" i="8" s="1"/>
  <c r="E102" i="8"/>
  <c r="D109" i="8"/>
  <c r="G92" i="8"/>
  <c r="D87" i="4"/>
  <c r="D88" i="4" s="1"/>
  <c r="E85" i="4" s="1"/>
  <c r="F165" i="4"/>
  <c r="G74" i="4"/>
  <c r="G75" i="4" s="1"/>
  <c r="D89" i="4"/>
  <c r="D139" i="4"/>
  <c r="F78" i="4"/>
  <c r="F79" i="4" s="1"/>
  <c r="C95" i="4"/>
  <c r="C96" i="4" s="1"/>
  <c r="AB46" i="4" l="1"/>
  <c r="J165" i="8"/>
  <c r="K74" i="8"/>
  <c r="J81" i="8"/>
  <c r="AK40" i="8"/>
  <c r="AK11" i="8"/>
  <c r="AK12" i="8" s="1"/>
  <c r="AK39" i="8"/>
  <c r="AK13" i="8"/>
  <c r="AK6" i="8"/>
  <c r="AK41" i="8"/>
  <c r="AK5" i="8"/>
  <c r="AK196" i="8"/>
  <c r="AL3" i="8"/>
  <c r="Y69" i="8"/>
  <c r="AK160" i="8"/>
  <c r="AL54" i="8"/>
  <c r="AB49" i="8"/>
  <c r="AB18" i="8" s="1"/>
  <c r="AB19" i="8" s="1"/>
  <c r="AB48" i="8" s="1"/>
  <c r="AB50" i="8" s="1"/>
  <c r="AA53" i="8"/>
  <c r="AD45" i="8"/>
  <c r="AD17" i="8"/>
  <c r="AD44" i="8"/>
  <c r="AD16" i="8"/>
  <c r="AE2" i="8"/>
  <c r="AD43" i="8"/>
  <c r="AD15" i="8"/>
  <c r="Z177" i="8"/>
  <c r="Z198" i="8" s="1"/>
  <c r="Z66" i="8"/>
  <c r="Z178" i="8" s="1"/>
  <c r="Z199" i="8" s="1"/>
  <c r="Z68" i="8"/>
  <c r="AC46" i="8"/>
  <c r="AM63" i="8"/>
  <c r="AM65" i="8"/>
  <c r="AM171" i="8" s="1"/>
  <c r="AM60" i="8"/>
  <c r="AM166" i="8" s="1"/>
  <c r="AM25" i="8"/>
  <c r="AM31" i="8"/>
  <c r="AM22" i="8"/>
  <c r="AM29" i="8"/>
  <c r="AM64" i="8"/>
  <c r="AM62" i="8"/>
  <c r="AM27" i="8"/>
  <c r="AM26" i="8"/>
  <c r="AM24" i="8"/>
  <c r="AM30" i="8"/>
  <c r="AM196" i="4"/>
  <c r="AM11" i="4"/>
  <c r="AM12" i="4" s="1"/>
  <c r="AM39" i="4"/>
  <c r="AM5" i="4"/>
  <c r="AM40" i="4"/>
  <c r="AM6" i="4"/>
  <c r="AM13" i="4"/>
  <c r="U53" i="4"/>
  <c r="V49" i="4"/>
  <c r="V18" i="4" s="1"/>
  <c r="V19" i="4" s="1"/>
  <c r="V48" i="4" s="1"/>
  <c r="V50" i="4" s="1"/>
  <c r="AL65" i="4"/>
  <c r="AL171" i="4" s="1"/>
  <c r="AL63" i="4"/>
  <c r="AL60" i="4"/>
  <c r="AL166" i="4" s="1"/>
  <c r="AL62" i="4"/>
  <c r="AM38" i="4"/>
  <c r="AM41" i="4" s="1"/>
  <c r="AL26" i="4"/>
  <c r="AL24" i="4"/>
  <c r="AM32" i="4"/>
  <c r="AL29" i="4"/>
  <c r="AM35" i="4"/>
  <c r="AL31" i="4"/>
  <c r="AL27" i="4"/>
  <c r="AL30" i="4"/>
  <c r="AM36" i="4"/>
  <c r="AL25" i="4"/>
  <c r="AM1" i="4"/>
  <c r="AL64" i="4"/>
  <c r="AM34" i="4"/>
  <c r="AL22" i="4"/>
  <c r="T177" i="4"/>
  <c r="T198" i="4" s="1"/>
  <c r="T66" i="4"/>
  <c r="T178" i="4" s="1"/>
  <c r="T199" i="4" s="1"/>
  <c r="T68" i="4"/>
  <c r="AC45" i="4"/>
  <c r="AC43" i="4"/>
  <c r="AC16" i="4"/>
  <c r="AD2" i="4"/>
  <c r="AC44" i="4"/>
  <c r="AC15" i="4"/>
  <c r="AC17" i="4"/>
  <c r="S69" i="4"/>
  <c r="H89" i="8"/>
  <c r="H87" i="8"/>
  <c r="H88" i="8" s="1"/>
  <c r="E108" i="8"/>
  <c r="E107" i="8"/>
  <c r="G149" i="8"/>
  <c r="F99" i="8"/>
  <c r="E103" i="8" s="1"/>
  <c r="G93" i="8"/>
  <c r="D150" i="8"/>
  <c r="D110" i="8"/>
  <c r="C97" i="4"/>
  <c r="C98" i="4" s="1"/>
  <c r="F81" i="4"/>
  <c r="D92" i="4"/>
  <c r="G76" i="4"/>
  <c r="E90" i="4"/>
  <c r="E91" i="4"/>
  <c r="AA177" i="8" l="1"/>
  <c r="AA198" i="8" s="1"/>
  <c r="AA66" i="8"/>
  <c r="AA178" i="8" s="1"/>
  <c r="AA199" i="8" s="1"/>
  <c r="AA68" i="8"/>
  <c r="AC49" i="8"/>
  <c r="AC18" i="8" s="1"/>
  <c r="AC19" i="8" s="1"/>
  <c r="AC48" i="8" s="1"/>
  <c r="AC50" i="8" s="1"/>
  <c r="AB53" i="8"/>
  <c r="Z69" i="8"/>
  <c r="AL160" i="8"/>
  <c r="AM54" i="8"/>
  <c r="AM160" i="8" s="1"/>
  <c r="AL196" i="8"/>
  <c r="AL40" i="8"/>
  <c r="AL41" i="8"/>
  <c r="AM3" i="8"/>
  <c r="AL11" i="8"/>
  <c r="AL12" i="8" s="1"/>
  <c r="AL5" i="8"/>
  <c r="AL13" i="8"/>
  <c r="AL39" i="8"/>
  <c r="AL6" i="8"/>
  <c r="J82" i="8"/>
  <c r="AD46" i="8"/>
  <c r="K75" i="8"/>
  <c r="H92" i="8"/>
  <c r="H149" i="8" s="1"/>
  <c r="I85" i="8"/>
  <c r="AE45" i="8"/>
  <c r="AE16" i="8"/>
  <c r="AE44" i="8"/>
  <c r="AE15" i="8"/>
  <c r="AE43" i="8"/>
  <c r="AE17" i="8"/>
  <c r="AF2" i="8"/>
  <c r="W49" i="4"/>
  <c r="W18" i="4" s="1"/>
  <c r="W19" i="4" s="1"/>
  <c r="W48" i="4" s="1"/>
  <c r="W50" i="4" s="1"/>
  <c r="V53" i="4"/>
  <c r="U177" i="4"/>
  <c r="U198" i="4" s="1"/>
  <c r="U66" i="4"/>
  <c r="U178" i="4" s="1"/>
  <c r="U199" i="4" s="1"/>
  <c r="U68" i="4"/>
  <c r="AD16" i="4"/>
  <c r="AE2" i="4"/>
  <c r="AD17" i="4"/>
  <c r="AD45" i="4"/>
  <c r="AD43" i="4"/>
  <c r="AD44" i="4"/>
  <c r="AD15" i="4"/>
  <c r="AM65" i="4"/>
  <c r="AM171" i="4" s="1"/>
  <c r="AM29" i="4"/>
  <c r="AM64" i="4"/>
  <c r="AM24" i="4"/>
  <c r="AM30" i="4"/>
  <c r="AM27" i="4"/>
  <c r="AM31" i="4"/>
  <c r="AM63" i="4"/>
  <c r="AM22" i="4"/>
  <c r="AM60" i="4"/>
  <c r="AM166" i="4" s="1"/>
  <c r="AM25" i="4"/>
  <c r="AM62" i="4"/>
  <c r="AM26" i="4"/>
  <c r="T69" i="4"/>
  <c r="AC46" i="4"/>
  <c r="E106" i="8"/>
  <c r="E140" i="8"/>
  <c r="D112" i="8"/>
  <c r="D113" i="8" s="1"/>
  <c r="G95" i="8"/>
  <c r="E104" i="8"/>
  <c r="E105" i="8" s="1"/>
  <c r="C99" i="4"/>
  <c r="D149" i="4"/>
  <c r="D93" i="4"/>
  <c r="D95" i="4" s="1"/>
  <c r="D96" i="4" s="1"/>
  <c r="G77" i="4"/>
  <c r="H74" i="4" s="1"/>
  <c r="F82" i="4"/>
  <c r="E86" i="4" s="1"/>
  <c r="G78" i="4"/>
  <c r="G79" i="4" s="1"/>
  <c r="AE46" i="8" l="1"/>
  <c r="I86" i="8"/>
  <c r="I89" i="8"/>
  <c r="I139" i="8"/>
  <c r="I145" i="8" s="1"/>
  <c r="I163" i="8" s="1"/>
  <c r="I91" i="8"/>
  <c r="I90" i="8"/>
  <c r="I87" i="8"/>
  <c r="I88" i="8" s="1"/>
  <c r="AB177" i="8"/>
  <c r="AB198" i="8" s="1"/>
  <c r="AB68" i="8"/>
  <c r="AB66" i="8"/>
  <c r="AB178" i="8" s="1"/>
  <c r="AB199" i="8" s="1"/>
  <c r="AD49" i="8"/>
  <c r="AD18" i="8" s="1"/>
  <c r="AD19" i="8" s="1"/>
  <c r="AD48" i="8" s="1"/>
  <c r="AD50" i="8" s="1"/>
  <c r="AC53" i="8"/>
  <c r="AA69" i="8"/>
  <c r="AF16" i="8"/>
  <c r="AF15" i="8"/>
  <c r="AF45" i="8"/>
  <c r="AF43" i="8"/>
  <c r="AF44" i="8"/>
  <c r="AG2" i="8"/>
  <c r="AF17" i="8"/>
  <c r="AM196" i="8"/>
  <c r="AM5" i="8"/>
  <c r="AM11" i="8"/>
  <c r="AM12" i="8" s="1"/>
  <c r="AM39" i="8"/>
  <c r="AM6" i="8"/>
  <c r="AM41" i="8"/>
  <c r="AM13" i="8"/>
  <c r="AM40" i="8"/>
  <c r="K78" i="8"/>
  <c r="K79" i="8" s="1"/>
  <c r="K76" i="8"/>
  <c r="K77" i="8" s="1"/>
  <c r="H93" i="8"/>
  <c r="AD46" i="4"/>
  <c r="U69" i="4"/>
  <c r="AE45" i="4"/>
  <c r="AE43" i="4"/>
  <c r="AE16" i="4"/>
  <c r="AE44" i="4"/>
  <c r="AE17" i="4"/>
  <c r="AE15" i="4"/>
  <c r="AF2" i="4"/>
  <c r="V177" i="4"/>
  <c r="V198" i="4" s="1"/>
  <c r="V66" i="4"/>
  <c r="V178" i="4" s="1"/>
  <c r="V199" i="4" s="1"/>
  <c r="V68" i="4"/>
  <c r="W53" i="4"/>
  <c r="X49" i="4"/>
  <c r="X18" i="4" s="1"/>
  <c r="X19" i="4" s="1"/>
  <c r="X48" i="4" s="1"/>
  <c r="X50" i="4" s="1"/>
  <c r="H75" i="4"/>
  <c r="F102" i="8"/>
  <c r="E109" i="8"/>
  <c r="D114" i="8"/>
  <c r="D115" i="8" s="1"/>
  <c r="G96" i="8"/>
  <c r="G97" i="8" s="1"/>
  <c r="D97" i="4"/>
  <c r="D98" i="4" s="1"/>
  <c r="G81" i="4"/>
  <c r="G165" i="4"/>
  <c r="E89" i="4"/>
  <c r="E139" i="4"/>
  <c r="E87" i="4"/>
  <c r="E88" i="4" s="1"/>
  <c r="K81" i="8" l="1"/>
  <c r="K165" i="8"/>
  <c r="L74" i="8"/>
  <c r="J85" i="8"/>
  <c r="I92" i="8"/>
  <c r="I149" i="8" s="1"/>
  <c r="I155" i="8" s="1"/>
  <c r="I169" i="8" s="1"/>
  <c r="AB69" i="8"/>
  <c r="AG16" i="8"/>
  <c r="AG43" i="8"/>
  <c r="AG15" i="8"/>
  <c r="AG44" i="8"/>
  <c r="AG45" i="8"/>
  <c r="AH2" i="8"/>
  <c r="AG17" i="8"/>
  <c r="AF46" i="8"/>
  <c r="AE49" i="8"/>
  <c r="AE18" i="8" s="1"/>
  <c r="AE19" i="8" s="1"/>
  <c r="AE48" i="8" s="1"/>
  <c r="AE50" i="8" s="1"/>
  <c r="AD53" i="8"/>
  <c r="H95" i="8"/>
  <c r="H96" i="8" s="1"/>
  <c r="H97" i="8" s="1"/>
  <c r="AE46" i="4"/>
  <c r="AC68" i="8"/>
  <c r="AC177" i="8"/>
  <c r="AC198" i="8" s="1"/>
  <c r="AC66" i="8"/>
  <c r="AC178" i="8" s="1"/>
  <c r="AC199" i="8" s="1"/>
  <c r="Y49" i="4"/>
  <c r="Y18" i="4" s="1"/>
  <c r="Y19" i="4" s="1"/>
  <c r="Y48" i="4" s="1"/>
  <c r="Y50" i="4" s="1"/>
  <c r="X53" i="4"/>
  <c r="W177" i="4"/>
  <c r="W198" i="4" s="1"/>
  <c r="W66" i="4"/>
  <c r="W178" i="4" s="1"/>
  <c r="W199" i="4" s="1"/>
  <c r="W68" i="4"/>
  <c r="V69" i="4"/>
  <c r="AF16" i="4"/>
  <c r="AF44" i="4"/>
  <c r="AF45" i="4"/>
  <c r="AF43" i="4"/>
  <c r="AF17" i="4"/>
  <c r="AG2" i="4"/>
  <c r="AF15" i="4"/>
  <c r="H78" i="4"/>
  <c r="H79" i="4" s="1"/>
  <c r="H76" i="4"/>
  <c r="H77" i="4" s="1"/>
  <c r="G98" i="8"/>
  <c r="G99" i="8" s="1"/>
  <c r="D116" i="8"/>
  <c r="C120" i="8" s="1"/>
  <c r="E150" i="8"/>
  <c r="E110" i="8"/>
  <c r="F107" i="8"/>
  <c r="F108" i="8"/>
  <c r="D99" i="4"/>
  <c r="C103" i="4" s="1"/>
  <c r="F85" i="4"/>
  <c r="E92" i="4"/>
  <c r="G82" i="4"/>
  <c r="I93" i="8" l="1"/>
  <c r="I95" i="8" s="1"/>
  <c r="AF46" i="4"/>
  <c r="AH45" i="8"/>
  <c r="AH44" i="8"/>
  <c r="AH15" i="8"/>
  <c r="AH43" i="8"/>
  <c r="AH16" i="8"/>
  <c r="AH17" i="8"/>
  <c r="AI2" i="8"/>
  <c r="AC69" i="8"/>
  <c r="AG46" i="8"/>
  <c r="H98" i="8"/>
  <c r="H99" i="8" s="1"/>
  <c r="AD68" i="8"/>
  <c r="AD177" i="8"/>
  <c r="AD198" i="8" s="1"/>
  <c r="AD66" i="8"/>
  <c r="AD178" i="8" s="1"/>
  <c r="AD199" i="8" s="1"/>
  <c r="J91" i="8"/>
  <c r="J90" i="8"/>
  <c r="I96" i="8"/>
  <c r="I97" i="8" s="1"/>
  <c r="I98" i="8" s="1"/>
  <c r="AF49" i="8"/>
  <c r="AF18" i="8" s="1"/>
  <c r="AF19" i="8" s="1"/>
  <c r="AF48" i="8" s="1"/>
  <c r="AF50" i="8" s="1"/>
  <c r="AE53" i="8"/>
  <c r="L75" i="8"/>
  <c r="L76" i="8" s="1"/>
  <c r="K82" i="8"/>
  <c r="J86" i="8" s="1"/>
  <c r="W69" i="4"/>
  <c r="AG44" i="4"/>
  <c r="AG45" i="4"/>
  <c r="AG43" i="4"/>
  <c r="AH2" i="4"/>
  <c r="AG17" i="4"/>
  <c r="AG16" i="4"/>
  <c r="AG15" i="4"/>
  <c r="X177" i="4"/>
  <c r="X198" i="4" s="1"/>
  <c r="X68" i="4"/>
  <c r="X66" i="4"/>
  <c r="X178" i="4" s="1"/>
  <c r="X199" i="4" s="1"/>
  <c r="Y53" i="4"/>
  <c r="Z49" i="4"/>
  <c r="Z18" i="4" s="1"/>
  <c r="Z19" i="4" s="1"/>
  <c r="Z48" i="4" s="1"/>
  <c r="Z50" i="4" s="1"/>
  <c r="H81" i="4"/>
  <c r="H82" i="4" s="1"/>
  <c r="H165" i="4"/>
  <c r="I74" i="4"/>
  <c r="F103" i="8"/>
  <c r="C123" i="8"/>
  <c r="C141" i="8"/>
  <c r="C122" i="8"/>
  <c r="E112" i="8"/>
  <c r="E113" i="8" s="1"/>
  <c r="C140" i="4"/>
  <c r="C105" i="4"/>
  <c r="D102" i="4" s="1"/>
  <c r="D107" i="4" s="1"/>
  <c r="C106" i="4"/>
  <c r="F86" i="4"/>
  <c r="E93" i="4"/>
  <c r="E95" i="4" s="1"/>
  <c r="E96" i="4" s="1"/>
  <c r="E149" i="4"/>
  <c r="F91" i="4"/>
  <c r="F90" i="4"/>
  <c r="AH46" i="8" l="1"/>
  <c r="J87" i="8"/>
  <c r="J88" i="8" s="1"/>
  <c r="AE177" i="8"/>
  <c r="AE198" i="8" s="1"/>
  <c r="AE66" i="8"/>
  <c r="AE178" i="8" s="1"/>
  <c r="AE199" i="8" s="1"/>
  <c r="AE68" i="8"/>
  <c r="AF53" i="8"/>
  <c r="AG49" i="8"/>
  <c r="AG18" i="8" s="1"/>
  <c r="AG19" i="8" s="1"/>
  <c r="AG48" i="8" s="1"/>
  <c r="AG50" i="8" s="1"/>
  <c r="AI44" i="8"/>
  <c r="AJ2" i="8"/>
  <c r="AI45" i="8"/>
  <c r="AI17" i="8"/>
  <c r="AI43" i="8"/>
  <c r="AI16" i="8"/>
  <c r="AI15" i="8"/>
  <c r="I99" i="8"/>
  <c r="L78" i="8"/>
  <c r="L79" i="8" s="1"/>
  <c r="L77" i="8"/>
  <c r="AD69" i="8"/>
  <c r="J89" i="8"/>
  <c r="J139" i="8"/>
  <c r="J145" i="8" s="1"/>
  <c r="J163" i="8" s="1"/>
  <c r="AA49" i="4"/>
  <c r="AA18" i="4" s="1"/>
  <c r="AA19" i="4" s="1"/>
  <c r="AA48" i="4" s="1"/>
  <c r="AA50" i="4" s="1"/>
  <c r="Z53" i="4"/>
  <c r="Y177" i="4"/>
  <c r="Y198" i="4" s="1"/>
  <c r="Y66" i="4"/>
  <c r="Y178" i="4" s="1"/>
  <c r="Y199" i="4" s="1"/>
  <c r="Y68" i="4"/>
  <c r="X69" i="4"/>
  <c r="AG46" i="4"/>
  <c r="AI2" i="4"/>
  <c r="AH17" i="4"/>
  <c r="AH15" i="4"/>
  <c r="AH43" i="4"/>
  <c r="AH44" i="4"/>
  <c r="AH16" i="4"/>
  <c r="AH45" i="4"/>
  <c r="F104" i="8"/>
  <c r="F105" i="8" s="1"/>
  <c r="G102" i="8" s="1"/>
  <c r="G108" i="8" s="1"/>
  <c r="F87" i="4"/>
  <c r="F88" i="4" s="1"/>
  <c r="G85" i="4" s="1"/>
  <c r="G86" i="4" s="1"/>
  <c r="I75" i="4"/>
  <c r="F106" i="8"/>
  <c r="F140" i="8"/>
  <c r="C144" i="8"/>
  <c r="C162" i="8" s="1"/>
  <c r="C145" i="8"/>
  <c r="C163" i="8" s="1"/>
  <c r="G103" i="8"/>
  <c r="E114" i="8"/>
  <c r="E115" i="8" s="1"/>
  <c r="C146" i="8"/>
  <c r="D119" i="8"/>
  <c r="C126" i="8"/>
  <c r="D108" i="4"/>
  <c r="C109" i="4"/>
  <c r="E97" i="4"/>
  <c r="E98" i="4" s="1"/>
  <c r="F139" i="4"/>
  <c r="F89" i="4"/>
  <c r="J92" i="8" l="1"/>
  <c r="J149" i="8" s="1"/>
  <c r="J155" i="8" s="1"/>
  <c r="J169" i="8" s="1"/>
  <c r="K85" i="8"/>
  <c r="AI46" i="8"/>
  <c r="L81" i="8"/>
  <c r="AH49" i="8"/>
  <c r="AH18" i="8" s="1"/>
  <c r="AH19" i="8" s="1"/>
  <c r="AH48" i="8" s="1"/>
  <c r="AH50" i="8" s="1"/>
  <c r="AG53" i="8"/>
  <c r="AF177" i="8"/>
  <c r="AF198" i="8" s="1"/>
  <c r="AF68" i="8"/>
  <c r="AF66" i="8"/>
  <c r="AF178" i="8" s="1"/>
  <c r="AF199" i="8" s="1"/>
  <c r="L165" i="8"/>
  <c r="M74" i="8"/>
  <c r="AJ43" i="8"/>
  <c r="AJ44" i="8"/>
  <c r="AJ17" i="8"/>
  <c r="AK2" i="8"/>
  <c r="AJ45" i="8"/>
  <c r="AJ16" i="8"/>
  <c r="AJ15" i="8"/>
  <c r="AE69" i="8"/>
  <c r="K91" i="8"/>
  <c r="K90" i="8"/>
  <c r="AH46" i="4"/>
  <c r="Y69" i="4"/>
  <c r="AJ2" i="4"/>
  <c r="AI43" i="4"/>
  <c r="AI45" i="4"/>
  <c r="AI17" i="4"/>
  <c r="AI15" i="4"/>
  <c r="AI16" i="4"/>
  <c r="AI44" i="4"/>
  <c r="Z177" i="4"/>
  <c r="Z198" i="4" s="1"/>
  <c r="Z68" i="4"/>
  <c r="Z66" i="4"/>
  <c r="Z178" i="4" s="1"/>
  <c r="Z199" i="4" s="1"/>
  <c r="AB49" i="4"/>
  <c r="AB18" i="4" s="1"/>
  <c r="AB19" i="4" s="1"/>
  <c r="AB48" i="4" s="1"/>
  <c r="AB50" i="4" s="1"/>
  <c r="AA53" i="4"/>
  <c r="F92" i="4"/>
  <c r="F109" i="8"/>
  <c r="G107" i="8"/>
  <c r="I78" i="4"/>
  <c r="I79" i="4" s="1"/>
  <c r="I76" i="4"/>
  <c r="I77" i="4" s="1"/>
  <c r="J74" i="4" s="1"/>
  <c r="G104" i="8"/>
  <c r="G105" i="8" s="1"/>
  <c r="H102" i="8" s="1"/>
  <c r="H103" i="8" s="1"/>
  <c r="G106" i="8"/>
  <c r="G140" i="8"/>
  <c r="C151" i="8"/>
  <c r="C155" i="8" s="1"/>
  <c r="C169" i="8" s="1"/>
  <c r="C127" i="8"/>
  <c r="C164" i="8"/>
  <c r="D125" i="8"/>
  <c r="D124" i="8"/>
  <c r="E116" i="8"/>
  <c r="D120" i="8" s="1"/>
  <c r="C150" i="4"/>
  <c r="C110" i="4"/>
  <c r="C112" i="4" s="1"/>
  <c r="E99" i="4"/>
  <c r="D103" i="4" s="1"/>
  <c r="G89" i="4"/>
  <c r="G139" i="4"/>
  <c r="G87" i="4"/>
  <c r="G88" i="4" s="1"/>
  <c r="H85" i="4" s="1"/>
  <c r="G90" i="4"/>
  <c r="G91" i="4"/>
  <c r="AJ46" i="8" l="1"/>
  <c r="J93" i="8"/>
  <c r="J95" i="8" s="1"/>
  <c r="J96" i="8" s="1"/>
  <c r="J97" i="8" s="1"/>
  <c r="J98" i="8" s="1"/>
  <c r="M75" i="8"/>
  <c r="M76" i="8" s="1"/>
  <c r="AL2" i="8"/>
  <c r="AK45" i="8"/>
  <c r="AK43" i="8"/>
  <c r="AK44" i="8"/>
  <c r="AK15" i="8"/>
  <c r="AK17" i="8"/>
  <c r="AK16" i="8"/>
  <c r="AH53" i="8"/>
  <c r="AI49" i="8"/>
  <c r="AI18" i="8" s="1"/>
  <c r="AI19" i="8" s="1"/>
  <c r="AI48" i="8" s="1"/>
  <c r="AI50" i="8" s="1"/>
  <c r="AF69" i="8"/>
  <c r="L82" i="8"/>
  <c r="K86" i="8" s="1"/>
  <c r="AG177" i="8"/>
  <c r="AG198" i="8" s="1"/>
  <c r="AG66" i="8"/>
  <c r="AG178" i="8" s="1"/>
  <c r="AG199" i="8" s="1"/>
  <c r="AG68" i="8"/>
  <c r="F150" i="8"/>
  <c r="AC49" i="4"/>
  <c r="AC18" i="4" s="1"/>
  <c r="AC19" i="4" s="1"/>
  <c r="AC48" i="4" s="1"/>
  <c r="AC50" i="4" s="1"/>
  <c r="AB53" i="4"/>
  <c r="J75" i="4"/>
  <c r="J76" i="4" s="1"/>
  <c r="Z69" i="4"/>
  <c r="AK2" i="4"/>
  <c r="AJ43" i="4"/>
  <c r="AJ17" i="4"/>
  <c r="AJ15" i="4"/>
  <c r="AJ44" i="4"/>
  <c r="AJ16" i="4"/>
  <c r="AJ45" i="4"/>
  <c r="AA177" i="4"/>
  <c r="AA198" i="4" s="1"/>
  <c r="AA68" i="4"/>
  <c r="AA66" i="4"/>
  <c r="AA178" i="4" s="1"/>
  <c r="AA199" i="4" s="1"/>
  <c r="AI46" i="4"/>
  <c r="F149" i="4"/>
  <c r="F110" i="8"/>
  <c r="F93" i="4"/>
  <c r="F95" i="4" s="1"/>
  <c r="F96" i="4" s="1"/>
  <c r="H106" i="8"/>
  <c r="H140" i="8"/>
  <c r="H104" i="8"/>
  <c r="H105" i="8" s="1"/>
  <c r="I102" i="8" s="1"/>
  <c r="H108" i="8"/>
  <c r="H107" i="8"/>
  <c r="I81" i="4"/>
  <c r="I82" i="4" s="1"/>
  <c r="H86" i="4" s="1"/>
  <c r="I165" i="4"/>
  <c r="H91" i="4"/>
  <c r="H90" i="4"/>
  <c r="G109" i="8"/>
  <c r="C156" i="8"/>
  <c r="C170" i="8" s="1"/>
  <c r="C154" i="8"/>
  <c r="C168" i="8" s="1"/>
  <c r="D123" i="8"/>
  <c r="D141" i="8"/>
  <c r="C129" i="8"/>
  <c r="D121" i="8"/>
  <c r="D122" i="8" s="1"/>
  <c r="C113" i="4"/>
  <c r="C114" i="4" s="1"/>
  <c r="C115" i="4" s="1"/>
  <c r="C116" i="4" s="1"/>
  <c r="D106" i="4"/>
  <c r="D104" i="4"/>
  <c r="D105" i="4" s="1"/>
  <c r="E102" i="4" s="1"/>
  <c r="D140" i="4"/>
  <c r="G92" i="4"/>
  <c r="J99" i="8" l="1"/>
  <c r="I103" i="8" s="1"/>
  <c r="I108" i="8"/>
  <c r="I104" i="8"/>
  <c r="I105" i="8" s="1"/>
  <c r="I107" i="8"/>
  <c r="F112" i="8"/>
  <c r="F113" i="8" s="1"/>
  <c r="F114" i="8" s="1"/>
  <c r="F115" i="8" s="1"/>
  <c r="F116" i="8" s="1"/>
  <c r="E120" i="8" s="1"/>
  <c r="K89" i="8"/>
  <c r="K139" i="8"/>
  <c r="K145" i="8" s="1"/>
  <c r="K163" i="8" s="1"/>
  <c r="K87" i="8"/>
  <c r="K88" i="8" s="1"/>
  <c r="AK46" i="8"/>
  <c r="AH177" i="8"/>
  <c r="AH198" i="8" s="1"/>
  <c r="AH66" i="8"/>
  <c r="AH178" i="8" s="1"/>
  <c r="AH199" i="8" s="1"/>
  <c r="AH68" i="8"/>
  <c r="AL17" i="8"/>
  <c r="AL15" i="8"/>
  <c r="AM2" i="8"/>
  <c r="AL45" i="8"/>
  <c r="AL43" i="8"/>
  <c r="AL16" i="8"/>
  <c r="AL44" i="8"/>
  <c r="AI53" i="8"/>
  <c r="AJ49" i="8"/>
  <c r="AJ18" i="8" s="1"/>
  <c r="AJ19" i="8" s="1"/>
  <c r="AJ48" i="8" s="1"/>
  <c r="AJ50" i="8" s="1"/>
  <c r="M78" i="8"/>
  <c r="M79" i="8" s="1"/>
  <c r="AG69" i="8"/>
  <c r="M77" i="8"/>
  <c r="AJ46" i="4"/>
  <c r="AK44" i="4"/>
  <c r="AK43" i="4"/>
  <c r="AL2" i="4"/>
  <c r="AK17" i="4"/>
  <c r="AK15" i="4"/>
  <c r="AK16" i="4"/>
  <c r="AK45" i="4"/>
  <c r="AB177" i="4"/>
  <c r="AB198" i="4" s="1"/>
  <c r="AB66" i="4"/>
  <c r="AB178" i="4" s="1"/>
  <c r="AB199" i="4" s="1"/>
  <c r="AB68" i="4"/>
  <c r="J78" i="4"/>
  <c r="J79" i="4" s="1"/>
  <c r="H87" i="4"/>
  <c r="H88" i="4" s="1"/>
  <c r="H92" i="4" s="1"/>
  <c r="AD49" i="4"/>
  <c r="AD18" i="4" s="1"/>
  <c r="AD19" i="4" s="1"/>
  <c r="AD48" i="4" s="1"/>
  <c r="AD50" i="4" s="1"/>
  <c r="AC53" i="4"/>
  <c r="AA69" i="4"/>
  <c r="J77" i="4"/>
  <c r="H145" i="8"/>
  <c r="H163" i="8" s="1"/>
  <c r="G150" i="8"/>
  <c r="H109" i="8"/>
  <c r="H89" i="4"/>
  <c r="H139" i="4"/>
  <c r="G110" i="8"/>
  <c r="D144" i="8"/>
  <c r="D162" i="8" s="1"/>
  <c r="D145" i="8"/>
  <c r="D163" i="8" s="1"/>
  <c r="D146" i="8"/>
  <c r="E119" i="8"/>
  <c r="D126" i="8"/>
  <c r="C130" i="8"/>
  <c r="C131" i="8" s="1"/>
  <c r="C132" i="8" s="1"/>
  <c r="C134" i="8" s="1"/>
  <c r="C159" i="8" s="1"/>
  <c r="D109" i="4"/>
  <c r="F97" i="4"/>
  <c r="F98" i="4" s="1"/>
  <c r="G93" i="4"/>
  <c r="E108" i="4"/>
  <c r="E107" i="4"/>
  <c r="G149" i="4"/>
  <c r="J102" i="8" l="1"/>
  <c r="I109" i="8"/>
  <c r="I150" i="8" s="1"/>
  <c r="I156" i="8" s="1"/>
  <c r="I170" i="8" s="1"/>
  <c r="L85" i="8"/>
  <c r="K92" i="8"/>
  <c r="K149" i="8" s="1"/>
  <c r="K155" i="8" s="1"/>
  <c r="K169" i="8" s="1"/>
  <c r="H110" i="8"/>
  <c r="AL46" i="8"/>
  <c r="M81" i="8"/>
  <c r="AI177" i="8"/>
  <c r="AI198" i="8" s="1"/>
  <c r="AI66" i="8"/>
  <c r="AI178" i="8" s="1"/>
  <c r="AI199" i="8" s="1"/>
  <c r="AI68" i="8"/>
  <c r="AM43" i="8"/>
  <c r="AM45" i="8"/>
  <c r="AM44" i="8"/>
  <c r="AM15" i="8"/>
  <c r="AM17" i="8"/>
  <c r="AM16" i="8"/>
  <c r="AH69" i="8"/>
  <c r="AK49" i="8"/>
  <c r="AK18" i="8" s="1"/>
  <c r="AK19" i="8" s="1"/>
  <c r="AK48" i="8" s="1"/>
  <c r="AK50" i="8" s="1"/>
  <c r="AJ53" i="8"/>
  <c r="I106" i="8"/>
  <c r="I110" i="8" s="1"/>
  <c r="I140" i="8"/>
  <c r="I146" i="8" s="1"/>
  <c r="I164" i="8" s="1"/>
  <c r="M165" i="8"/>
  <c r="N74" i="8"/>
  <c r="J81" i="4"/>
  <c r="K74" i="4"/>
  <c r="J165" i="4"/>
  <c r="AC177" i="4"/>
  <c r="AC198" i="4" s="1"/>
  <c r="AC68" i="4"/>
  <c r="AC66" i="4"/>
  <c r="AC178" i="4" s="1"/>
  <c r="AC199" i="4" s="1"/>
  <c r="AD53" i="4"/>
  <c r="AE49" i="4"/>
  <c r="AE18" i="4" s="1"/>
  <c r="AE19" i="4" s="1"/>
  <c r="AE48" i="4" s="1"/>
  <c r="AE50" i="4" s="1"/>
  <c r="AB69" i="4"/>
  <c r="AL17" i="4"/>
  <c r="AL15" i="4"/>
  <c r="AL44" i="4"/>
  <c r="AL16" i="4"/>
  <c r="AL45" i="4"/>
  <c r="AL43" i="4"/>
  <c r="AM2" i="4"/>
  <c r="AK46" i="4"/>
  <c r="H149" i="4"/>
  <c r="I85" i="4"/>
  <c r="I91" i="4" s="1"/>
  <c r="H150" i="8"/>
  <c r="H112" i="8"/>
  <c r="H113" i="8" s="1"/>
  <c r="H114" i="8" s="1"/>
  <c r="H93" i="4"/>
  <c r="H95" i="4" s="1"/>
  <c r="H96" i="4" s="1"/>
  <c r="H97" i="4" s="1"/>
  <c r="E141" i="8"/>
  <c r="E145" i="8" s="1"/>
  <c r="E163" i="8" s="1"/>
  <c r="E123" i="8"/>
  <c r="G112" i="8"/>
  <c r="G113" i="8" s="1"/>
  <c r="C172" i="8"/>
  <c r="C184" i="8" s="1"/>
  <c r="C202" i="8" s="1"/>
  <c r="C183" i="8"/>
  <c r="D151" i="8"/>
  <c r="D155" i="8" s="1"/>
  <c r="D169" i="8" s="1"/>
  <c r="D164" i="8"/>
  <c r="E121" i="8"/>
  <c r="E122" i="8" s="1"/>
  <c r="E124" i="8"/>
  <c r="E125" i="8"/>
  <c r="D127" i="8"/>
  <c r="D150" i="4"/>
  <c r="D110" i="4"/>
  <c r="D112" i="4" s="1"/>
  <c r="D113" i="4" s="1"/>
  <c r="F99" i="4"/>
  <c r="E103" i="4" s="1"/>
  <c r="G95" i="4"/>
  <c r="G96" i="4" s="1"/>
  <c r="AK53" i="8" l="1"/>
  <c r="AL49" i="8"/>
  <c r="AL18" i="8" s="1"/>
  <c r="AL19" i="8" s="1"/>
  <c r="AL48" i="8" s="1"/>
  <c r="AL50" i="8" s="1"/>
  <c r="K93" i="8"/>
  <c r="L91" i="8"/>
  <c r="L90" i="8"/>
  <c r="N75" i="8"/>
  <c r="N76" i="8" s="1"/>
  <c r="N77" i="8" s="1"/>
  <c r="AM46" i="8"/>
  <c r="AI69" i="8"/>
  <c r="I112" i="8"/>
  <c r="AJ177" i="8"/>
  <c r="AJ198" i="8" s="1"/>
  <c r="AJ68" i="8"/>
  <c r="AJ66" i="8"/>
  <c r="AJ178" i="8" s="1"/>
  <c r="AJ199" i="8" s="1"/>
  <c r="M82" i="8"/>
  <c r="L86" i="8" s="1"/>
  <c r="J107" i="8"/>
  <c r="J108" i="8"/>
  <c r="K75" i="4"/>
  <c r="K76" i="4" s="1"/>
  <c r="AE53" i="4"/>
  <c r="AF49" i="4"/>
  <c r="AF18" i="4" s="1"/>
  <c r="AF19" i="4" s="1"/>
  <c r="AF48" i="4" s="1"/>
  <c r="AF50" i="4" s="1"/>
  <c r="AD177" i="4"/>
  <c r="AD198" i="4" s="1"/>
  <c r="AD68" i="4"/>
  <c r="AD66" i="4"/>
  <c r="AD178" i="4" s="1"/>
  <c r="AD199" i="4" s="1"/>
  <c r="AM44" i="4"/>
  <c r="AM15" i="4"/>
  <c r="AM45" i="4"/>
  <c r="AM16" i="4"/>
  <c r="AM17" i="4"/>
  <c r="AM43" i="4"/>
  <c r="AL46" i="4"/>
  <c r="AC69" i="4"/>
  <c r="J82" i="4"/>
  <c r="I86" i="4" s="1"/>
  <c r="E146" i="8"/>
  <c r="E164" i="8" s="1"/>
  <c r="H155" i="8"/>
  <c r="H169" i="8" s="1"/>
  <c r="I90" i="4"/>
  <c r="E144" i="8"/>
  <c r="E162" i="8" s="1"/>
  <c r="G114" i="8"/>
  <c r="D156" i="8"/>
  <c r="D170" i="8" s="1"/>
  <c r="D154" i="8"/>
  <c r="D168" i="8" s="1"/>
  <c r="F119" i="8"/>
  <c r="E126" i="8"/>
  <c r="D129" i="8"/>
  <c r="C201" i="8"/>
  <c r="E104" i="4"/>
  <c r="E105" i="4" s="1"/>
  <c r="F102" i="4" s="1"/>
  <c r="E140" i="4"/>
  <c r="E106" i="4"/>
  <c r="D114" i="4"/>
  <c r="D115" i="4" s="1"/>
  <c r="G97" i="4"/>
  <c r="H98" i="4" s="1"/>
  <c r="N165" i="8" l="1"/>
  <c r="O74" i="8"/>
  <c r="L89" i="8"/>
  <c r="L139" i="8"/>
  <c r="L145" i="8" s="1"/>
  <c r="L163" i="8" s="1"/>
  <c r="AJ69" i="8"/>
  <c r="N78" i="8"/>
  <c r="N79" i="8" s="1"/>
  <c r="I113" i="8"/>
  <c r="I114" i="8" s="1"/>
  <c r="I115" i="8" s="1"/>
  <c r="L87" i="8"/>
  <c r="L88" i="8" s="1"/>
  <c r="K95" i="8"/>
  <c r="AL53" i="8"/>
  <c r="AM49" i="8"/>
  <c r="AM18" i="8" s="1"/>
  <c r="AM19" i="8" s="1"/>
  <c r="AM48" i="8" s="1"/>
  <c r="AM50" i="8" s="1"/>
  <c r="AM53" i="8" s="1"/>
  <c r="AK177" i="8"/>
  <c r="AK198" i="8" s="1"/>
  <c r="AK66" i="8"/>
  <c r="AK178" i="8" s="1"/>
  <c r="AK199" i="8" s="1"/>
  <c r="AK68" i="8"/>
  <c r="AD69" i="4"/>
  <c r="AF53" i="4"/>
  <c r="AG49" i="4"/>
  <c r="AG18" i="4" s="1"/>
  <c r="AG19" i="4" s="1"/>
  <c r="AG48" i="4" s="1"/>
  <c r="AG50" i="4" s="1"/>
  <c r="AM46" i="4"/>
  <c r="AE177" i="4"/>
  <c r="AE198" i="4" s="1"/>
  <c r="AE68" i="4"/>
  <c r="AE66" i="4"/>
  <c r="AE178" i="4" s="1"/>
  <c r="AE199" i="4" s="1"/>
  <c r="K78" i="4"/>
  <c r="K79" i="4" s="1"/>
  <c r="K77" i="4"/>
  <c r="G115" i="8"/>
  <c r="G116" i="8" s="1"/>
  <c r="F120" i="8" s="1"/>
  <c r="H115" i="8"/>
  <c r="I89" i="4"/>
  <c r="I139" i="4"/>
  <c r="I87" i="4"/>
  <c r="I88" i="4" s="1"/>
  <c r="J85" i="4" s="1"/>
  <c r="D130" i="8"/>
  <c r="D131" i="8" s="1"/>
  <c r="D132" i="8" s="1"/>
  <c r="D134" i="8" s="1"/>
  <c r="D159" i="8" s="1"/>
  <c r="E151" i="8"/>
  <c r="E155" i="8" s="1"/>
  <c r="E169" i="8" s="1"/>
  <c r="E127" i="8"/>
  <c r="F125" i="8"/>
  <c r="F124" i="8"/>
  <c r="E109" i="4"/>
  <c r="D116" i="4"/>
  <c r="C120" i="4" s="1"/>
  <c r="G98" i="4"/>
  <c r="F108" i="4"/>
  <c r="F107" i="4"/>
  <c r="N81" i="8" l="1"/>
  <c r="AM177" i="8"/>
  <c r="AM198" i="8" s="1"/>
  <c r="AM68" i="8"/>
  <c r="AM66" i="8"/>
  <c r="AM178" i="8" s="1"/>
  <c r="AM199" i="8" s="1"/>
  <c r="M85" i="8"/>
  <c r="L92" i="8"/>
  <c r="L149" i="8" s="1"/>
  <c r="L155" i="8" s="1"/>
  <c r="L169" i="8" s="1"/>
  <c r="AL177" i="8"/>
  <c r="AL198" i="8" s="1"/>
  <c r="AL66" i="8"/>
  <c r="AL178" i="8" s="1"/>
  <c r="AL199" i="8" s="1"/>
  <c r="AL68" i="8"/>
  <c r="AK69" i="8"/>
  <c r="K96" i="8"/>
  <c r="K97" i="8" s="1"/>
  <c r="K98" i="8" s="1"/>
  <c r="O75" i="8"/>
  <c r="O76" i="8" s="1"/>
  <c r="O77" i="8" s="1"/>
  <c r="K81" i="4"/>
  <c r="AE69" i="4"/>
  <c r="L74" i="4"/>
  <c r="K165" i="4"/>
  <c r="J91" i="4"/>
  <c r="J90" i="4"/>
  <c r="AF177" i="4"/>
  <c r="AF198" i="4" s="1"/>
  <c r="AF66" i="4"/>
  <c r="AF178" i="4" s="1"/>
  <c r="AF199" i="4" s="1"/>
  <c r="AF68" i="4"/>
  <c r="AG53" i="4"/>
  <c r="AH49" i="4"/>
  <c r="AH18" i="4" s="1"/>
  <c r="AH19" i="4" s="1"/>
  <c r="AH48" i="4" s="1"/>
  <c r="AH50" i="4" s="1"/>
  <c r="F141" i="8"/>
  <c r="F121" i="8"/>
  <c r="F122" i="8" s="1"/>
  <c r="G119" i="8" s="1"/>
  <c r="G125" i="8" s="1"/>
  <c r="F123" i="8"/>
  <c r="F145" i="8"/>
  <c r="F163" i="8" s="1"/>
  <c r="H116" i="8"/>
  <c r="I116" i="8" s="1"/>
  <c r="I92" i="4"/>
  <c r="I149" i="4" s="1"/>
  <c r="E156" i="8"/>
  <c r="E170" i="8" s="1"/>
  <c r="E154" i="8"/>
  <c r="E168" i="8" s="1"/>
  <c r="E129" i="8"/>
  <c r="D183" i="8"/>
  <c r="D172" i="8"/>
  <c r="D184" i="8" s="1"/>
  <c r="D202" i="8" s="1"/>
  <c r="E150" i="4"/>
  <c r="E110" i="4"/>
  <c r="C141" i="4"/>
  <c r="C146" i="4" s="1"/>
  <c r="C164" i="4" s="1"/>
  <c r="C122" i="4"/>
  <c r="C126" i="4" s="1"/>
  <c r="C123" i="4"/>
  <c r="G99" i="4"/>
  <c r="H99" i="4" s="1"/>
  <c r="O165" i="8" l="1"/>
  <c r="P74" i="8"/>
  <c r="AL69" i="8"/>
  <c r="M90" i="8"/>
  <c r="M91" i="8"/>
  <c r="O78" i="8"/>
  <c r="O79" i="8" s="1"/>
  <c r="AM69" i="8"/>
  <c r="K99" i="8"/>
  <c r="J103" i="8" s="1"/>
  <c r="N82" i="8"/>
  <c r="M86" i="8" s="1"/>
  <c r="M87" i="8" s="1"/>
  <c r="L93" i="8"/>
  <c r="AG177" i="4"/>
  <c r="AG198" i="4" s="1"/>
  <c r="AG68" i="4"/>
  <c r="AG66" i="4"/>
  <c r="AG178" i="4" s="1"/>
  <c r="AG199" i="4" s="1"/>
  <c r="AF69" i="4"/>
  <c r="AI49" i="4"/>
  <c r="AI18" i="4" s="1"/>
  <c r="AI19" i="4" s="1"/>
  <c r="AI48" i="4" s="1"/>
  <c r="AI50" i="4" s="1"/>
  <c r="AH53" i="4"/>
  <c r="L75" i="4"/>
  <c r="L76" i="4" s="1"/>
  <c r="K82" i="4"/>
  <c r="J86" i="4" s="1"/>
  <c r="F144" i="8"/>
  <c r="F162" i="8" s="1"/>
  <c r="F146" i="8"/>
  <c r="F164" i="8" s="1"/>
  <c r="G124" i="8"/>
  <c r="F126" i="8"/>
  <c r="G120" i="8"/>
  <c r="I93" i="4"/>
  <c r="C145" i="4"/>
  <c r="C163" i="4" s="1"/>
  <c r="C144" i="4"/>
  <c r="C162" i="4" s="1"/>
  <c r="D201" i="8"/>
  <c r="E130" i="8"/>
  <c r="E131" i="8" s="1"/>
  <c r="E132" i="8" s="1"/>
  <c r="E134" i="8" s="1"/>
  <c r="E159" i="8" s="1"/>
  <c r="E112" i="4"/>
  <c r="F103" i="4"/>
  <c r="D119" i="4"/>
  <c r="D125" i="4" s="1"/>
  <c r="C151" i="4"/>
  <c r="C155" i="4" s="1"/>
  <c r="C169" i="4" s="1"/>
  <c r="C127" i="4"/>
  <c r="M88" i="8" l="1"/>
  <c r="N85" i="8" s="1"/>
  <c r="O81" i="8"/>
  <c r="L95" i="8"/>
  <c r="N90" i="8"/>
  <c r="N91" i="8"/>
  <c r="M92" i="8"/>
  <c r="M149" i="8" s="1"/>
  <c r="M155" i="8" s="1"/>
  <c r="M169" i="8" s="1"/>
  <c r="M89" i="8"/>
  <c r="M93" i="8" s="1"/>
  <c r="M95" i="8" s="1"/>
  <c r="M139" i="8"/>
  <c r="M145" i="8" s="1"/>
  <c r="M163" i="8" s="1"/>
  <c r="J106" i="8"/>
  <c r="J140" i="8"/>
  <c r="J146" i="8" s="1"/>
  <c r="J164" i="8" s="1"/>
  <c r="J104" i="8"/>
  <c r="J105" i="8" s="1"/>
  <c r="P75" i="8"/>
  <c r="P76" i="8" s="1"/>
  <c r="P77" i="8" s="1"/>
  <c r="I95" i="4"/>
  <c r="I96" i="4" s="1"/>
  <c r="I97" i="4" s="1"/>
  <c r="I98" i="4" s="1"/>
  <c r="I99" i="4" s="1"/>
  <c r="H103" i="4" s="1"/>
  <c r="H106" i="4" s="1"/>
  <c r="AH177" i="4"/>
  <c r="AH198" i="4" s="1"/>
  <c r="AH66" i="4"/>
  <c r="AH178" i="4" s="1"/>
  <c r="AH199" i="4" s="1"/>
  <c r="AH68" i="4"/>
  <c r="AI53" i="4"/>
  <c r="AJ49" i="4"/>
  <c r="AJ18" i="4" s="1"/>
  <c r="AJ19" i="4" s="1"/>
  <c r="AJ48" i="4" s="1"/>
  <c r="AJ50" i="4" s="1"/>
  <c r="J89" i="4"/>
  <c r="J139" i="4"/>
  <c r="J145" i="4" s="1"/>
  <c r="J163" i="4" s="1"/>
  <c r="J87" i="4"/>
  <c r="J88" i="4" s="1"/>
  <c r="L78" i="4"/>
  <c r="L79" i="4" s="1"/>
  <c r="L77" i="4"/>
  <c r="AG69" i="4"/>
  <c r="F104" i="4"/>
  <c r="F105" i="4" s="1"/>
  <c r="G102" i="4" s="1"/>
  <c r="G121" i="8"/>
  <c r="G122" i="8" s="1"/>
  <c r="H119" i="8" s="1"/>
  <c r="H125" i="8" s="1"/>
  <c r="F151" i="8"/>
  <c r="F155" i="8" s="1"/>
  <c r="F169" i="8" s="1"/>
  <c r="F127" i="8"/>
  <c r="G141" i="8"/>
  <c r="G145" i="8" s="1"/>
  <c r="G163" i="8" s="1"/>
  <c r="G123" i="8"/>
  <c r="E183" i="8"/>
  <c r="E172" i="8"/>
  <c r="E184" i="8" s="1"/>
  <c r="E202" i="8" s="1"/>
  <c r="E113" i="4"/>
  <c r="E114" i="4" s="1"/>
  <c r="E115" i="4" s="1"/>
  <c r="E116" i="4" s="1"/>
  <c r="D120" i="4" s="1"/>
  <c r="F106" i="4"/>
  <c r="F140" i="4"/>
  <c r="D124" i="4"/>
  <c r="C129" i="4"/>
  <c r="C130" i="4" s="1"/>
  <c r="C154" i="4"/>
  <c r="C168" i="4" s="1"/>
  <c r="C156" i="4"/>
  <c r="C170" i="4" s="1"/>
  <c r="M96" i="8" l="1"/>
  <c r="M97" i="8" s="1"/>
  <c r="K102" i="8"/>
  <c r="J109" i="8"/>
  <c r="J150" i="8" s="1"/>
  <c r="J156" i="8" s="1"/>
  <c r="J170" i="8" s="1"/>
  <c r="P165" i="8"/>
  <c r="Q74" i="8"/>
  <c r="P78" i="8"/>
  <c r="P79" i="8" s="1"/>
  <c r="F129" i="8"/>
  <c r="F130" i="8" s="1"/>
  <c r="F131" i="8" s="1"/>
  <c r="L96" i="8"/>
  <c r="L97" i="8" s="1"/>
  <c r="M98" i="8" s="1"/>
  <c r="O82" i="8"/>
  <c r="N86" i="8" s="1"/>
  <c r="L81" i="4"/>
  <c r="AK49" i="4"/>
  <c r="AK18" i="4" s="1"/>
  <c r="AK19" i="4" s="1"/>
  <c r="AK48" i="4" s="1"/>
  <c r="AK50" i="4" s="1"/>
  <c r="AJ53" i="4"/>
  <c r="AI66" i="4"/>
  <c r="AI178" i="4" s="1"/>
  <c r="AI199" i="4" s="1"/>
  <c r="AI177" i="4"/>
  <c r="AI198" i="4" s="1"/>
  <c r="AI68" i="4"/>
  <c r="L165" i="4"/>
  <c r="M74" i="4"/>
  <c r="AH69" i="4"/>
  <c r="K85" i="4"/>
  <c r="J92" i="4"/>
  <c r="J149" i="4" s="1"/>
  <c r="J155" i="4" s="1"/>
  <c r="J169" i="4" s="1"/>
  <c r="F156" i="8"/>
  <c r="F170" i="8" s="1"/>
  <c r="G146" i="8"/>
  <c r="G164" i="8" s="1"/>
  <c r="F109" i="4"/>
  <c r="H120" i="8"/>
  <c r="H121" i="8" s="1"/>
  <c r="H122" i="8" s="1"/>
  <c r="H124" i="8"/>
  <c r="G126" i="8"/>
  <c r="F154" i="8"/>
  <c r="F168" i="8" s="1"/>
  <c r="G144" i="8"/>
  <c r="G162" i="8" s="1"/>
  <c r="G103" i="4"/>
  <c r="E201" i="8"/>
  <c r="G108" i="4"/>
  <c r="G107" i="4"/>
  <c r="C131" i="4"/>
  <c r="D141" i="4"/>
  <c r="D146" i="4" s="1"/>
  <c r="D164" i="4" s="1"/>
  <c r="D121" i="4"/>
  <c r="D122" i="4" s="1"/>
  <c r="E119" i="4" s="1"/>
  <c r="D123" i="4"/>
  <c r="D145" i="4"/>
  <c r="D163" i="4" s="1"/>
  <c r="G127" i="8" l="1"/>
  <c r="P81" i="8"/>
  <c r="H126" i="8"/>
  <c r="H151" i="8" s="1"/>
  <c r="I119" i="8"/>
  <c r="Q75" i="8"/>
  <c r="K107" i="8"/>
  <c r="K108" i="8"/>
  <c r="N89" i="8"/>
  <c r="N139" i="8"/>
  <c r="N145" i="8" s="1"/>
  <c r="N163" i="8" s="1"/>
  <c r="N87" i="8"/>
  <c r="N88" i="8"/>
  <c r="J110" i="8"/>
  <c r="L98" i="8"/>
  <c r="M75" i="4"/>
  <c r="M76" i="4" s="1"/>
  <c r="AI69" i="4"/>
  <c r="AJ66" i="4"/>
  <c r="AJ178" i="4" s="1"/>
  <c r="AJ199" i="4" s="1"/>
  <c r="AJ68" i="4"/>
  <c r="AJ177" i="4"/>
  <c r="AJ198" i="4" s="1"/>
  <c r="AK53" i="4"/>
  <c r="AL49" i="4"/>
  <c r="AL18" i="4" s="1"/>
  <c r="AL19" i="4" s="1"/>
  <c r="AL48" i="4" s="1"/>
  <c r="AL50" i="4" s="1"/>
  <c r="K91" i="4"/>
  <c r="K90" i="4"/>
  <c r="J93" i="4"/>
  <c r="L82" i="4"/>
  <c r="K86" i="4" s="1"/>
  <c r="F110" i="4"/>
  <c r="F150" i="4"/>
  <c r="G151" i="8"/>
  <c r="G155" i="8" s="1"/>
  <c r="G169" i="8" s="1"/>
  <c r="H123" i="8"/>
  <c r="H141" i="8"/>
  <c r="H140" i="4"/>
  <c r="D144" i="4"/>
  <c r="D162" i="4" s="1"/>
  <c r="G106" i="4"/>
  <c r="G140" i="4"/>
  <c r="G104" i="4"/>
  <c r="G105" i="4" s="1"/>
  <c r="H102" i="4" s="1"/>
  <c r="F132" i="8"/>
  <c r="F134" i="8" s="1"/>
  <c r="F159" i="8" s="1"/>
  <c r="F183" i="8" s="1"/>
  <c r="F112" i="4"/>
  <c r="C132" i="4"/>
  <c r="D126" i="4"/>
  <c r="E124" i="4"/>
  <c r="E125" i="4"/>
  <c r="J112" i="8" l="1"/>
  <c r="O85" i="8"/>
  <c r="N92" i="8"/>
  <c r="Q78" i="8"/>
  <c r="Q79" i="8" s="1"/>
  <c r="P82" i="8"/>
  <c r="O86" i="8" s="1"/>
  <c r="I125" i="8"/>
  <c r="I124" i="8"/>
  <c r="H127" i="8"/>
  <c r="H129" i="8" s="1"/>
  <c r="H130" i="8" s="1"/>
  <c r="H131" i="8" s="1"/>
  <c r="G129" i="8"/>
  <c r="L99" i="8"/>
  <c r="Q76" i="8"/>
  <c r="Q77" i="8" s="1"/>
  <c r="AL53" i="4"/>
  <c r="AM49" i="4"/>
  <c r="AM18" i="4" s="1"/>
  <c r="AM19" i="4" s="1"/>
  <c r="AM48" i="4" s="1"/>
  <c r="AM50" i="4" s="1"/>
  <c r="AM53" i="4" s="1"/>
  <c r="AK177" i="4"/>
  <c r="AK198" i="4" s="1"/>
  <c r="AK68" i="4"/>
  <c r="AK66" i="4"/>
  <c r="AK178" i="4" s="1"/>
  <c r="AK199" i="4" s="1"/>
  <c r="M78" i="4"/>
  <c r="M79" i="4" s="1"/>
  <c r="M77" i="4"/>
  <c r="K89" i="4"/>
  <c r="K139" i="4"/>
  <c r="K145" i="4" s="1"/>
  <c r="K163" i="4" s="1"/>
  <c r="J95" i="4"/>
  <c r="K87" i="4"/>
  <c r="K88" i="4" s="1"/>
  <c r="AJ69" i="4"/>
  <c r="G156" i="8"/>
  <c r="G170" i="8" s="1"/>
  <c r="H144" i="8"/>
  <c r="H162" i="8" s="1"/>
  <c r="H146" i="8"/>
  <c r="H164" i="8" s="1"/>
  <c r="H154" i="8"/>
  <c r="H168" i="8" s="1"/>
  <c r="H156" i="8"/>
  <c r="H170" i="8" s="1"/>
  <c r="I145" i="4"/>
  <c r="I163" i="4" s="1"/>
  <c r="H145" i="4"/>
  <c r="H163" i="4" s="1"/>
  <c r="G154" i="8"/>
  <c r="G168" i="8" s="1"/>
  <c r="H108" i="4"/>
  <c r="H107" i="4"/>
  <c r="H104" i="4"/>
  <c r="H105" i="4" s="1"/>
  <c r="F172" i="8"/>
  <c r="F184" i="8" s="1"/>
  <c r="F202" i="8" s="1"/>
  <c r="G109" i="4"/>
  <c r="F201" i="8"/>
  <c r="F113" i="4"/>
  <c r="F114" i="4" s="1"/>
  <c r="F115" i="4" s="1"/>
  <c r="F116" i="4" s="1"/>
  <c r="E120" i="4" s="1"/>
  <c r="C134" i="4"/>
  <c r="C159" i="4" s="1"/>
  <c r="D151" i="4"/>
  <c r="D155" i="4" s="1"/>
  <c r="D169" i="4" s="1"/>
  <c r="D127" i="4"/>
  <c r="Q165" i="8" l="1"/>
  <c r="R74" i="8"/>
  <c r="O89" i="8"/>
  <c r="O139" i="8"/>
  <c r="O145" i="8" s="1"/>
  <c r="O163" i="8" s="1"/>
  <c r="N149" i="8"/>
  <c r="N155" i="8" s="1"/>
  <c r="N169" i="8" s="1"/>
  <c r="N93" i="8"/>
  <c r="G130" i="8"/>
  <c r="G131" i="8" s="1"/>
  <c r="G132" i="8" s="1"/>
  <c r="G134" i="8" s="1"/>
  <c r="G159" i="8" s="1"/>
  <c r="J113" i="8"/>
  <c r="J114" i="8" s="1"/>
  <c r="J115" i="8" s="1"/>
  <c r="K103" i="8"/>
  <c r="M99" i="8"/>
  <c r="L103" i="8" s="1"/>
  <c r="Q81" i="8"/>
  <c r="O90" i="8"/>
  <c r="O91" i="8"/>
  <c r="O87" i="8"/>
  <c r="O88" i="8" s="1"/>
  <c r="P85" i="8" s="1"/>
  <c r="L85" i="4"/>
  <c r="K92" i="4"/>
  <c r="M81" i="4"/>
  <c r="AL177" i="4"/>
  <c r="AL198" i="4" s="1"/>
  <c r="AL68" i="4"/>
  <c r="AL66" i="4"/>
  <c r="AL178" i="4" s="1"/>
  <c r="AL199" i="4" s="1"/>
  <c r="J96" i="4"/>
  <c r="J97" i="4" s="1"/>
  <c r="J98" i="4" s="1"/>
  <c r="AK69" i="4"/>
  <c r="AM177" i="4"/>
  <c r="AM198" i="4" s="1"/>
  <c r="AM66" i="4"/>
  <c r="AM178" i="4" s="1"/>
  <c r="AM199" i="4" s="1"/>
  <c r="AM68" i="4"/>
  <c r="M165" i="4"/>
  <c r="N74" i="4"/>
  <c r="H109" i="4"/>
  <c r="H150" i="4" s="1"/>
  <c r="I102" i="4"/>
  <c r="D154" i="4"/>
  <c r="D168" i="4" s="1"/>
  <c r="G150" i="4"/>
  <c r="G110" i="4"/>
  <c r="E141" i="4"/>
  <c r="E145" i="4" s="1"/>
  <c r="E163" i="4" s="1"/>
  <c r="E123" i="4"/>
  <c r="E121" i="4"/>
  <c r="E122" i="4" s="1"/>
  <c r="F119" i="4" s="1"/>
  <c r="F125" i="4" s="1"/>
  <c r="C172" i="4"/>
  <c r="C184" i="4" s="1"/>
  <c r="C202" i="4" s="1"/>
  <c r="C183" i="4"/>
  <c r="C201" i="4" s="1"/>
  <c r="D156" i="4"/>
  <c r="D170" i="4" s="1"/>
  <c r="D129" i="4"/>
  <c r="D130" i="4" s="1"/>
  <c r="J116" i="8" l="1"/>
  <c r="I120" i="8" s="1"/>
  <c r="G183" i="8"/>
  <c r="G201" i="8" s="1"/>
  <c r="G172" i="8"/>
  <c r="G184" i="8" s="1"/>
  <c r="G202" i="8" s="1"/>
  <c r="H132" i="8"/>
  <c r="H134" i="8" s="1"/>
  <c r="H159" i="8" s="1"/>
  <c r="Q82" i="8"/>
  <c r="P86" i="8" s="1"/>
  <c r="P87" i="8" s="1"/>
  <c r="L106" i="8"/>
  <c r="L140" i="8"/>
  <c r="L146" i="8" s="1"/>
  <c r="L164" i="8" s="1"/>
  <c r="R75" i="8"/>
  <c r="R76" i="8" s="1"/>
  <c r="N95" i="8"/>
  <c r="P91" i="8"/>
  <c r="P90" i="8"/>
  <c r="O92" i="8"/>
  <c r="O149" i="8" s="1"/>
  <c r="O155" i="8" s="1"/>
  <c r="O169" i="8" s="1"/>
  <c r="K106" i="8"/>
  <c r="K140" i="8"/>
  <c r="K146" i="8" s="1"/>
  <c r="K164" i="8" s="1"/>
  <c r="K104" i="8"/>
  <c r="K105" i="8" s="1"/>
  <c r="J99" i="4"/>
  <c r="I103" i="4" s="1"/>
  <c r="I104" i="4" s="1"/>
  <c r="I105" i="4" s="1"/>
  <c r="J102" i="4" s="1"/>
  <c r="N75" i="4"/>
  <c r="N76" i="4" s="1"/>
  <c r="AL69" i="4"/>
  <c r="AM69" i="4" s="1"/>
  <c r="M82" i="4"/>
  <c r="L86" i="4" s="1"/>
  <c r="K149" i="4"/>
  <c r="K155" i="4" s="1"/>
  <c r="K169" i="4" s="1"/>
  <c r="K93" i="4"/>
  <c r="L91" i="4"/>
  <c r="L90" i="4"/>
  <c r="H155" i="4"/>
  <c r="H169" i="4" s="1"/>
  <c r="H110" i="4"/>
  <c r="H112" i="4" s="1"/>
  <c r="I108" i="4"/>
  <c r="I107" i="4"/>
  <c r="G112" i="4"/>
  <c r="G113" i="4" s="1"/>
  <c r="G114" i="4" s="1"/>
  <c r="E144" i="4"/>
  <c r="E162" i="4" s="1"/>
  <c r="F124" i="4"/>
  <c r="E126" i="4"/>
  <c r="E146" i="4"/>
  <c r="E164" i="4" s="1"/>
  <c r="D131" i="4"/>
  <c r="F145" i="4"/>
  <c r="F163" i="4" s="1"/>
  <c r="R77" i="8" l="1"/>
  <c r="H183" i="8"/>
  <c r="H201" i="8" s="1"/>
  <c r="H172" i="8"/>
  <c r="H184" i="8" s="1"/>
  <c r="H202" i="8" s="1"/>
  <c r="P89" i="8"/>
  <c r="P139" i="8"/>
  <c r="P145" i="8" s="1"/>
  <c r="P163" i="8" s="1"/>
  <c r="P88" i="8"/>
  <c r="O93" i="8"/>
  <c r="R165" i="8"/>
  <c r="S74" i="8"/>
  <c r="N96" i="8"/>
  <c r="N97" i="8" s="1"/>
  <c r="N98" i="8" s="1"/>
  <c r="L102" i="8"/>
  <c r="K109" i="8"/>
  <c r="K150" i="8" s="1"/>
  <c r="K156" i="8" s="1"/>
  <c r="K170" i="8" s="1"/>
  <c r="I123" i="8"/>
  <c r="I141" i="8"/>
  <c r="I144" i="8" s="1"/>
  <c r="I162" i="8" s="1"/>
  <c r="I121" i="8"/>
  <c r="I122" i="8" s="1"/>
  <c r="R78" i="8"/>
  <c r="R79" i="8"/>
  <c r="L89" i="4"/>
  <c r="L139" i="4"/>
  <c r="L145" i="4" s="1"/>
  <c r="L163" i="4" s="1"/>
  <c r="L87" i="4"/>
  <c r="L88" i="4" s="1"/>
  <c r="N78" i="4"/>
  <c r="N79" i="4"/>
  <c r="J107" i="4"/>
  <c r="J108" i="4"/>
  <c r="N77" i="4"/>
  <c r="K95" i="4"/>
  <c r="I140" i="4"/>
  <c r="I106" i="4"/>
  <c r="I109" i="4"/>
  <c r="I150" i="4" s="1"/>
  <c r="H113" i="4"/>
  <c r="H114" i="4" s="1"/>
  <c r="H115" i="4" s="1"/>
  <c r="G115" i="4"/>
  <c r="G116" i="4" s="1"/>
  <c r="F120" i="4" s="1"/>
  <c r="E127" i="4"/>
  <c r="E129" i="4" s="1"/>
  <c r="E130" i="4" s="1"/>
  <c r="E151" i="4"/>
  <c r="E155" i="4" s="1"/>
  <c r="E169" i="4" s="1"/>
  <c r="D132" i="4"/>
  <c r="N99" i="8" l="1"/>
  <c r="M103" i="8" s="1"/>
  <c r="J119" i="8"/>
  <c r="I126" i="8"/>
  <c r="S75" i="8"/>
  <c r="S76" i="8" s="1"/>
  <c r="O95" i="8"/>
  <c r="Q85" i="8"/>
  <c r="P92" i="8"/>
  <c r="P149" i="8" s="1"/>
  <c r="P155" i="8" s="1"/>
  <c r="P169" i="8" s="1"/>
  <c r="R81" i="8"/>
  <c r="L107" i="8"/>
  <c r="L104" i="8"/>
  <c r="L105" i="8" s="1"/>
  <c r="L108" i="8"/>
  <c r="K110" i="8"/>
  <c r="M85" i="4"/>
  <c r="L92" i="4"/>
  <c r="N165" i="4"/>
  <c r="O74" i="4"/>
  <c r="K96" i="4"/>
  <c r="K97" i="4" s="1"/>
  <c r="K98" i="4" s="1"/>
  <c r="N81" i="4"/>
  <c r="I155" i="4"/>
  <c r="I169" i="4" s="1"/>
  <c r="F141" i="4"/>
  <c r="I110" i="4"/>
  <c r="H116" i="4"/>
  <c r="G120" i="4" s="1"/>
  <c r="F121" i="4"/>
  <c r="F122" i="4" s="1"/>
  <c r="G119" i="4" s="1"/>
  <c r="G124" i="4" s="1"/>
  <c r="F123" i="4"/>
  <c r="E154" i="4"/>
  <c r="E168" i="4" s="1"/>
  <c r="E156" i="4"/>
  <c r="E170" i="4" s="1"/>
  <c r="D134" i="4"/>
  <c r="D159" i="4" s="1"/>
  <c r="E131" i="4"/>
  <c r="S77" i="8" l="1"/>
  <c r="P93" i="8"/>
  <c r="P95" i="8" s="1"/>
  <c r="P96" i="8" s="1"/>
  <c r="P97" i="8" s="1"/>
  <c r="T74" i="8"/>
  <c r="S165" i="8"/>
  <c r="M102" i="8"/>
  <c r="L109" i="8"/>
  <c r="L150" i="8" s="1"/>
  <c r="L156" i="8" s="1"/>
  <c r="L170" i="8" s="1"/>
  <c r="I151" i="8"/>
  <c r="I154" i="8" s="1"/>
  <c r="I168" i="8" s="1"/>
  <c r="I127" i="8"/>
  <c r="Q90" i="8"/>
  <c r="Q91" i="8"/>
  <c r="K112" i="8"/>
  <c r="O96" i="8"/>
  <c r="O97" i="8" s="1"/>
  <c r="O98" i="8" s="1"/>
  <c r="S78" i="8"/>
  <c r="S79" i="8"/>
  <c r="S81" i="8" s="1"/>
  <c r="J125" i="8"/>
  <c r="J124" i="8"/>
  <c r="R82" i="8"/>
  <c r="Q86" i="8" s="1"/>
  <c r="Q87" i="8" s="1"/>
  <c r="Q88" i="8" s="1"/>
  <c r="M106" i="8"/>
  <c r="M140" i="8"/>
  <c r="M146" i="8" s="1"/>
  <c r="M164" i="8" s="1"/>
  <c r="K99" i="4"/>
  <c r="J103" i="4" s="1"/>
  <c r="O75" i="4"/>
  <c r="I112" i="4"/>
  <c r="I113" i="4" s="1"/>
  <c r="I114" i="4" s="1"/>
  <c r="I115" i="4" s="1"/>
  <c r="I116" i="4" s="1"/>
  <c r="H120" i="4" s="1"/>
  <c r="L149" i="4"/>
  <c r="L155" i="4" s="1"/>
  <c r="L169" i="4" s="1"/>
  <c r="L93" i="4"/>
  <c r="N82" i="4"/>
  <c r="M86" i="4" s="1"/>
  <c r="M91" i="4"/>
  <c r="M90" i="4"/>
  <c r="F144" i="4"/>
  <c r="F162" i="4" s="1"/>
  <c r="F146" i="4"/>
  <c r="F164" i="4" s="1"/>
  <c r="F126" i="4"/>
  <c r="G125" i="4"/>
  <c r="G123" i="4"/>
  <c r="G141" i="4"/>
  <c r="G144" i="4" s="1"/>
  <c r="G162" i="4" s="1"/>
  <c r="G121" i="4"/>
  <c r="G122" i="4" s="1"/>
  <c r="H119" i="4" s="1"/>
  <c r="D183" i="4"/>
  <c r="D201" i="4" s="1"/>
  <c r="D172" i="4"/>
  <c r="D184" i="4" s="1"/>
  <c r="D202" i="4" s="1"/>
  <c r="E132" i="4"/>
  <c r="G145" i="4"/>
  <c r="G163" i="4" s="1"/>
  <c r="P98" i="8" l="1"/>
  <c r="L110" i="8"/>
  <c r="L112" i="8" s="1"/>
  <c r="R85" i="8"/>
  <c r="Q92" i="8"/>
  <c r="Q149" i="8" s="1"/>
  <c r="Q155" i="8" s="1"/>
  <c r="Q169" i="8" s="1"/>
  <c r="L113" i="8"/>
  <c r="L114" i="8" s="1"/>
  <c r="O99" i="8"/>
  <c r="Q89" i="8"/>
  <c r="Q93" i="8" s="1"/>
  <c r="Q139" i="8"/>
  <c r="Q145" i="8" s="1"/>
  <c r="Q163" i="8" s="1"/>
  <c r="M104" i="8"/>
  <c r="M105" i="8" s="1"/>
  <c r="M108" i="8"/>
  <c r="M107" i="8"/>
  <c r="I129" i="8"/>
  <c r="S82" i="8"/>
  <c r="K113" i="8"/>
  <c r="K114" i="8" s="1"/>
  <c r="T75" i="8"/>
  <c r="T76" i="8" s="1"/>
  <c r="M89" i="4"/>
  <c r="M139" i="4"/>
  <c r="M145" i="4" s="1"/>
  <c r="M163" i="4" s="1"/>
  <c r="L95" i="4"/>
  <c r="J106" i="4"/>
  <c r="J140" i="4"/>
  <c r="J146" i="4" s="1"/>
  <c r="J164" i="4" s="1"/>
  <c r="J104" i="4"/>
  <c r="J105" i="4" s="1"/>
  <c r="M87" i="4"/>
  <c r="M88" i="4" s="1"/>
  <c r="O78" i="4"/>
  <c r="O79" i="4" s="1"/>
  <c r="O76" i="4"/>
  <c r="O77" i="4" s="1"/>
  <c r="F151" i="4"/>
  <c r="H141" i="4"/>
  <c r="H123" i="4"/>
  <c r="H125" i="4"/>
  <c r="H124" i="4"/>
  <c r="H121" i="4"/>
  <c r="H122" i="4" s="1"/>
  <c r="F127" i="4"/>
  <c r="G126" i="4"/>
  <c r="G127" i="4" s="1"/>
  <c r="G146" i="4"/>
  <c r="G164" i="4" s="1"/>
  <c r="E134" i="4"/>
  <c r="E159" i="4" s="1"/>
  <c r="R86" i="8" l="1"/>
  <c r="L115" i="8"/>
  <c r="N102" i="8"/>
  <c r="N103" i="8" s="1"/>
  <c r="M109" i="8"/>
  <c r="M150" i="8" s="1"/>
  <c r="M156" i="8" s="1"/>
  <c r="M170" i="8" s="1"/>
  <c r="Q95" i="8"/>
  <c r="R89" i="8"/>
  <c r="R139" i="8"/>
  <c r="R145" i="8" s="1"/>
  <c r="R163" i="8" s="1"/>
  <c r="I130" i="8"/>
  <c r="I131" i="8" s="1"/>
  <c r="I132" i="8" s="1"/>
  <c r="I134" i="8" s="1"/>
  <c r="I159" i="8" s="1"/>
  <c r="K115" i="8"/>
  <c r="T78" i="8"/>
  <c r="T79" i="8" s="1"/>
  <c r="T81" i="8" s="1"/>
  <c r="R90" i="8"/>
  <c r="R87" i="8"/>
  <c r="R88" i="8" s="1"/>
  <c r="S85" i="8" s="1"/>
  <c r="R91" i="8"/>
  <c r="P99" i="8"/>
  <c r="T77" i="8"/>
  <c r="O165" i="4"/>
  <c r="P74" i="4"/>
  <c r="K102" i="4"/>
  <c r="J109" i="4"/>
  <c r="J150" i="4" s="1"/>
  <c r="J156" i="4" s="1"/>
  <c r="J170" i="4" s="1"/>
  <c r="L96" i="4"/>
  <c r="L97" i="4" s="1"/>
  <c r="L98" i="4" s="1"/>
  <c r="O81" i="4"/>
  <c r="N85" i="4"/>
  <c r="M92" i="4"/>
  <c r="C180" i="8" a="1"/>
  <c r="C180" i="8" s="1"/>
  <c r="H144" i="4"/>
  <c r="H162" i="4" s="1"/>
  <c r="H146" i="4"/>
  <c r="H164" i="4" s="1"/>
  <c r="F155" i="4"/>
  <c r="F169" i="4" s="1"/>
  <c r="F156" i="4"/>
  <c r="F170" i="4" s="1"/>
  <c r="C179" i="8"/>
  <c r="F154" i="4"/>
  <c r="F168" i="4" s="1"/>
  <c r="H126" i="4"/>
  <c r="I119" i="4"/>
  <c r="F129" i="4"/>
  <c r="F130" i="4" s="1"/>
  <c r="F131" i="4" s="1"/>
  <c r="G129" i="4"/>
  <c r="G130" i="4" s="1"/>
  <c r="G131" i="4" s="1"/>
  <c r="G151" i="4"/>
  <c r="G155" i="4" s="1"/>
  <c r="G169" i="4" s="1"/>
  <c r="E183" i="4"/>
  <c r="E201" i="4" s="1"/>
  <c r="E172" i="4"/>
  <c r="E184" i="4" s="1"/>
  <c r="E202" i="4" s="1"/>
  <c r="N106" i="8" l="1"/>
  <c r="N140" i="8"/>
  <c r="N146" i="8" s="1"/>
  <c r="N164" i="8" s="1"/>
  <c r="M110" i="8"/>
  <c r="T82" i="8"/>
  <c r="S86" i="8" s="1"/>
  <c r="S87" i="8" s="1"/>
  <c r="I183" i="8"/>
  <c r="I201" i="8" s="1"/>
  <c r="I172" i="8"/>
  <c r="I184" i="8" s="1"/>
  <c r="I202" i="8" s="1"/>
  <c r="R92" i="8"/>
  <c r="R149" i="8" s="1"/>
  <c r="R155" i="8" s="1"/>
  <c r="R169" i="8" s="1"/>
  <c r="M112" i="8"/>
  <c r="Q96" i="8"/>
  <c r="Q97" i="8" s="1"/>
  <c r="Q98" i="8" s="1"/>
  <c r="S91" i="8"/>
  <c r="S90" i="8"/>
  <c r="J110" i="4"/>
  <c r="J112" i="4" s="1"/>
  <c r="T165" i="8"/>
  <c r="U74" i="8"/>
  <c r="K116" i="8"/>
  <c r="N108" i="8"/>
  <c r="N104" i="8"/>
  <c r="N105" i="8" s="1"/>
  <c r="N107" i="8"/>
  <c r="N91" i="4"/>
  <c r="N90" i="4"/>
  <c r="O82" i="4"/>
  <c r="N86" i="4" s="1"/>
  <c r="L99" i="4"/>
  <c r="K103" i="4" s="1"/>
  <c r="K104" i="4" s="1"/>
  <c r="M149" i="4"/>
  <c r="M155" i="4" s="1"/>
  <c r="M169" i="4" s="1"/>
  <c r="M93" i="4"/>
  <c r="K108" i="4"/>
  <c r="K107" i="4"/>
  <c r="P75" i="4"/>
  <c r="G156" i="4"/>
  <c r="G170" i="4" s="1"/>
  <c r="H151" i="4"/>
  <c r="H127" i="4"/>
  <c r="H129" i="4" s="1"/>
  <c r="H130" i="4" s="1"/>
  <c r="H131" i="4" s="1"/>
  <c r="H132" i="4" s="1"/>
  <c r="H134" i="4" s="1"/>
  <c r="H159" i="4" s="1"/>
  <c r="I124" i="4"/>
  <c r="I125" i="4"/>
  <c r="F132" i="4"/>
  <c r="F134" i="4" s="1"/>
  <c r="F159" i="4" s="1"/>
  <c r="G154" i="4"/>
  <c r="G168" i="4" s="1"/>
  <c r="G132" i="4"/>
  <c r="S88" i="8" l="1"/>
  <c r="T85" i="8" s="1"/>
  <c r="O102" i="8"/>
  <c r="O103" i="8" s="1"/>
  <c r="N109" i="8"/>
  <c r="N150" i="8" s="1"/>
  <c r="N156" i="8" s="1"/>
  <c r="N170" i="8" s="1"/>
  <c r="J120" i="8"/>
  <c r="L116" i="8"/>
  <c r="K120" i="8" s="1"/>
  <c r="M113" i="8"/>
  <c r="M114" i="8" s="1"/>
  <c r="M115" i="8" s="1"/>
  <c r="T91" i="8"/>
  <c r="T90" i="8"/>
  <c r="S92" i="8"/>
  <c r="S149" i="8" s="1"/>
  <c r="S155" i="8" s="1"/>
  <c r="S169" i="8" s="1"/>
  <c r="R93" i="8"/>
  <c r="Q99" i="8"/>
  <c r="U75" i="8"/>
  <c r="U76" i="8" s="1"/>
  <c r="S89" i="8"/>
  <c r="S139" i="8"/>
  <c r="S145" i="8" s="1"/>
  <c r="S163" i="8" s="1"/>
  <c r="M95" i="4"/>
  <c r="K106" i="4"/>
  <c r="K140" i="4"/>
  <c r="K146" i="4" s="1"/>
  <c r="K164" i="4" s="1"/>
  <c r="P78" i="4"/>
  <c r="P79" i="4" s="1"/>
  <c r="N89" i="4"/>
  <c r="N139" i="4"/>
  <c r="N145" i="4" s="1"/>
  <c r="N163" i="4" s="1"/>
  <c r="P76" i="4"/>
  <c r="P77" i="4" s="1"/>
  <c r="J113" i="4"/>
  <c r="J114" i="4" s="1"/>
  <c r="J115" i="4" s="1"/>
  <c r="N87" i="4"/>
  <c r="N88" i="4" s="1"/>
  <c r="K105" i="4"/>
  <c r="I146" i="4"/>
  <c r="I164" i="4" s="1"/>
  <c r="H154" i="4"/>
  <c r="H168" i="4" s="1"/>
  <c r="H156" i="4"/>
  <c r="H170" i="4" s="1"/>
  <c r="H183" i="4"/>
  <c r="H201" i="4" s="1"/>
  <c r="F172" i="4"/>
  <c r="F184" i="4" s="1"/>
  <c r="F202" i="4" s="1"/>
  <c r="F183" i="4"/>
  <c r="F201" i="4" s="1"/>
  <c r="G134" i="4"/>
  <c r="G159" i="4" s="1"/>
  <c r="N110" i="8" l="1"/>
  <c r="O106" i="8"/>
  <c r="O140" i="8"/>
  <c r="O146" i="8" s="1"/>
  <c r="O164" i="8" s="1"/>
  <c r="S93" i="8"/>
  <c r="S95" i="8" s="1"/>
  <c r="M116" i="8"/>
  <c r="L120" i="8" s="1"/>
  <c r="U78" i="8"/>
  <c r="U79" i="8" s="1"/>
  <c r="U81" i="8" s="1"/>
  <c r="U77" i="8"/>
  <c r="N112" i="8"/>
  <c r="K123" i="8"/>
  <c r="K141" i="8"/>
  <c r="K144" i="8" s="1"/>
  <c r="K162" i="8" s="1"/>
  <c r="J123" i="8"/>
  <c r="J141" i="8"/>
  <c r="J144" i="8" s="1"/>
  <c r="J162" i="8" s="1"/>
  <c r="J121" i="8"/>
  <c r="J122" i="8" s="1"/>
  <c r="R95" i="8"/>
  <c r="O108" i="8"/>
  <c r="O107" i="8"/>
  <c r="O104" i="8"/>
  <c r="O105" i="8" s="1"/>
  <c r="O85" i="4"/>
  <c r="N92" i="4"/>
  <c r="N149" i="4" s="1"/>
  <c r="N155" i="4" s="1"/>
  <c r="N169" i="4" s="1"/>
  <c r="Q74" i="4"/>
  <c r="P165" i="4"/>
  <c r="P81" i="4"/>
  <c r="L102" i="4"/>
  <c r="K109" i="4"/>
  <c r="K150" i="4" s="1"/>
  <c r="K156" i="4" s="1"/>
  <c r="K170" i="4" s="1"/>
  <c r="J116" i="4"/>
  <c r="I120" i="4" s="1"/>
  <c r="M96" i="4"/>
  <c r="M97" i="4" s="1"/>
  <c r="M98" i="4" s="1"/>
  <c r="H172" i="4"/>
  <c r="H184" i="4" s="1"/>
  <c r="H202" i="4" s="1"/>
  <c r="I156" i="4"/>
  <c r="I170" i="4" s="1"/>
  <c r="G183" i="4"/>
  <c r="G201" i="4" s="1"/>
  <c r="G172" i="4"/>
  <c r="G184" i="4" s="1"/>
  <c r="G202" i="4" s="1"/>
  <c r="N93" i="4" l="1"/>
  <c r="N95" i="4" s="1"/>
  <c r="K119" i="8"/>
  <c r="J126" i="8"/>
  <c r="P102" i="8"/>
  <c r="P103" i="8" s="1"/>
  <c r="O109" i="8"/>
  <c r="O150" i="8" s="1"/>
  <c r="O156" i="8" s="1"/>
  <c r="O170" i="8" s="1"/>
  <c r="U82" i="8"/>
  <c r="T86" i="8" s="1"/>
  <c r="N113" i="8"/>
  <c r="N114" i="8" s="1"/>
  <c r="N115" i="8" s="1"/>
  <c r="V74" i="8"/>
  <c r="U165" i="8"/>
  <c r="S96" i="8"/>
  <c r="S97" i="8" s="1"/>
  <c r="R96" i="8"/>
  <c r="R97" i="8" s="1"/>
  <c r="R98" i="8" s="1"/>
  <c r="L123" i="8"/>
  <c r="L141" i="8"/>
  <c r="L144" i="8" s="1"/>
  <c r="L162" i="8" s="1"/>
  <c r="I121" i="4"/>
  <c r="I122" i="4" s="1"/>
  <c r="I123" i="4"/>
  <c r="I141" i="4"/>
  <c r="I144" i="4" s="1"/>
  <c r="I162" i="4" s="1"/>
  <c r="Q75" i="4"/>
  <c r="P82" i="4"/>
  <c r="O86" i="4" s="1"/>
  <c r="L108" i="4"/>
  <c r="L107" i="4"/>
  <c r="M99" i="4"/>
  <c r="L103" i="4" s="1"/>
  <c r="K110" i="4"/>
  <c r="O90" i="4"/>
  <c r="O91" i="4"/>
  <c r="S98" i="8" l="1"/>
  <c r="P106" i="8"/>
  <c r="P140" i="8"/>
  <c r="P146" i="8" s="1"/>
  <c r="P164" i="8" s="1"/>
  <c r="N116" i="8"/>
  <c r="M120" i="8" s="1"/>
  <c r="V75" i="8"/>
  <c r="P107" i="8"/>
  <c r="P108" i="8"/>
  <c r="P104" i="8"/>
  <c r="P105" i="8" s="1"/>
  <c r="T89" i="8"/>
  <c r="T139" i="8"/>
  <c r="T145" i="8" s="1"/>
  <c r="T163" i="8" s="1"/>
  <c r="T87" i="8"/>
  <c r="T88" i="8" s="1"/>
  <c r="J151" i="8"/>
  <c r="J154" i="8" s="1"/>
  <c r="J168" i="8" s="1"/>
  <c r="J127" i="8"/>
  <c r="O110" i="8"/>
  <c r="R99" i="8"/>
  <c r="K121" i="8"/>
  <c r="K122" i="8" s="1"/>
  <c r="K125" i="8"/>
  <c r="K124" i="8"/>
  <c r="O89" i="4"/>
  <c r="O139" i="4"/>
  <c r="O145" i="4" s="1"/>
  <c r="O163" i="4" s="1"/>
  <c r="O87" i="4"/>
  <c r="O88" i="4" s="1"/>
  <c r="Q78" i="4"/>
  <c r="Q79" i="4" s="1"/>
  <c r="Q76" i="4"/>
  <c r="Q77" i="4" s="1"/>
  <c r="K112" i="4"/>
  <c r="L106" i="4"/>
  <c r="L140" i="4"/>
  <c r="L146" i="4" s="1"/>
  <c r="L164" i="4" s="1"/>
  <c r="N96" i="4"/>
  <c r="N97" i="4" s="1"/>
  <c r="N98" i="4" s="1"/>
  <c r="L104" i="4"/>
  <c r="L105" i="4" s="1"/>
  <c r="J119" i="4"/>
  <c r="I126" i="4"/>
  <c r="U85" i="8" l="1"/>
  <c r="T92" i="8"/>
  <c r="Q102" i="8"/>
  <c r="Q103" i="8" s="1"/>
  <c r="P109" i="8"/>
  <c r="P150" i="8" s="1"/>
  <c r="P156" i="8" s="1"/>
  <c r="P170" i="8" s="1"/>
  <c r="L119" i="8"/>
  <c r="K126" i="8"/>
  <c r="K151" i="8" s="1"/>
  <c r="K154" i="8" s="1"/>
  <c r="K168" i="8" s="1"/>
  <c r="O112" i="8"/>
  <c r="V78" i="8"/>
  <c r="V79" i="8" s="1"/>
  <c r="V81" i="8" s="1"/>
  <c r="V76" i="8"/>
  <c r="V77" i="8" s="1"/>
  <c r="S99" i="8"/>
  <c r="J129" i="8"/>
  <c r="M123" i="8"/>
  <c r="M141" i="8"/>
  <c r="M144" i="8" s="1"/>
  <c r="M162" i="8" s="1"/>
  <c r="N99" i="4"/>
  <c r="M103" i="4" s="1"/>
  <c r="Q81" i="4"/>
  <c r="K113" i="4"/>
  <c r="K114" i="4" s="1"/>
  <c r="K115" i="4" s="1"/>
  <c r="P85" i="4"/>
  <c r="O92" i="4"/>
  <c r="Q165" i="4"/>
  <c r="R74" i="4"/>
  <c r="J125" i="4"/>
  <c r="J124" i="4"/>
  <c r="I151" i="4"/>
  <c r="I154" i="4" s="1"/>
  <c r="I168" i="4" s="1"/>
  <c r="I127" i="4"/>
  <c r="M102" i="4"/>
  <c r="L109" i="4"/>
  <c r="L150" i="4" s="1"/>
  <c r="L156" i="4" s="1"/>
  <c r="L170" i="4" s="1"/>
  <c r="C179" i="4"/>
  <c r="C180" i="4" a="1"/>
  <c r="C180" i="4" s="1"/>
  <c r="Q106" i="8" l="1"/>
  <c r="Q140" i="8"/>
  <c r="Q146" i="8" s="1"/>
  <c r="Q164" i="8" s="1"/>
  <c r="K127" i="8"/>
  <c r="K129" i="8" s="1"/>
  <c r="V165" i="8"/>
  <c r="W74" i="8"/>
  <c r="V82" i="8"/>
  <c r="U86" i="8" s="1"/>
  <c r="K130" i="8"/>
  <c r="K131" i="8" s="1"/>
  <c r="O113" i="8"/>
  <c r="O114" i="8" s="1"/>
  <c r="O115" i="8" s="1"/>
  <c r="J130" i="8"/>
  <c r="J131" i="8" s="1"/>
  <c r="J132" i="8" s="1"/>
  <c r="J134" i="8" s="1"/>
  <c r="J159" i="8" s="1"/>
  <c r="L125" i="8"/>
  <c r="L124" i="8"/>
  <c r="L121" i="8"/>
  <c r="L122" i="8" s="1"/>
  <c r="P110" i="8"/>
  <c r="T149" i="8"/>
  <c r="T155" i="8" s="1"/>
  <c r="T169" i="8" s="1"/>
  <c r="T93" i="8"/>
  <c r="Q107" i="8"/>
  <c r="Q104" i="8"/>
  <c r="Q105" i="8" s="1"/>
  <c r="R102" i="8" s="1"/>
  <c r="R103" i="8" s="1"/>
  <c r="Q108" i="8"/>
  <c r="U90" i="8"/>
  <c r="U91" i="8"/>
  <c r="K116" i="4"/>
  <c r="J120" i="4" s="1"/>
  <c r="P90" i="4"/>
  <c r="P91" i="4"/>
  <c r="Q82" i="4"/>
  <c r="P86" i="4" s="1"/>
  <c r="P87" i="4" s="1"/>
  <c r="L110" i="4"/>
  <c r="M108" i="4"/>
  <c r="M107" i="4"/>
  <c r="M104" i="4"/>
  <c r="M105" i="4" s="1"/>
  <c r="M106" i="4"/>
  <c r="M140" i="4"/>
  <c r="M146" i="4" s="1"/>
  <c r="M164" i="4" s="1"/>
  <c r="O149" i="4"/>
  <c r="O155" i="4" s="1"/>
  <c r="O169" i="4" s="1"/>
  <c r="O93" i="4"/>
  <c r="I129" i="4"/>
  <c r="I130" i="4" s="1"/>
  <c r="I131" i="4" s="1"/>
  <c r="I132" i="4" s="1"/>
  <c r="I134" i="4" s="1"/>
  <c r="I159" i="4" s="1"/>
  <c r="R75" i="4"/>
  <c r="R106" i="8" l="1"/>
  <c r="R140" i="8"/>
  <c r="R146" i="8" s="1"/>
  <c r="R164" i="8" s="1"/>
  <c r="J183" i="8"/>
  <c r="J201" i="8" s="1"/>
  <c r="J172" i="8"/>
  <c r="J184" i="8" s="1"/>
  <c r="J202" i="8" s="1"/>
  <c r="M119" i="8"/>
  <c r="L126" i="8"/>
  <c r="L151" i="8" s="1"/>
  <c r="L154" i="8" s="1"/>
  <c r="L168" i="8" s="1"/>
  <c r="O116" i="8"/>
  <c r="N120" i="8" s="1"/>
  <c r="T95" i="8"/>
  <c r="P112" i="8"/>
  <c r="K132" i="8"/>
  <c r="K134" i="8" s="1"/>
  <c r="K159" i="8" s="1"/>
  <c r="R107" i="8"/>
  <c r="R104" i="8"/>
  <c r="R105" i="8" s="1"/>
  <c r="R108" i="8"/>
  <c r="U89" i="8"/>
  <c r="U139" i="8"/>
  <c r="U145" i="8" s="1"/>
  <c r="U163" i="8" s="1"/>
  <c r="Q109" i="8"/>
  <c r="Q150" i="8" s="1"/>
  <c r="Q156" i="8" s="1"/>
  <c r="Q170" i="8" s="1"/>
  <c r="W75" i="8"/>
  <c r="U87" i="8"/>
  <c r="U88" i="8" s="1"/>
  <c r="N102" i="4"/>
  <c r="M109" i="4"/>
  <c r="M150" i="4" s="1"/>
  <c r="M156" i="4" s="1"/>
  <c r="M170" i="4" s="1"/>
  <c r="L112" i="4"/>
  <c r="R78" i="4"/>
  <c r="R79" i="4" s="1"/>
  <c r="R81" i="4" s="1"/>
  <c r="O95" i="4"/>
  <c r="P88" i="4"/>
  <c r="I183" i="4"/>
  <c r="I201" i="4" s="1"/>
  <c r="I172" i="4"/>
  <c r="I184" i="4" s="1"/>
  <c r="I202" i="4" s="1"/>
  <c r="P89" i="4"/>
  <c r="P139" i="4"/>
  <c r="P145" i="4" s="1"/>
  <c r="P163" i="4" s="1"/>
  <c r="J123" i="4"/>
  <c r="J141" i="4"/>
  <c r="J144" i="4" s="1"/>
  <c r="J162" i="4" s="1"/>
  <c r="J121" i="4"/>
  <c r="J122" i="4" s="1"/>
  <c r="R76" i="4"/>
  <c r="R77" i="4" s="1"/>
  <c r="Q110" i="8" l="1"/>
  <c r="Q112" i="8" s="1"/>
  <c r="L127" i="8"/>
  <c r="S102" i="8"/>
  <c r="R109" i="8"/>
  <c r="R150" i="8" s="1"/>
  <c r="R156" i="8" s="1"/>
  <c r="R170" i="8" s="1"/>
  <c r="M110" i="4"/>
  <c r="M112" i="4" s="1"/>
  <c r="M113" i="4" s="1"/>
  <c r="M114" i="4" s="1"/>
  <c r="T96" i="8"/>
  <c r="T97" i="8" s="1"/>
  <c r="T98" i="8" s="1"/>
  <c r="N123" i="8"/>
  <c r="N141" i="8"/>
  <c r="N144" i="8" s="1"/>
  <c r="N162" i="8" s="1"/>
  <c r="Q113" i="8"/>
  <c r="Q114" i="8" s="1"/>
  <c r="P113" i="8"/>
  <c r="P114" i="8" s="1"/>
  <c r="W78" i="8"/>
  <c r="W79" i="8" s="1"/>
  <c r="W81" i="8" s="1"/>
  <c r="R110" i="8"/>
  <c r="M125" i="8"/>
  <c r="M124" i="8"/>
  <c r="M121" i="8"/>
  <c r="M122" i="8" s="1"/>
  <c r="N119" i="8" s="1"/>
  <c r="L129" i="8"/>
  <c r="W76" i="8"/>
  <c r="W77" i="8" s="1"/>
  <c r="V85" i="8"/>
  <c r="U92" i="8"/>
  <c r="K183" i="8"/>
  <c r="K201" i="8" s="1"/>
  <c r="K172" i="8"/>
  <c r="K184" i="8" s="1"/>
  <c r="K202" i="8" s="1"/>
  <c r="K119" i="4"/>
  <c r="J126" i="4"/>
  <c r="R165" i="4"/>
  <c r="S74" i="4"/>
  <c r="R82" i="4"/>
  <c r="Q86" i="4" s="1"/>
  <c r="L113" i="4"/>
  <c r="L114" i="4" s="1"/>
  <c r="Q85" i="4"/>
  <c r="P92" i="4"/>
  <c r="P149" i="4" s="1"/>
  <c r="P155" i="4" s="1"/>
  <c r="P169" i="4" s="1"/>
  <c r="O96" i="4"/>
  <c r="O97" i="4" s="1"/>
  <c r="O98" i="4" s="1"/>
  <c r="N107" i="4"/>
  <c r="N108" i="4"/>
  <c r="Q115" i="8" l="1"/>
  <c r="P115" i="8"/>
  <c r="P116" i="8" s="1"/>
  <c r="M126" i="8"/>
  <c r="M151" i="8" s="1"/>
  <c r="M154" i="8" s="1"/>
  <c r="M168" i="8" s="1"/>
  <c r="L130" i="8"/>
  <c r="L131" i="8" s="1"/>
  <c r="L132" i="8" s="1"/>
  <c r="L134" i="8" s="1"/>
  <c r="L159" i="8" s="1"/>
  <c r="N124" i="8"/>
  <c r="N125" i="8"/>
  <c r="N121" i="8"/>
  <c r="N122" i="8" s="1"/>
  <c r="O119" i="8" s="1"/>
  <c r="T99" i="8"/>
  <c r="S103" i="8" s="1"/>
  <c r="S104" i="8" s="1"/>
  <c r="U149" i="8"/>
  <c r="U155" i="8" s="1"/>
  <c r="U169" i="8" s="1"/>
  <c r="U93" i="8"/>
  <c r="W165" i="8"/>
  <c r="X74" i="8"/>
  <c r="V90" i="8"/>
  <c r="V91" i="8"/>
  <c r="W82" i="8"/>
  <c r="V86" i="8" s="1"/>
  <c r="V87" i="8" s="1"/>
  <c r="V88" i="8" s="1"/>
  <c r="M115" i="4"/>
  <c r="R112" i="8"/>
  <c r="S107" i="8"/>
  <c r="S108" i="8"/>
  <c r="L115" i="4"/>
  <c r="Q89" i="4"/>
  <c r="Q139" i="4"/>
  <c r="Q145" i="4" s="1"/>
  <c r="Q163" i="4" s="1"/>
  <c r="J151" i="4"/>
  <c r="J154" i="4" s="1"/>
  <c r="J168" i="4" s="1"/>
  <c r="J127" i="4"/>
  <c r="O99" i="4"/>
  <c r="N103" i="4" s="1"/>
  <c r="Q91" i="4"/>
  <c r="Q87" i="4"/>
  <c r="Q88" i="4" s="1"/>
  <c r="Q90" i="4"/>
  <c r="S75" i="4"/>
  <c r="S76" i="4" s="1"/>
  <c r="K124" i="4"/>
  <c r="K125" i="4"/>
  <c r="P93" i="4"/>
  <c r="O120" i="8" l="1"/>
  <c r="Q116" i="8"/>
  <c r="P120" i="8" s="1"/>
  <c r="P123" i="8" s="1"/>
  <c r="M127" i="8"/>
  <c r="M129" i="8" s="1"/>
  <c r="S105" i="8"/>
  <c r="T102" i="8" s="1"/>
  <c r="W85" i="8"/>
  <c r="V92" i="8"/>
  <c r="V149" i="8" s="1"/>
  <c r="V155" i="8" s="1"/>
  <c r="V169" i="8" s="1"/>
  <c r="R85" i="4"/>
  <c r="R91" i="4" s="1"/>
  <c r="Q92" i="4"/>
  <c r="Q149" i="4" s="1"/>
  <c r="Q155" i="4" s="1"/>
  <c r="Q169" i="4" s="1"/>
  <c r="L183" i="8"/>
  <c r="L201" i="8" s="1"/>
  <c r="L172" i="8"/>
  <c r="L184" i="8" s="1"/>
  <c r="L202" i="8" s="1"/>
  <c r="T107" i="8"/>
  <c r="T108" i="8"/>
  <c r="S77" i="4"/>
  <c r="S165" i="4" s="1"/>
  <c r="P141" i="8"/>
  <c r="P144" i="8" s="1"/>
  <c r="P162" i="8" s="1"/>
  <c r="V89" i="8"/>
  <c r="V139" i="8"/>
  <c r="V145" i="8" s="1"/>
  <c r="V163" i="8" s="1"/>
  <c r="O123" i="8"/>
  <c r="O141" i="8"/>
  <c r="O144" i="8" s="1"/>
  <c r="O162" i="8" s="1"/>
  <c r="X75" i="8"/>
  <c r="S109" i="8"/>
  <c r="S150" i="8" s="1"/>
  <c r="S156" i="8" s="1"/>
  <c r="S170" i="8" s="1"/>
  <c r="O124" i="8"/>
  <c r="O125" i="8"/>
  <c r="O121" i="8"/>
  <c r="O122" i="8" s="1"/>
  <c r="U95" i="8"/>
  <c r="R113" i="8"/>
  <c r="R114" i="8" s="1"/>
  <c r="R115" i="8" s="1"/>
  <c r="S106" i="8"/>
  <c r="S140" i="8"/>
  <c r="S146" i="8" s="1"/>
  <c r="S164" i="8" s="1"/>
  <c r="N126" i="8"/>
  <c r="N151" i="8" s="1"/>
  <c r="N154" i="8" s="1"/>
  <c r="N168" i="8" s="1"/>
  <c r="N106" i="4"/>
  <c r="N140" i="4"/>
  <c r="N146" i="4" s="1"/>
  <c r="N164" i="4" s="1"/>
  <c r="N104" i="4"/>
  <c r="N105" i="4" s="1"/>
  <c r="J129" i="4"/>
  <c r="L116" i="4"/>
  <c r="P95" i="4"/>
  <c r="S78" i="4"/>
  <c r="S79" i="4" s="1"/>
  <c r="S81" i="4" s="1"/>
  <c r="R90" i="4" l="1"/>
  <c r="Q93" i="4"/>
  <c r="Q95" i="4" s="1"/>
  <c r="S110" i="8"/>
  <c r="S112" i="8" s="1"/>
  <c r="T74" i="4"/>
  <c r="T75" i="4" s="1"/>
  <c r="T76" i="4" s="1"/>
  <c r="V93" i="8"/>
  <c r="R116" i="8"/>
  <c r="Q120" i="8" s="1"/>
  <c r="P119" i="8"/>
  <c r="O126" i="8"/>
  <c r="O151" i="8" s="1"/>
  <c r="O154" i="8" s="1"/>
  <c r="O168" i="8" s="1"/>
  <c r="V95" i="8"/>
  <c r="N127" i="8"/>
  <c r="U96" i="8"/>
  <c r="U97" i="8" s="1"/>
  <c r="U98" i="8" s="1"/>
  <c r="X78" i="8"/>
  <c r="X79" i="8" s="1"/>
  <c r="X81" i="8" s="1"/>
  <c r="X76" i="8"/>
  <c r="X77" i="8" s="1"/>
  <c r="W90" i="8"/>
  <c r="W91" i="8"/>
  <c r="M130" i="8"/>
  <c r="M131" i="8" s="1"/>
  <c r="M132" i="8" s="1"/>
  <c r="M134" i="8" s="1"/>
  <c r="M159" i="8" s="1"/>
  <c r="S82" i="4"/>
  <c r="R86" i="4" s="1"/>
  <c r="Q96" i="4"/>
  <c r="Q97" i="4" s="1"/>
  <c r="O102" i="4"/>
  <c r="N109" i="4"/>
  <c r="P96" i="4"/>
  <c r="P97" i="4" s="1"/>
  <c r="K120" i="4"/>
  <c r="M116" i="4"/>
  <c r="L120" i="4" s="1"/>
  <c r="J130" i="4"/>
  <c r="J131" i="4" s="1"/>
  <c r="J132" i="4" s="1"/>
  <c r="J134" i="4" s="1"/>
  <c r="J159" i="4" s="1"/>
  <c r="Q98" i="4" l="1"/>
  <c r="X82" i="8"/>
  <c r="W86" i="8" s="1"/>
  <c r="M183" i="8"/>
  <c r="M201" i="8" s="1"/>
  <c r="M172" i="8"/>
  <c r="M184" i="8" s="1"/>
  <c r="M202" i="8" s="1"/>
  <c r="N129" i="8"/>
  <c r="U99" i="8"/>
  <c r="T103" i="8" s="1"/>
  <c r="V96" i="8"/>
  <c r="V97" i="8" s="1"/>
  <c r="V98" i="8" s="1"/>
  <c r="O127" i="8"/>
  <c r="O129" i="8" s="1"/>
  <c r="P98" i="4"/>
  <c r="P99" i="4" s="1"/>
  <c r="O103" i="4" s="1"/>
  <c r="P124" i="8"/>
  <c r="P125" i="8"/>
  <c r="P121" i="8"/>
  <c r="P122" i="8" s="1"/>
  <c r="Q123" i="8"/>
  <c r="Q141" i="8"/>
  <c r="Q144" i="8" s="1"/>
  <c r="Q162" i="8" s="1"/>
  <c r="X165" i="8"/>
  <c r="Y74" i="8"/>
  <c r="S113" i="8"/>
  <c r="S114" i="8" s="1"/>
  <c r="S115" i="8" s="1"/>
  <c r="J172" i="4"/>
  <c r="J184" i="4" s="1"/>
  <c r="J202" i="4" s="1"/>
  <c r="J183" i="4"/>
  <c r="J201" i="4" s="1"/>
  <c r="K123" i="4"/>
  <c r="K141" i="4"/>
  <c r="K144" i="4" s="1"/>
  <c r="K162" i="4" s="1"/>
  <c r="K121" i="4"/>
  <c r="K122" i="4" s="1"/>
  <c r="T78" i="4"/>
  <c r="T79" i="4" s="1"/>
  <c r="T81" i="4" s="1"/>
  <c r="T77" i="4"/>
  <c r="R89" i="4"/>
  <c r="R139" i="4"/>
  <c r="R145" i="4" s="1"/>
  <c r="R163" i="4" s="1"/>
  <c r="R87" i="4"/>
  <c r="R88" i="4" s="1"/>
  <c r="L123" i="4"/>
  <c r="L141" i="4"/>
  <c r="L144" i="4" s="1"/>
  <c r="L162" i="4" s="1"/>
  <c r="N150" i="4"/>
  <c r="N156" i="4" s="1"/>
  <c r="N170" i="4" s="1"/>
  <c r="N110" i="4"/>
  <c r="O108" i="4"/>
  <c r="O107" i="4"/>
  <c r="Q119" i="8" l="1"/>
  <c r="P126" i="8"/>
  <c r="P151" i="8" s="1"/>
  <c r="P154" i="8" s="1"/>
  <c r="P168" i="8" s="1"/>
  <c r="V99" i="8"/>
  <c r="T106" i="8"/>
  <c r="T140" i="8"/>
  <c r="T146" i="8" s="1"/>
  <c r="T164" i="8" s="1"/>
  <c r="T104" i="8"/>
  <c r="T105" i="8" s="1"/>
  <c r="O130" i="8"/>
  <c r="O131" i="8" s="1"/>
  <c r="N130" i="8"/>
  <c r="N131" i="8" s="1"/>
  <c r="P127" i="8"/>
  <c r="S116" i="8"/>
  <c r="R120" i="8" s="1"/>
  <c r="W89" i="8"/>
  <c r="W139" i="8"/>
  <c r="W145" i="8" s="1"/>
  <c r="W163" i="8" s="1"/>
  <c r="W87" i="8"/>
  <c r="W88" i="8" s="1"/>
  <c r="Y75" i="8"/>
  <c r="Y76" i="8" s="1"/>
  <c r="Y77" i="8" s="1"/>
  <c r="S85" i="4"/>
  <c r="R92" i="4"/>
  <c r="R149" i="4" s="1"/>
  <c r="R155" i="4" s="1"/>
  <c r="R169" i="4" s="1"/>
  <c r="T82" i="4"/>
  <c r="S86" i="4" s="1"/>
  <c r="L119" i="4"/>
  <c r="K126" i="4"/>
  <c r="O106" i="4"/>
  <c r="O140" i="4"/>
  <c r="O146" i="4" s="1"/>
  <c r="O164" i="4" s="1"/>
  <c r="N112" i="4"/>
  <c r="Q99" i="4"/>
  <c r="P103" i="4" s="1"/>
  <c r="O104" i="4"/>
  <c r="O105" i="4" s="1"/>
  <c r="T165" i="4"/>
  <c r="U74" i="4"/>
  <c r="O132" i="8" l="1"/>
  <c r="O134" i="8" s="1"/>
  <c r="O159" i="8" s="1"/>
  <c r="R93" i="4"/>
  <c r="N132" i="8"/>
  <c r="N134" i="8" s="1"/>
  <c r="N159" i="8" s="1"/>
  <c r="U102" i="8"/>
  <c r="U103" i="8" s="1"/>
  <c r="T109" i="8"/>
  <c r="T150" i="8" s="1"/>
  <c r="T156" i="8" s="1"/>
  <c r="T170" i="8" s="1"/>
  <c r="Y165" i="8"/>
  <c r="Z74" i="8"/>
  <c r="T110" i="8"/>
  <c r="X85" i="8"/>
  <c r="W92" i="8"/>
  <c r="W149" i="8" s="1"/>
  <c r="W155" i="8" s="1"/>
  <c r="W169" i="8" s="1"/>
  <c r="O172" i="8"/>
  <c r="O184" i="8" s="1"/>
  <c r="O202" i="8" s="1"/>
  <c r="O183" i="8"/>
  <c r="O201" i="8" s="1"/>
  <c r="R123" i="8"/>
  <c r="R141" i="8"/>
  <c r="R144" i="8" s="1"/>
  <c r="R162" i="8" s="1"/>
  <c r="P129" i="8"/>
  <c r="N172" i="8"/>
  <c r="N184" i="8" s="1"/>
  <c r="N202" i="8" s="1"/>
  <c r="N183" i="8"/>
  <c r="N201" i="8" s="1"/>
  <c r="Y78" i="8"/>
  <c r="Y79" i="8" s="1"/>
  <c r="Y81" i="8" s="1"/>
  <c r="Q124" i="8"/>
  <c r="Q125" i="8"/>
  <c r="Q121" i="8"/>
  <c r="Q122" i="8" s="1"/>
  <c r="P102" i="4"/>
  <c r="O109" i="4"/>
  <c r="N113" i="4"/>
  <c r="N114" i="4" s="1"/>
  <c r="N115" i="4" s="1"/>
  <c r="K151" i="4"/>
  <c r="K154" i="4" s="1"/>
  <c r="K168" i="4" s="1"/>
  <c r="K127" i="4"/>
  <c r="L124" i="4"/>
  <c r="L121" i="4"/>
  <c r="L122" i="4" s="1"/>
  <c r="M119" i="4" s="1"/>
  <c r="L125" i="4"/>
  <c r="U75" i="4"/>
  <c r="P106" i="4"/>
  <c r="P140" i="4"/>
  <c r="P146" i="4" s="1"/>
  <c r="P164" i="4" s="1"/>
  <c r="R95" i="4"/>
  <c r="S89" i="4"/>
  <c r="S139" i="4"/>
  <c r="S145" i="4" s="1"/>
  <c r="S163" i="4" s="1"/>
  <c r="S87" i="4"/>
  <c r="S88" i="4" s="1"/>
  <c r="T85" i="4" s="1"/>
  <c r="S90" i="4"/>
  <c r="S91" i="4"/>
  <c r="W93" i="8" l="1"/>
  <c r="U106" i="8"/>
  <c r="U140" i="8"/>
  <c r="U146" i="8" s="1"/>
  <c r="U164" i="8" s="1"/>
  <c r="R119" i="8"/>
  <c r="Q126" i="8"/>
  <c r="Q151" i="8" s="1"/>
  <c r="Q154" i="8" s="1"/>
  <c r="Q168" i="8" s="1"/>
  <c r="Y82" i="8"/>
  <c r="X86" i="8" s="1"/>
  <c r="X87" i="8" s="1"/>
  <c r="W95" i="8"/>
  <c r="X91" i="8"/>
  <c r="X90" i="8"/>
  <c r="T112" i="8"/>
  <c r="Z75" i="8"/>
  <c r="P130" i="8"/>
  <c r="P131" i="8" s="1"/>
  <c r="P132" i="8" s="1"/>
  <c r="P134" i="8" s="1"/>
  <c r="P159" i="8" s="1"/>
  <c r="L126" i="4"/>
  <c r="L151" i="4" s="1"/>
  <c r="L154" i="4" s="1"/>
  <c r="L168" i="4" s="1"/>
  <c r="U108" i="8"/>
  <c r="U107" i="8"/>
  <c r="U104" i="8"/>
  <c r="U105" i="8" s="1"/>
  <c r="N116" i="4"/>
  <c r="M120" i="4" s="1"/>
  <c r="M121" i="4" s="1"/>
  <c r="S92" i="4"/>
  <c r="M125" i="4"/>
  <c r="M124" i="4"/>
  <c r="U78" i="4"/>
  <c r="U79" i="4" s="1"/>
  <c r="U81" i="4" s="1"/>
  <c r="U76" i="4"/>
  <c r="U77" i="4" s="1"/>
  <c r="O150" i="4"/>
  <c r="O156" i="4" s="1"/>
  <c r="O170" i="4" s="1"/>
  <c r="O110" i="4"/>
  <c r="T90" i="4"/>
  <c r="T91" i="4"/>
  <c r="R96" i="4"/>
  <c r="R97" i="4" s="1"/>
  <c r="R98" i="4" s="1"/>
  <c r="K129" i="4"/>
  <c r="P108" i="4"/>
  <c r="P107" i="4"/>
  <c r="P104" i="4"/>
  <c r="P105" i="4" s="1"/>
  <c r="X88" i="8" l="1"/>
  <c r="Q127" i="8"/>
  <c r="L127" i="4"/>
  <c r="L129" i="4" s="1"/>
  <c r="L130" i="4" s="1"/>
  <c r="L131" i="4" s="1"/>
  <c r="V102" i="8"/>
  <c r="U109" i="8"/>
  <c r="U150" i="8" s="1"/>
  <c r="U156" i="8" s="1"/>
  <c r="U170" i="8" s="1"/>
  <c r="P172" i="8"/>
  <c r="P184" i="8" s="1"/>
  <c r="P202" i="8" s="1"/>
  <c r="P183" i="8"/>
  <c r="P201" i="8" s="1"/>
  <c r="M122" i="4"/>
  <c r="Z78" i="8"/>
  <c r="Z79" i="8" s="1"/>
  <c r="Z81" i="8" s="1"/>
  <c r="W96" i="8"/>
  <c r="W97" i="8" s="1"/>
  <c r="W98" i="8" s="1"/>
  <c r="Z76" i="8"/>
  <c r="Z77" i="8" s="1"/>
  <c r="Q129" i="8"/>
  <c r="X89" i="8"/>
  <c r="X139" i="8"/>
  <c r="X145" i="8" s="1"/>
  <c r="X163" i="8" s="1"/>
  <c r="T113" i="8"/>
  <c r="T114" i="8" s="1"/>
  <c r="T115" i="8" s="1"/>
  <c r="R124" i="8"/>
  <c r="R125" i="8"/>
  <c r="R121" i="8"/>
  <c r="R122" i="8" s="1"/>
  <c r="S119" i="8" s="1"/>
  <c r="U165" i="4"/>
  <c r="V74" i="4"/>
  <c r="Q102" i="4"/>
  <c r="P109" i="4"/>
  <c r="P150" i="4" s="1"/>
  <c r="P156" i="4" s="1"/>
  <c r="P170" i="4" s="1"/>
  <c r="R99" i="4"/>
  <c r="Q103" i="4" s="1"/>
  <c r="U82" i="4"/>
  <c r="T86" i="4" s="1"/>
  <c r="S149" i="4"/>
  <c r="S155" i="4" s="1"/>
  <c r="S169" i="4" s="1"/>
  <c r="S93" i="4"/>
  <c r="K130" i="4"/>
  <c r="K131" i="4" s="1"/>
  <c r="K132" i="4" s="1"/>
  <c r="K134" i="4" s="1"/>
  <c r="K159" i="4" s="1"/>
  <c r="O112" i="4"/>
  <c r="M123" i="4"/>
  <c r="M141" i="4"/>
  <c r="M144" i="4" s="1"/>
  <c r="M162" i="4" s="1"/>
  <c r="L132" i="4" l="1"/>
  <c r="L134" i="4" s="1"/>
  <c r="L159" i="4" s="1"/>
  <c r="R126" i="8"/>
  <c r="R151" i="8" s="1"/>
  <c r="R154" i="8" s="1"/>
  <c r="R168" i="8" s="1"/>
  <c r="U110" i="8"/>
  <c r="Y85" i="8"/>
  <c r="X92" i="8"/>
  <c r="X149" i="8" s="1"/>
  <c r="X155" i="8" s="1"/>
  <c r="X169" i="8" s="1"/>
  <c r="W99" i="8"/>
  <c r="V103" i="8" s="1"/>
  <c r="Z82" i="8"/>
  <c r="Y86" i="8" s="1"/>
  <c r="T116" i="8"/>
  <c r="S120" i="8" s="1"/>
  <c r="N119" i="4"/>
  <c r="M126" i="4"/>
  <c r="M151" i="4" s="1"/>
  <c r="M154" i="4" s="1"/>
  <c r="M168" i="4" s="1"/>
  <c r="Q130" i="8"/>
  <c r="Q131" i="8" s="1"/>
  <c r="Q132" i="8" s="1"/>
  <c r="Q134" i="8" s="1"/>
  <c r="Q159" i="8" s="1"/>
  <c r="S125" i="8"/>
  <c r="S124" i="8"/>
  <c r="U112" i="8"/>
  <c r="Z165" i="8"/>
  <c r="AA74" i="8"/>
  <c r="R127" i="8"/>
  <c r="V104" i="8"/>
  <c r="V105" i="8" s="1"/>
  <c r="V108" i="8"/>
  <c r="V107" i="8"/>
  <c r="K172" i="4"/>
  <c r="K184" i="4" s="1"/>
  <c r="K202" i="4" s="1"/>
  <c r="K183" i="4"/>
  <c r="K201" i="4" s="1"/>
  <c r="O113" i="4"/>
  <c r="O114" i="4" s="1"/>
  <c r="O115" i="4" s="1"/>
  <c r="T89" i="4"/>
  <c r="T139" i="4"/>
  <c r="T145" i="4" s="1"/>
  <c r="T163" i="4" s="1"/>
  <c r="T87" i="4"/>
  <c r="T88" i="4" s="1"/>
  <c r="Q106" i="4"/>
  <c r="Q140" i="4"/>
  <c r="Q146" i="4" s="1"/>
  <c r="Q164" i="4" s="1"/>
  <c r="P110" i="4"/>
  <c r="S95" i="4"/>
  <c r="Q104" i="4"/>
  <c r="Q105" i="4" s="1"/>
  <c r="Q108" i="4"/>
  <c r="Q107" i="4"/>
  <c r="V75" i="4"/>
  <c r="L172" i="4"/>
  <c r="L184" i="4" s="1"/>
  <c r="L202" i="4" s="1"/>
  <c r="L183" i="4"/>
  <c r="L201" i="4" s="1"/>
  <c r="Y90" i="8" l="1"/>
  <c r="Y91" i="8"/>
  <c r="X93" i="8"/>
  <c r="X95" i="8" s="1"/>
  <c r="W102" i="8"/>
  <c r="V109" i="8"/>
  <c r="V150" i="8" s="1"/>
  <c r="V156" i="8" s="1"/>
  <c r="V170" i="8" s="1"/>
  <c r="Q172" i="8"/>
  <c r="Q184" i="8" s="1"/>
  <c r="Q202" i="8" s="1"/>
  <c r="Q183" i="8"/>
  <c r="Q201" i="8" s="1"/>
  <c r="R129" i="8"/>
  <c r="M127" i="4"/>
  <c r="M129" i="4" s="1"/>
  <c r="M130" i="4" s="1"/>
  <c r="M131" i="4" s="1"/>
  <c r="M132" i="4" s="1"/>
  <c r="M134" i="4" s="1"/>
  <c r="M159" i="4" s="1"/>
  <c r="S123" i="8"/>
  <c r="S141" i="8"/>
  <c r="S144" i="8" s="1"/>
  <c r="S162" i="8" s="1"/>
  <c r="Y89" i="8"/>
  <c r="Y139" i="8"/>
  <c r="Y145" i="8" s="1"/>
  <c r="Y163" i="8" s="1"/>
  <c r="Y87" i="8"/>
  <c r="Y88" i="8" s="1"/>
  <c r="N125" i="4"/>
  <c r="N124" i="4"/>
  <c r="AA75" i="8"/>
  <c r="AA76" i="8" s="1"/>
  <c r="AA77" i="8" s="1"/>
  <c r="U113" i="8"/>
  <c r="U114" i="8" s="1"/>
  <c r="U115" i="8" s="1"/>
  <c r="S121" i="8"/>
  <c r="S122" i="8" s="1"/>
  <c r="X96" i="8"/>
  <c r="X97" i="8" s="1"/>
  <c r="X98" i="8" s="1"/>
  <c r="V106" i="8"/>
  <c r="V140" i="8"/>
  <c r="V146" i="8" s="1"/>
  <c r="V164" i="8" s="1"/>
  <c r="O116" i="4"/>
  <c r="N120" i="4" s="1"/>
  <c r="R102" i="4"/>
  <c r="Q109" i="4"/>
  <c r="Q150" i="4" s="1"/>
  <c r="Q156" i="4" s="1"/>
  <c r="Q170" i="4" s="1"/>
  <c r="V78" i="4"/>
  <c r="V79" i="4" s="1"/>
  <c r="V81" i="4" s="1"/>
  <c r="V76" i="4"/>
  <c r="V77" i="4" s="1"/>
  <c r="U85" i="4"/>
  <c r="T92" i="4"/>
  <c r="P112" i="4"/>
  <c r="S96" i="4"/>
  <c r="S97" i="4" s="1"/>
  <c r="S98" i="4" s="1"/>
  <c r="V110" i="8" l="1"/>
  <c r="Z85" i="8"/>
  <c r="Y92" i="8"/>
  <c r="Y149" i="8" s="1"/>
  <c r="Y155" i="8" s="1"/>
  <c r="Y169" i="8" s="1"/>
  <c r="T119" i="8"/>
  <c r="S126" i="8"/>
  <c r="S151" i="8" s="1"/>
  <c r="S154" i="8" s="1"/>
  <c r="S168" i="8" s="1"/>
  <c r="U116" i="8"/>
  <c r="T120" i="8" s="1"/>
  <c r="AA165" i="8"/>
  <c r="AB74" i="8"/>
  <c r="R130" i="8"/>
  <c r="R131" i="8" s="1"/>
  <c r="R132" i="8" s="1"/>
  <c r="R134" i="8" s="1"/>
  <c r="R159" i="8" s="1"/>
  <c r="V112" i="8"/>
  <c r="AA78" i="8"/>
  <c r="AA79" i="8" s="1"/>
  <c r="AA81" i="8" s="1"/>
  <c r="X99" i="8"/>
  <c r="W103" i="8" s="1"/>
  <c r="W104" i="8" s="1"/>
  <c r="W105" i="8" s="1"/>
  <c r="W108" i="8"/>
  <c r="W107" i="8"/>
  <c r="M183" i="4"/>
  <c r="M201" i="4" s="1"/>
  <c r="M172" i="4"/>
  <c r="M184" i="4" s="1"/>
  <c r="M202" i="4" s="1"/>
  <c r="V165" i="4"/>
  <c r="W74" i="4"/>
  <c r="S99" i="4"/>
  <c r="R103" i="4" s="1"/>
  <c r="R104" i="4" s="1"/>
  <c r="R105" i="4" s="1"/>
  <c r="U90" i="4"/>
  <c r="U91" i="4"/>
  <c r="T149" i="4"/>
  <c r="T155" i="4" s="1"/>
  <c r="T169" i="4" s="1"/>
  <c r="T93" i="4"/>
  <c r="V82" i="4"/>
  <c r="U86" i="4" s="1"/>
  <c r="U87" i="4" s="1"/>
  <c r="U88" i="4" s="1"/>
  <c r="N123" i="4"/>
  <c r="N141" i="4"/>
  <c r="N144" i="4" s="1"/>
  <c r="N162" i="4" s="1"/>
  <c r="N121" i="4"/>
  <c r="N122" i="4" s="1"/>
  <c r="R108" i="4"/>
  <c r="R107" i="4"/>
  <c r="P113" i="4"/>
  <c r="P114" i="4" s="1"/>
  <c r="P115" i="4" s="1"/>
  <c r="Q110" i="4"/>
  <c r="Y93" i="8" l="1"/>
  <c r="R172" i="8"/>
  <c r="R184" i="8" s="1"/>
  <c r="R202" i="8" s="1"/>
  <c r="R183" i="8"/>
  <c r="R201" i="8" s="1"/>
  <c r="X102" i="8"/>
  <c r="W109" i="8"/>
  <c r="W150" i="8" s="1"/>
  <c r="W156" i="8" s="1"/>
  <c r="W170" i="8" s="1"/>
  <c r="AB75" i="8"/>
  <c r="AB76" i="8" s="1"/>
  <c r="AB77" i="8" s="1"/>
  <c r="T121" i="8"/>
  <c r="T122" i="8" s="1"/>
  <c r="U119" i="8" s="1"/>
  <c r="T125" i="8"/>
  <c r="T124" i="8"/>
  <c r="Y95" i="8"/>
  <c r="S127" i="8"/>
  <c r="V113" i="8"/>
  <c r="V114" i="8" s="1"/>
  <c r="V115" i="8" s="1"/>
  <c r="T123" i="8"/>
  <c r="T141" i="8"/>
  <c r="T144" i="8" s="1"/>
  <c r="T162" i="8" s="1"/>
  <c r="W106" i="8"/>
  <c r="W140" i="8"/>
  <c r="W146" i="8" s="1"/>
  <c r="W164" i="8" s="1"/>
  <c r="AA82" i="8"/>
  <c r="Z86" i="8" s="1"/>
  <c r="Z87" i="8" s="1"/>
  <c r="Z90" i="8"/>
  <c r="Z91" i="8"/>
  <c r="P116" i="4"/>
  <c r="O120" i="4" s="1"/>
  <c r="V85" i="4"/>
  <c r="U92" i="4"/>
  <c r="U149" i="4" s="1"/>
  <c r="U155" i="4" s="1"/>
  <c r="U169" i="4" s="1"/>
  <c r="S102" i="4"/>
  <c r="R109" i="4"/>
  <c r="R150" i="4" s="1"/>
  <c r="R156" i="4" s="1"/>
  <c r="R170" i="4" s="1"/>
  <c r="O119" i="4"/>
  <c r="N126" i="4"/>
  <c r="N151" i="4" s="1"/>
  <c r="N154" i="4" s="1"/>
  <c r="N168" i="4" s="1"/>
  <c r="R106" i="4"/>
  <c r="R140" i="4"/>
  <c r="R146" i="4" s="1"/>
  <c r="R164" i="4" s="1"/>
  <c r="Q112" i="4"/>
  <c r="W75" i="4"/>
  <c r="U89" i="4"/>
  <c r="U139" i="4"/>
  <c r="U145" i="4" s="1"/>
  <c r="U163" i="4" s="1"/>
  <c r="T95" i="4"/>
  <c r="W110" i="8" l="1"/>
  <c r="T126" i="8"/>
  <c r="T151" i="8" s="1"/>
  <c r="T154" i="8" s="1"/>
  <c r="T168" i="8" s="1"/>
  <c r="AB165" i="8"/>
  <c r="AC74" i="8"/>
  <c r="W112" i="8"/>
  <c r="V116" i="8"/>
  <c r="U120" i="8" s="1"/>
  <c r="U121" i="8" s="1"/>
  <c r="U93" i="4"/>
  <c r="U95" i="4" s="1"/>
  <c r="Z88" i="8"/>
  <c r="U124" i="8"/>
  <c r="U125" i="8"/>
  <c r="AB78" i="8"/>
  <c r="AB79" i="8" s="1"/>
  <c r="AB81" i="8" s="1"/>
  <c r="S129" i="8"/>
  <c r="X107" i="8"/>
  <c r="X108" i="8"/>
  <c r="Z89" i="8"/>
  <c r="Z139" i="8"/>
  <c r="Z145" i="8" s="1"/>
  <c r="Z163" i="8" s="1"/>
  <c r="R110" i="4"/>
  <c r="R112" i="4" s="1"/>
  <c r="Y96" i="8"/>
  <c r="Y97" i="8" s="1"/>
  <c r="Y98" i="8" s="1"/>
  <c r="T96" i="4"/>
  <c r="T97" i="4" s="1"/>
  <c r="T98" i="4" s="1"/>
  <c r="O125" i="4"/>
  <c r="O121" i="4"/>
  <c r="O122" i="4" s="1"/>
  <c r="O124" i="4"/>
  <c r="S108" i="4"/>
  <c r="S107" i="4"/>
  <c r="W78" i="4"/>
  <c r="W79" i="4" s="1"/>
  <c r="W81" i="4" s="1"/>
  <c r="W76" i="4"/>
  <c r="W77" i="4" s="1"/>
  <c r="V90" i="4"/>
  <c r="V91" i="4"/>
  <c r="N127" i="4"/>
  <c r="Q113" i="4"/>
  <c r="Q114" i="4" s="1"/>
  <c r="Q115" i="4" s="1"/>
  <c r="O123" i="4"/>
  <c r="O141" i="4"/>
  <c r="O144" i="4" s="1"/>
  <c r="O162" i="4" s="1"/>
  <c r="T127" i="8" l="1"/>
  <c r="T129" i="8" s="1"/>
  <c r="Y99" i="8"/>
  <c r="X103" i="8" s="1"/>
  <c r="AA85" i="8"/>
  <c r="Z92" i="8"/>
  <c r="T130" i="8"/>
  <c r="T131" i="8" s="1"/>
  <c r="AB82" i="8"/>
  <c r="W113" i="8"/>
  <c r="W114" i="8" s="1"/>
  <c r="W115" i="8" s="1"/>
  <c r="AC75" i="8"/>
  <c r="AC76" i="8" s="1"/>
  <c r="U123" i="8"/>
  <c r="U141" i="8"/>
  <c r="U144" i="8" s="1"/>
  <c r="U162" i="8" s="1"/>
  <c r="S130" i="8"/>
  <c r="S131" i="8" s="1"/>
  <c r="T132" i="8" s="1"/>
  <c r="T134" i="8" s="1"/>
  <c r="T159" i="8" s="1"/>
  <c r="U122" i="8"/>
  <c r="Q116" i="4"/>
  <c r="P120" i="4" s="1"/>
  <c r="P119" i="4"/>
  <c r="O126" i="4"/>
  <c r="O151" i="4" s="1"/>
  <c r="O154" i="4" s="1"/>
  <c r="O168" i="4" s="1"/>
  <c r="W82" i="4"/>
  <c r="V86" i="4" s="1"/>
  <c r="W165" i="4"/>
  <c r="X74" i="4"/>
  <c r="T99" i="4"/>
  <c r="S103" i="4" s="1"/>
  <c r="R113" i="4"/>
  <c r="R114" i="4" s="1"/>
  <c r="R115" i="4" s="1"/>
  <c r="U96" i="4"/>
  <c r="U97" i="4" s="1"/>
  <c r="U98" i="4" s="1"/>
  <c r="N129" i="4"/>
  <c r="O127" i="4" l="1"/>
  <c r="AA86" i="8"/>
  <c r="AA87" i="8" s="1"/>
  <c r="S132" i="8"/>
  <c r="S134" i="8" s="1"/>
  <c r="S159" i="8" s="1"/>
  <c r="S172" i="8" s="1"/>
  <c r="S184" i="8" s="1"/>
  <c r="S202" i="8" s="1"/>
  <c r="T183" i="8"/>
  <c r="T201" i="8" s="1"/>
  <c r="T172" i="8"/>
  <c r="T184" i="8" s="1"/>
  <c r="T202" i="8" s="1"/>
  <c r="AC78" i="8"/>
  <c r="AC79" i="8" s="1"/>
  <c r="AC81" i="8" s="1"/>
  <c r="W116" i="8"/>
  <c r="V120" i="8" s="1"/>
  <c r="V119" i="8"/>
  <c r="U126" i="8"/>
  <c r="S183" i="8"/>
  <c r="S201" i="8" s="1"/>
  <c r="AA90" i="8"/>
  <c r="AA91" i="8"/>
  <c r="Z149" i="8"/>
  <c r="Z155" i="8" s="1"/>
  <c r="Z169" i="8" s="1"/>
  <c r="Z93" i="8"/>
  <c r="AC77" i="8"/>
  <c r="X106" i="8"/>
  <c r="X140" i="8"/>
  <c r="X146" i="8" s="1"/>
  <c r="X164" i="8" s="1"/>
  <c r="X104" i="8"/>
  <c r="X105" i="8"/>
  <c r="U99" i="4"/>
  <c r="T103" i="4" s="1"/>
  <c r="R116" i="4"/>
  <c r="Q120" i="4" s="1"/>
  <c r="S106" i="4"/>
  <c r="S140" i="4"/>
  <c r="S146" i="4" s="1"/>
  <c r="S164" i="4" s="1"/>
  <c r="S104" i="4"/>
  <c r="S105" i="4" s="1"/>
  <c r="X75" i="4"/>
  <c r="O129" i="4"/>
  <c r="V89" i="4"/>
  <c r="V139" i="4"/>
  <c r="V145" i="4" s="1"/>
  <c r="V163" i="4" s="1"/>
  <c r="V87" i="4"/>
  <c r="V88" i="4" s="1"/>
  <c r="N130" i="4"/>
  <c r="N131" i="4" s="1"/>
  <c r="N132" i="4" s="1"/>
  <c r="N134" i="4" s="1"/>
  <c r="N159" i="4" s="1"/>
  <c r="P121" i="4"/>
  <c r="P122" i="4" s="1"/>
  <c r="Q119" i="4" s="1"/>
  <c r="P125" i="4"/>
  <c r="P124" i="4"/>
  <c r="P123" i="4"/>
  <c r="P141" i="4"/>
  <c r="P144" i="4" s="1"/>
  <c r="P162" i="4" s="1"/>
  <c r="AA139" i="8" l="1"/>
  <c r="AA145" i="8" s="1"/>
  <c r="AA163" i="8" s="1"/>
  <c r="AA89" i="8"/>
  <c r="AA88" i="8"/>
  <c r="AB85" i="8" s="1"/>
  <c r="U151" i="8"/>
  <c r="U154" i="8" s="1"/>
  <c r="U168" i="8" s="1"/>
  <c r="U127" i="8"/>
  <c r="V123" i="8"/>
  <c r="V141" i="8"/>
  <c r="V144" i="8" s="1"/>
  <c r="V162" i="8" s="1"/>
  <c r="V121" i="8"/>
  <c r="V122" i="8" s="1"/>
  <c r="W119" i="8" s="1"/>
  <c r="V125" i="8"/>
  <c r="V124" i="8"/>
  <c r="AC165" i="8"/>
  <c r="AD74" i="8"/>
  <c r="AC82" i="8"/>
  <c r="AB86" i="8" s="1"/>
  <c r="Z95" i="8"/>
  <c r="AB91" i="8"/>
  <c r="AB90" i="8"/>
  <c r="Y102" i="8"/>
  <c r="X109" i="8"/>
  <c r="X150" i="8" s="1"/>
  <c r="X156" i="8" s="1"/>
  <c r="X170" i="8" s="1"/>
  <c r="N183" i="4"/>
  <c r="N201" i="4" s="1"/>
  <c r="N172" i="4"/>
  <c r="N184" i="4" s="1"/>
  <c r="N202" i="4" s="1"/>
  <c r="P126" i="4"/>
  <c r="X78" i="4"/>
  <c r="X79" i="4" s="1"/>
  <c r="X81" i="4" s="1"/>
  <c r="Q123" i="4"/>
  <c r="Q141" i="4"/>
  <c r="Q144" i="4" s="1"/>
  <c r="Q162" i="4" s="1"/>
  <c r="T102" i="4"/>
  <c r="S109" i="4"/>
  <c r="S150" i="4" s="1"/>
  <c r="S156" i="4" s="1"/>
  <c r="S170" i="4" s="1"/>
  <c r="O130" i="4"/>
  <c r="O131" i="4" s="1"/>
  <c r="O132" i="4" s="1"/>
  <c r="O134" i="4" s="1"/>
  <c r="O159" i="4" s="1"/>
  <c r="T106" i="4"/>
  <c r="T140" i="4"/>
  <c r="T146" i="4" s="1"/>
  <c r="T164" i="4" s="1"/>
  <c r="Q125" i="4"/>
  <c r="Q121" i="4"/>
  <c r="Q122" i="4" s="1"/>
  <c r="Q124" i="4"/>
  <c r="W85" i="4"/>
  <c r="V92" i="4"/>
  <c r="X76" i="4"/>
  <c r="X77" i="4" s="1"/>
  <c r="AA92" i="8" l="1"/>
  <c r="AA149" i="8" s="1"/>
  <c r="AA155" i="8" s="1"/>
  <c r="AA169" i="8" s="1"/>
  <c r="V126" i="8"/>
  <c r="V151" i="8" s="1"/>
  <c r="V154" i="8" s="1"/>
  <c r="V168" i="8" s="1"/>
  <c r="Z96" i="8"/>
  <c r="Z97" i="8" s="1"/>
  <c r="Z98" i="8" s="1"/>
  <c r="AB89" i="8"/>
  <c r="AB139" i="8"/>
  <c r="AB145" i="8" s="1"/>
  <c r="AB163" i="8" s="1"/>
  <c r="W124" i="8"/>
  <c r="W125" i="8"/>
  <c r="U129" i="8"/>
  <c r="Y108" i="8"/>
  <c r="Y107" i="8"/>
  <c r="AD75" i="8"/>
  <c r="AD76" i="8" s="1"/>
  <c r="AA93" i="8"/>
  <c r="AB87" i="8"/>
  <c r="AB88" i="8" s="1"/>
  <c r="X110" i="8"/>
  <c r="O183" i="4"/>
  <c r="O201" i="4" s="1"/>
  <c r="O172" i="4"/>
  <c r="O184" i="4" s="1"/>
  <c r="O202" i="4" s="1"/>
  <c r="X82" i="4"/>
  <c r="W86" i="4" s="1"/>
  <c r="W87" i="4" s="1"/>
  <c r="W88" i="4" s="1"/>
  <c r="R119" i="4"/>
  <c r="Q126" i="4"/>
  <c r="Q151" i="4" s="1"/>
  <c r="Q154" i="4" s="1"/>
  <c r="Q168" i="4" s="1"/>
  <c r="W91" i="4"/>
  <c r="W90" i="4"/>
  <c r="X165" i="4"/>
  <c r="Y74" i="4"/>
  <c r="V149" i="4"/>
  <c r="V155" i="4" s="1"/>
  <c r="V169" i="4" s="1"/>
  <c r="V93" i="4"/>
  <c r="T108" i="4"/>
  <c r="T107" i="4"/>
  <c r="T104" i="4"/>
  <c r="T105" i="4" s="1"/>
  <c r="P151" i="4"/>
  <c r="P154" i="4" s="1"/>
  <c r="P168" i="4" s="1"/>
  <c r="P127" i="4"/>
  <c r="S110" i="4"/>
  <c r="AD77" i="8" l="1"/>
  <c r="V127" i="8"/>
  <c r="V129" i="8" s="1"/>
  <c r="U130" i="8"/>
  <c r="U131" i="8" s="1"/>
  <c r="X112" i="8"/>
  <c r="AC85" i="8"/>
  <c r="AB92" i="8"/>
  <c r="AB149" i="8" s="1"/>
  <c r="AB155" i="8" s="1"/>
  <c r="AB169" i="8" s="1"/>
  <c r="AD165" i="8"/>
  <c r="AE74" i="8"/>
  <c r="AA95" i="8"/>
  <c r="V130" i="8"/>
  <c r="V131" i="8" s="1"/>
  <c r="AD78" i="8"/>
  <c r="AD79" i="8" s="1"/>
  <c r="AD81" i="8" s="1"/>
  <c r="Z99" i="8"/>
  <c r="Y103" i="8" s="1"/>
  <c r="X85" i="4"/>
  <c r="W92" i="4"/>
  <c r="W149" i="4" s="1"/>
  <c r="W155" i="4" s="1"/>
  <c r="W169" i="4" s="1"/>
  <c r="U102" i="4"/>
  <c r="T109" i="4"/>
  <c r="T150" i="4" s="1"/>
  <c r="T156" i="4" s="1"/>
  <c r="T170" i="4" s="1"/>
  <c r="P129" i="4"/>
  <c r="W89" i="4"/>
  <c r="W93" i="4" s="1"/>
  <c r="W139" i="4"/>
  <c r="W145" i="4" s="1"/>
  <c r="W163" i="4" s="1"/>
  <c r="Y75" i="4"/>
  <c r="R125" i="4"/>
  <c r="R124" i="4"/>
  <c r="V95" i="4"/>
  <c r="Q127" i="4"/>
  <c r="S112" i="4"/>
  <c r="V132" i="8" l="1"/>
  <c r="V134" i="8" s="1"/>
  <c r="V159" i="8" s="1"/>
  <c r="V172" i="8" s="1"/>
  <c r="V184" i="8" s="1"/>
  <c r="V202" i="8" s="1"/>
  <c r="AC91" i="8"/>
  <c r="AC90" i="8"/>
  <c r="Y106" i="8"/>
  <c r="Y140" i="8"/>
  <c r="Y146" i="8" s="1"/>
  <c r="Y164" i="8" s="1"/>
  <c r="Y104" i="8"/>
  <c r="Y105" i="8"/>
  <c r="AA96" i="8"/>
  <c r="AA97" i="8" s="1"/>
  <c r="AA98" i="8" s="1"/>
  <c r="X113" i="8"/>
  <c r="X114" i="8" s="1"/>
  <c r="X115" i="8" s="1"/>
  <c r="U132" i="8"/>
  <c r="U134" i="8" s="1"/>
  <c r="U159" i="8" s="1"/>
  <c r="AE75" i="8"/>
  <c r="AE76" i="8" s="1"/>
  <c r="AD82" i="8"/>
  <c r="AC86" i="8" s="1"/>
  <c r="AB93" i="8"/>
  <c r="V96" i="4"/>
  <c r="V97" i="4" s="1"/>
  <c r="V98" i="4" s="1"/>
  <c r="Q129" i="4"/>
  <c r="U107" i="4"/>
  <c r="U108" i="4"/>
  <c r="S113" i="4"/>
  <c r="S114" i="4" s="1"/>
  <c r="S115" i="4"/>
  <c r="W95" i="4"/>
  <c r="P130" i="4"/>
  <c r="P131" i="4" s="1"/>
  <c r="P132" i="4" s="1"/>
  <c r="P134" i="4" s="1"/>
  <c r="P159" i="4" s="1"/>
  <c r="T110" i="4"/>
  <c r="Y78" i="4"/>
  <c r="Y79" i="4" s="1"/>
  <c r="Y81" i="4" s="1"/>
  <c r="Y76" i="4"/>
  <c r="Y77" i="4" s="1"/>
  <c r="X91" i="4"/>
  <c r="X90" i="4"/>
  <c r="V183" i="8" l="1"/>
  <c r="V201" i="8" s="1"/>
  <c r="X116" i="8"/>
  <c r="W120" i="8" s="1"/>
  <c r="AA99" i="8"/>
  <c r="Z102" i="8"/>
  <c r="Y109" i="8"/>
  <c r="Y150" i="8" s="1"/>
  <c r="Y156" i="8" s="1"/>
  <c r="Y170" i="8" s="1"/>
  <c r="AC89" i="8"/>
  <c r="AC139" i="8"/>
  <c r="AC145" i="8" s="1"/>
  <c r="AC163" i="8" s="1"/>
  <c r="AB95" i="8"/>
  <c r="AE78" i="8"/>
  <c r="AE79" i="8"/>
  <c r="AE81" i="8" s="1"/>
  <c r="AE77" i="8"/>
  <c r="AC87" i="8"/>
  <c r="AC88" i="8" s="1"/>
  <c r="U183" i="8"/>
  <c r="U201" i="8" s="1"/>
  <c r="U172" i="8"/>
  <c r="U184" i="8" s="1"/>
  <c r="U202" i="8" s="1"/>
  <c r="P172" i="4"/>
  <c r="P184" i="4" s="1"/>
  <c r="P202" i="4" s="1"/>
  <c r="P183" i="4"/>
  <c r="P201" i="4" s="1"/>
  <c r="Y165" i="4"/>
  <c r="Z74" i="4"/>
  <c r="V99" i="4"/>
  <c r="U103" i="4" s="1"/>
  <c r="S116" i="4"/>
  <c r="R120" i="4" s="1"/>
  <c r="Q130" i="4"/>
  <c r="Q131" i="4" s="1"/>
  <c r="Q132" i="4" s="1"/>
  <c r="Q134" i="4" s="1"/>
  <c r="Q159" i="4" s="1"/>
  <c r="Y82" i="4"/>
  <c r="X86" i="4" s="1"/>
  <c r="T112" i="4"/>
  <c r="W96" i="4"/>
  <c r="W97" i="4" s="1"/>
  <c r="W98" i="4" s="1"/>
  <c r="Z108" i="8" l="1"/>
  <c r="Z107" i="8"/>
  <c r="Y110" i="8"/>
  <c r="AE82" i="8"/>
  <c r="Z103" i="8"/>
  <c r="AD85" i="8"/>
  <c r="AC92" i="8"/>
  <c r="AC149" i="8" s="1"/>
  <c r="AC155" i="8" s="1"/>
  <c r="AC169" i="8" s="1"/>
  <c r="AB96" i="8"/>
  <c r="AB97" i="8" s="1"/>
  <c r="AB98" i="8" s="1"/>
  <c r="W123" i="8"/>
  <c r="W141" i="8"/>
  <c r="W144" i="8" s="1"/>
  <c r="W162" i="8" s="1"/>
  <c r="W121" i="8"/>
  <c r="W122" i="8" s="1"/>
  <c r="AE165" i="8"/>
  <c r="AF74" i="8"/>
  <c r="W99" i="4"/>
  <c r="V103" i="4" s="1"/>
  <c r="Q183" i="4"/>
  <c r="Q201" i="4" s="1"/>
  <c r="Q172" i="4"/>
  <c r="Q184" i="4" s="1"/>
  <c r="Q202" i="4" s="1"/>
  <c r="X89" i="4"/>
  <c r="X139" i="4"/>
  <c r="X145" i="4" s="1"/>
  <c r="X163" i="4" s="1"/>
  <c r="X87" i="4"/>
  <c r="X88" i="4" s="1"/>
  <c r="R123" i="4"/>
  <c r="R141" i="4"/>
  <c r="R144" i="4" s="1"/>
  <c r="R162" i="4" s="1"/>
  <c r="R121" i="4"/>
  <c r="R122" i="4" s="1"/>
  <c r="U106" i="4"/>
  <c r="U140" i="4"/>
  <c r="U146" i="4" s="1"/>
  <c r="U164" i="4" s="1"/>
  <c r="U104" i="4"/>
  <c r="U105" i="4" s="1"/>
  <c r="Z75" i="4"/>
  <c r="T113" i="4"/>
  <c r="T114" i="4" s="1"/>
  <c r="T115" i="4" s="1"/>
  <c r="AD91" i="8" l="1"/>
  <c r="AD90" i="8"/>
  <c r="Y112" i="8"/>
  <c r="Z106" i="8"/>
  <c r="Z140" i="8"/>
  <c r="Z146" i="8" s="1"/>
  <c r="Z164" i="8" s="1"/>
  <c r="AD86" i="8"/>
  <c r="AD87" i="8" s="1"/>
  <c r="AF75" i="8"/>
  <c r="X119" i="8"/>
  <c r="W126" i="8"/>
  <c r="Z104" i="8"/>
  <c r="Z105" i="8" s="1"/>
  <c r="AB99" i="8"/>
  <c r="AC93" i="8"/>
  <c r="S119" i="4"/>
  <c r="R126" i="4"/>
  <c r="R151" i="4" s="1"/>
  <c r="R154" i="4" s="1"/>
  <c r="R168" i="4" s="1"/>
  <c r="T116" i="4"/>
  <c r="S120" i="4" s="1"/>
  <c r="V102" i="4"/>
  <c r="U109" i="4"/>
  <c r="U150" i="4" s="1"/>
  <c r="U156" i="4" s="1"/>
  <c r="U170" i="4" s="1"/>
  <c r="Y85" i="4"/>
  <c r="X92" i="4"/>
  <c r="X149" i="4" s="1"/>
  <c r="X155" i="4" s="1"/>
  <c r="X169" i="4" s="1"/>
  <c r="Z78" i="4"/>
  <c r="Z79" i="4" s="1"/>
  <c r="Z81" i="4" s="1"/>
  <c r="Z76" i="4"/>
  <c r="Z77" i="4" s="1"/>
  <c r="V106" i="4"/>
  <c r="V140" i="4"/>
  <c r="V146" i="4" s="1"/>
  <c r="V164" i="4" s="1"/>
  <c r="Y113" i="8" l="1"/>
  <c r="Y114" i="8" s="1"/>
  <c r="Y115" i="8" s="1"/>
  <c r="AA102" i="8"/>
  <c r="Z109" i="8"/>
  <c r="X124" i="8"/>
  <c r="X125" i="8"/>
  <c r="AD89" i="8"/>
  <c r="AD139" i="8"/>
  <c r="AD145" i="8" s="1"/>
  <c r="AD163" i="8" s="1"/>
  <c r="AC95" i="8"/>
  <c r="W151" i="8"/>
  <c r="W154" i="8" s="1"/>
  <c r="W168" i="8" s="1"/>
  <c r="W127" i="8"/>
  <c r="AD88" i="8"/>
  <c r="AF78" i="8"/>
  <c r="AF79" i="8" s="1"/>
  <c r="AF81" i="8" s="1"/>
  <c r="AF76" i="8"/>
  <c r="AF77" i="8" s="1"/>
  <c r="Z165" i="4"/>
  <c r="AA74" i="4"/>
  <c r="Z82" i="4"/>
  <c r="Y86" i="4" s="1"/>
  <c r="Y91" i="4"/>
  <c r="Y87" i="4"/>
  <c r="Y88" i="4" s="1"/>
  <c r="Y90" i="4"/>
  <c r="V104" i="4"/>
  <c r="V105" i="4" s="1"/>
  <c r="W102" i="4" s="1"/>
  <c r="V108" i="4"/>
  <c r="V107" i="4"/>
  <c r="S123" i="4"/>
  <c r="S141" i="4"/>
  <c r="S144" i="4" s="1"/>
  <c r="S162" i="4" s="1"/>
  <c r="S124" i="4"/>
  <c r="S121" i="4"/>
  <c r="S122" i="4" s="1"/>
  <c r="T119" i="4" s="1"/>
  <c r="S125" i="4"/>
  <c r="X93" i="4"/>
  <c r="R127" i="4"/>
  <c r="U110" i="4"/>
  <c r="AF82" i="8" l="1"/>
  <c r="Z85" i="4"/>
  <c r="Z91" i="4" s="1"/>
  <c r="Y92" i="4"/>
  <c r="Y149" i="4" s="1"/>
  <c r="Y155" i="4" s="1"/>
  <c r="Y169" i="4" s="1"/>
  <c r="AF165" i="8"/>
  <c r="AG74" i="8"/>
  <c r="Y116" i="8"/>
  <c r="X120" i="8" s="1"/>
  <c r="W129" i="8"/>
  <c r="Z150" i="8"/>
  <c r="Z156" i="8" s="1"/>
  <c r="Z170" i="8" s="1"/>
  <c r="Z110" i="8"/>
  <c r="AA108" i="8"/>
  <c r="AA107" i="8"/>
  <c r="AA103" i="8"/>
  <c r="AC96" i="8"/>
  <c r="AC97" i="8" s="1"/>
  <c r="AC98" i="8" s="1"/>
  <c r="AE85" i="8"/>
  <c r="AD92" i="8"/>
  <c r="R129" i="4"/>
  <c r="S126" i="4"/>
  <c r="S151" i="4" s="1"/>
  <c r="S154" i="4" s="1"/>
  <c r="S168" i="4" s="1"/>
  <c r="Y89" i="4"/>
  <c r="Y139" i="4"/>
  <c r="Y145" i="4" s="1"/>
  <c r="Y163" i="4" s="1"/>
  <c r="X95" i="4"/>
  <c r="T125" i="4"/>
  <c r="T124" i="4"/>
  <c r="W107" i="4"/>
  <c r="W108" i="4"/>
  <c r="V109" i="4"/>
  <c r="V150" i="4" s="1"/>
  <c r="V156" i="4" s="1"/>
  <c r="V170" i="4" s="1"/>
  <c r="AA75" i="4"/>
  <c r="AA76" i="4" s="1"/>
  <c r="U112" i="4"/>
  <c r="Z90" i="4" l="1"/>
  <c r="AC99" i="8"/>
  <c r="Z112" i="8"/>
  <c r="AD149" i="8"/>
  <c r="AD155" i="8" s="1"/>
  <c r="AD169" i="8" s="1"/>
  <c r="AD93" i="8"/>
  <c r="W130" i="8"/>
  <c r="W131" i="8" s="1"/>
  <c r="W132" i="8" s="1"/>
  <c r="W134" i="8" s="1"/>
  <c r="W159" i="8" s="1"/>
  <c r="AA106" i="8"/>
  <c r="AA140" i="8"/>
  <c r="AA146" i="8" s="1"/>
  <c r="AA164" i="8" s="1"/>
  <c r="AE91" i="8"/>
  <c r="AE90" i="8"/>
  <c r="X123" i="8"/>
  <c r="X141" i="8"/>
  <c r="X144" i="8" s="1"/>
  <c r="X162" i="8" s="1"/>
  <c r="X121" i="8"/>
  <c r="X122" i="8" s="1"/>
  <c r="AA104" i="8"/>
  <c r="AA105" i="8" s="1"/>
  <c r="Y93" i="4"/>
  <c r="Y95" i="4" s="1"/>
  <c r="AE86" i="8"/>
  <c r="AE87" i="8" s="1"/>
  <c r="AE88" i="8" s="1"/>
  <c r="AG75" i="8"/>
  <c r="AG76" i="8" s="1"/>
  <c r="V110" i="4"/>
  <c r="V112" i="4" s="1"/>
  <c r="V113" i="4" s="1"/>
  <c r="V114" i="4" s="1"/>
  <c r="AA77" i="4"/>
  <c r="Y96" i="4"/>
  <c r="Y97" i="4" s="1"/>
  <c r="AA78" i="4"/>
  <c r="AA79" i="4" s="1"/>
  <c r="AA81" i="4" s="1"/>
  <c r="R130" i="4"/>
  <c r="R131" i="4" s="1"/>
  <c r="R132" i="4" s="1"/>
  <c r="R134" i="4" s="1"/>
  <c r="R159" i="4" s="1"/>
  <c r="X96" i="4"/>
  <c r="X97" i="4" s="1"/>
  <c r="X98" i="4" s="1"/>
  <c r="U113" i="4"/>
  <c r="U114" i="4" s="1"/>
  <c r="S127" i="4"/>
  <c r="AF85" i="8" l="1"/>
  <c r="AE92" i="8"/>
  <c r="AE149" i="8" s="1"/>
  <c r="AE155" i="8" s="1"/>
  <c r="AE169" i="8" s="1"/>
  <c r="W172" i="8"/>
  <c r="W184" i="8" s="1"/>
  <c r="W202" i="8" s="1"/>
  <c r="W183" i="8"/>
  <c r="W201" i="8" s="1"/>
  <c r="AB102" i="8"/>
  <c r="AA109" i="8"/>
  <c r="Y119" i="8"/>
  <c r="X126" i="8"/>
  <c r="AD95" i="8"/>
  <c r="AG78" i="8"/>
  <c r="AG79" i="8" s="1"/>
  <c r="AG81" i="8" s="1"/>
  <c r="V115" i="4"/>
  <c r="AG77" i="8"/>
  <c r="Z113" i="8"/>
  <c r="Z114" i="8" s="1"/>
  <c r="Z115" i="8" s="1"/>
  <c r="U115" i="4"/>
  <c r="U116" i="4" s="1"/>
  <c r="T120" i="4" s="1"/>
  <c r="AE89" i="8"/>
  <c r="AE93" i="8" s="1"/>
  <c r="AE95" i="8" s="1"/>
  <c r="AE139" i="8"/>
  <c r="AE145" i="8" s="1"/>
  <c r="AE163" i="8" s="1"/>
  <c r="AB103" i="8"/>
  <c r="Y98" i="4"/>
  <c r="R183" i="4"/>
  <c r="R201" i="4" s="1"/>
  <c r="R172" i="4"/>
  <c r="R184" i="4" s="1"/>
  <c r="R202" i="4" s="1"/>
  <c r="AA82" i="4"/>
  <c r="Z86" i="4" s="1"/>
  <c r="X99" i="4"/>
  <c r="W103" i="4" s="1"/>
  <c r="AA165" i="4"/>
  <c r="AB74" i="4"/>
  <c r="S129" i="4"/>
  <c r="Z116" i="8" l="1"/>
  <c r="Y120" i="8" s="1"/>
  <c r="AB106" i="8"/>
  <c r="AB140" i="8"/>
  <c r="AB146" i="8" s="1"/>
  <c r="AB164" i="8" s="1"/>
  <c r="AD96" i="8"/>
  <c r="AD97" i="8" s="1"/>
  <c r="AE98" i="8" s="1"/>
  <c r="Y125" i="8"/>
  <c r="Y124" i="8"/>
  <c r="Y121" i="8"/>
  <c r="Y122" i="8" s="1"/>
  <c r="AG82" i="8"/>
  <c r="AF86" i="8" s="1"/>
  <c r="AF87" i="8" s="1"/>
  <c r="AF88" i="8" s="1"/>
  <c r="X151" i="8"/>
  <c r="X154" i="8" s="1"/>
  <c r="X168" i="8" s="1"/>
  <c r="X127" i="8"/>
  <c r="AG165" i="8"/>
  <c r="AH74" i="8"/>
  <c r="AE96" i="8"/>
  <c r="AE97" i="8" s="1"/>
  <c r="AA150" i="8"/>
  <c r="AA156" i="8" s="1"/>
  <c r="AA170" i="8" s="1"/>
  <c r="AA110" i="8"/>
  <c r="AB107" i="8"/>
  <c r="AB108" i="8"/>
  <c r="AB104" i="8"/>
  <c r="AB105" i="8" s="1"/>
  <c r="AF91" i="8"/>
  <c r="AF90" i="8"/>
  <c r="W106" i="4"/>
  <c r="W140" i="4"/>
  <c r="W146" i="4" s="1"/>
  <c r="W164" i="4" s="1"/>
  <c r="W104" i="4"/>
  <c r="W105" i="4" s="1"/>
  <c r="S130" i="4"/>
  <c r="S131" i="4" s="1"/>
  <c r="S132" i="4" s="1"/>
  <c r="S134" i="4" s="1"/>
  <c r="S159" i="4" s="1"/>
  <c r="Y99" i="4"/>
  <c r="X103" i="4" s="1"/>
  <c r="Z89" i="4"/>
  <c r="Z139" i="4"/>
  <c r="Z145" i="4" s="1"/>
  <c r="Z163" i="4" s="1"/>
  <c r="Z87" i="4"/>
  <c r="Z88" i="4" s="1"/>
  <c r="V116" i="4"/>
  <c r="U120" i="4" s="1"/>
  <c r="AB75" i="4"/>
  <c r="T123" i="4"/>
  <c r="T141" i="4"/>
  <c r="T144" i="4" s="1"/>
  <c r="T162" i="4" s="1"/>
  <c r="T121" i="4"/>
  <c r="T122" i="4" s="1"/>
  <c r="AG85" i="8" l="1"/>
  <c r="AF92" i="8"/>
  <c r="AF149" i="8" s="1"/>
  <c r="AF155" i="8" s="1"/>
  <c r="AF169" i="8" s="1"/>
  <c r="Z119" i="8"/>
  <c r="Y126" i="8"/>
  <c r="Y151" i="8" s="1"/>
  <c r="Y154" i="8" s="1"/>
  <c r="Y168" i="8" s="1"/>
  <c r="AC102" i="8"/>
  <c r="AB109" i="8"/>
  <c r="AB150" i="8" s="1"/>
  <c r="AB156" i="8" s="1"/>
  <c r="AB170" i="8" s="1"/>
  <c r="AH75" i="8"/>
  <c r="AH76" i="8" s="1"/>
  <c r="AH77" i="8" s="1"/>
  <c r="AD98" i="8"/>
  <c r="AA112" i="8"/>
  <c r="X129" i="8"/>
  <c r="Y123" i="8"/>
  <c r="Y127" i="8" s="1"/>
  <c r="Y129" i="8" s="1"/>
  <c r="Y141" i="8"/>
  <c r="Y144" i="8" s="1"/>
  <c r="Y162" i="8" s="1"/>
  <c r="AG90" i="8"/>
  <c r="AG91" i="8"/>
  <c r="AF89" i="8"/>
  <c r="AF139" i="8"/>
  <c r="AF145" i="8" s="1"/>
  <c r="AF163" i="8" s="1"/>
  <c r="S172" i="4"/>
  <c r="S184" i="4" s="1"/>
  <c r="S202" i="4" s="1"/>
  <c r="S183" i="4"/>
  <c r="S201" i="4" s="1"/>
  <c r="X102" i="4"/>
  <c r="W109" i="4"/>
  <c r="W150" i="4" s="1"/>
  <c r="W156" i="4" s="1"/>
  <c r="W170" i="4" s="1"/>
  <c r="U119" i="4"/>
  <c r="T126" i="4"/>
  <c r="T151" i="4" s="1"/>
  <c r="T154" i="4" s="1"/>
  <c r="T168" i="4" s="1"/>
  <c r="X106" i="4"/>
  <c r="X140" i="4"/>
  <c r="X146" i="4" s="1"/>
  <c r="X164" i="4" s="1"/>
  <c r="U123" i="4"/>
  <c r="U141" i="4"/>
  <c r="U144" i="4" s="1"/>
  <c r="U162" i="4" s="1"/>
  <c r="AA85" i="4"/>
  <c r="Z92" i="4"/>
  <c r="Z149" i="4" s="1"/>
  <c r="Z155" i="4" s="1"/>
  <c r="Z169" i="4" s="1"/>
  <c r="AB78" i="4"/>
  <c r="AB79" i="4" s="1"/>
  <c r="AB81" i="4" s="1"/>
  <c r="AB76" i="4"/>
  <c r="AB77" i="4" s="1"/>
  <c r="W110" i="4" l="1"/>
  <c r="AF93" i="8"/>
  <c r="Y130" i="8"/>
  <c r="Y131" i="8" s="1"/>
  <c r="AH165" i="8"/>
  <c r="AI74" i="8"/>
  <c r="AD99" i="8"/>
  <c r="AH78" i="8"/>
  <c r="AH79" i="8" s="1"/>
  <c r="AH81" i="8" s="1"/>
  <c r="AB110" i="8"/>
  <c r="X130" i="8"/>
  <c r="X131" i="8" s="1"/>
  <c r="AC108" i="8"/>
  <c r="AC107" i="8"/>
  <c r="AF95" i="8"/>
  <c r="AA113" i="8"/>
  <c r="AA114" i="8" s="1"/>
  <c r="AA115" i="8" s="1"/>
  <c r="Z124" i="8"/>
  <c r="Z125" i="8"/>
  <c r="AB165" i="4"/>
  <c r="AC74" i="4"/>
  <c r="AB82" i="4"/>
  <c r="AA86" i="4" s="1"/>
  <c r="AA87" i="4" s="1"/>
  <c r="AA88" i="4" s="1"/>
  <c r="W112" i="4"/>
  <c r="U124" i="4"/>
  <c r="U125" i="4"/>
  <c r="U121" i="4"/>
  <c r="U122" i="4" s="1"/>
  <c r="V119" i="4" s="1"/>
  <c r="X107" i="4"/>
  <c r="X108" i="4"/>
  <c r="X104" i="4"/>
  <c r="X105" i="4" s="1"/>
  <c r="AA90" i="4"/>
  <c r="AA91" i="4"/>
  <c r="Z93" i="4"/>
  <c r="T127" i="4"/>
  <c r="Y132" i="8" l="1"/>
  <c r="Y134" i="8" s="1"/>
  <c r="Y159" i="8" s="1"/>
  <c r="AA116" i="8"/>
  <c r="Z120" i="8" s="1"/>
  <c r="Y183" i="8"/>
  <c r="Y201" i="8" s="1"/>
  <c r="Y172" i="8"/>
  <c r="Y184" i="8" s="1"/>
  <c r="Y202" i="8" s="1"/>
  <c r="AH82" i="8"/>
  <c r="AG86" i="8" s="1"/>
  <c r="AB85" i="4"/>
  <c r="AB91" i="4" s="1"/>
  <c r="AA92" i="4"/>
  <c r="AA149" i="4" s="1"/>
  <c r="AA155" i="4" s="1"/>
  <c r="AA169" i="4" s="1"/>
  <c r="X132" i="8"/>
  <c r="X134" i="8" s="1"/>
  <c r="X159" i="8" s="1"/>
  <c r="AF96" i="8"/>
  <c r="AF97" i="8" s="1"/>
  <c r="AF98" i="8" s="1"/>
  <c r="AC103" i="8"/>
  <c r="AE99" i="8"/>
  <c r="AB112" i="8"/>
  <c r="AI75" i="8"/>
  <c r="AI76" i="8" s="1"/>
  <c r="AI77" i="8" s="1"/>
  <c r="Y102" i="4"/>
  <c r="X109" i="4"/>
  <c r="X150" i="4" s="1"/>
  <c r="X156" i="4" s="1"/>
  <c r="X170" i="4" s="1"/>
  <c r="X110" i="4"/>
  <c r="V124" i="4"/>
  <c r="V125" i="4"/>
  <c r="U126" i="4"/>
  <c r="U151" i="4" s="1"/>
  <c r="U154" i="4" s="1"/>
  <c r="U168" i="4" s="1"/>
  <c r="AA89" i="4"/>
  <c r="AA139" i="4"/>
  <c r="AA145" i="4" s="1"/>
  <c r="AA163" i="4" s="1"/>
  <c r="T129" i="4"/>
  <c r="Z95" i="4"/>
  <c r="W113" i="4"/>
  <c r="W114" i="4" s="1"/>
  <c r="W115" i="4" s="1"/>
  <c r="AC75" i="4"/>
  <c r="U127" i="4" l="1"/>
  <c r="U129" i="4" s="1"/>
  <c r="AF99" i="8"/>
  <c r="AI165" i="8"/>
  <c r="AJ74" i="8"/>
  <c r="X172" i="8"/>
  <c r="X184" i="8" s="1"/>
  <c r="X202" i="8" s="1"/>
  <c r="X183" i="8"/>
  <c r="X201" i="8" s="1"/>
  <c r="AB90" i="4"/>
  <c r="AB113" i="8"/>
  <c r="AB114" i="8" s="1"/>
  <c r="AB115" i="8" s="1"/>
  <c r="AG89" i="8"/>
  <c r="AG139" i="8"/>
  <c r="AG145" i="8" s="1"/>
  <c r="AG163" i="8" s="1"/>
  <c r="AG87" i="8"/>
  <c r="AG88" i="8" s="1"/>
  <c r="AI78" i="8"/>
  <c r="AI79" i="8" s="1"/>
  <c r="AI81" i="8" s="1"/>
  <c r="Z123" i="8"/>
  <c r="Z141" i="8"/>
  <c r="Z144" i="8" s="1"/>
  <c r="Z162" i="8" s="1"/>
  <c r="Z121" i="8"/>
  <c r="Z122" i="8"/>
  <c r="AA93" i="4"/>
  <c r="AA95" i="4" s="1"/>
  <c r="AC106" i="8"/>
  <c r="AC140" i="8"/>
  <c r="AC146" i="8" s="1"/>
  <c r="AC164" i="8" s="1"/>
  <c r="AC104" i="8"/>
  <c r="AC105" i="8" s="1"/>
  <c r="W116" i="4"/>
  <c r="V120" i="4" s="1"/>
  <c r="Z96" i="4"/>
  <c r="Z97" i="4" s="1"/>
  <c r="Z98" i="4" s="1"/>
  <c r="T130" i="4"/>
  <c r="T131" i="4" s="1"/>
  <c r="T132" i="4" s="1"/>
  <c r="T134" i="4" s="1"/>
  <c r="T159" i="4" s="1"/>
  <c r="U130" i="4"/>
  <c r="U131" i="4" s="1"/>
  <c r="U132" i="4" s="1"/>
  <c r="U134" i="4" s="1"/>
  <c r="U159" i="4" s="1"/>
  <c r="X112" i="4"/>
  <c r="AC78" i="4"/>
  <c r="AC79" i="4" s="1"/>
  <c r="AC81" i="4" s="1"/>
  <c r="AC76" i="4"/>
  <c r="AC77" i="4" s="1"/>
  <c r="Y108" i="4"/>
  <c r="Y107" i="4"/>
  <c r="AI82" i="8" l="1"/>
  <c r="AD102" i="8"/>
  <c r="AC109" i="8"/>
  <c r="AC150" i="8" s="1"/>
  <c r="AC156" i="8" s="1"/>
  <c r="AC170" i="8" s="1"/>
  <c r="AB116" i="8"/>
  <c r="AA119" i="8"/>
  <c r="Z126" i="8"/>
  <c r="AH85" i="8"/>
  <c r="AG92" i="8"/>
  <c r="AJ75" i="8"/>
  <c r="AC165" i="4"/>
  <c r="AD74" i="4"/>
  <c r="AC82" i="4"/>
  <c r="AB86" i="4" s="1"/>
  <c r="U172" i="4"/>
  <c r="U184" i="4" s="1"/>
  <c r="U202" i="4" s="1"/>
  <c r="U183" i="4"/>
  <c r="U201" i="4" s="1"/>
  <c r="T172" i="4"/>
  <c r="T184" i="4" s="1"/>
  <c r="T202" i="4" s="1"/>
  <c r="T183" i="4"/>
  <c r="T201" i="4" s="1"/>
  <c r="Z99" i="4"/>
  <c r="Y103" i="4" s="1"/>
  <c r="V123" i="4"/>
  <c r="V141" i="4"/>
  <c r="V144" i="4" s="1"/>
  <c r="V162" i="4" s="1"/>
  <c r="V121" i="4"/>
  <c r="V122" i="4" s="1"/>
  <c r="X113" i="4"/>
  <c r="X114" i="4" s="1"/>
  <c r="X115" i="4" s="1"/>
  <c r="AA96" i="4"/>
  <c r="AA97" i="4" s="1"/>
  <c r="AA98" i="4" s="1"/>
  <c r="AC110" i="8" l="1"/>
  <c r="AA120" i="8"/>
  <c r="AH91" i="8"/>
  <c r="AH90" i="8"/>
  <c r="AG149" i="8"/>
  <c r="AG155" i="8" s="1"/>
  <c r="AG169" i="8" s="1"/>
  <c r="AG93" i="8"/>
  <c r="Z151" i="8"/>
  <c r="Z154" i="8" s="1"/>
  <c r="Z168" i="8" s="1"/>
  <c r="Z127" i="8"/>
  <c r="AD108" i="8"/>
  <c r="AD107" i="8"/>
  <c r="AD103" i="8"/>
  <c r="AD104" i="8" s="1"/>
  <c r="AD105" i="8" s="1"/>
  <c r="AA125" i="8"/>
  <c r="AA124" i="8"/>
  <c r="AA121" i="8"/>
  <c r="AA122" i="8" s="1"/>
  <c r="AC112" i="8"/>
  <c r="AA123" i="8"/>
  <c r="AA141" i="8"/>
  <c r="AA144" i="8" s="1"/>
  <c r="AA162" i="8" s="1"/>
  <c r="AJ78" i="8"/>
  <c r="AJ79" i="8" s="1"/>
  <c r="AJ81" i="8" s="1"/>
  <c r="AH86" i="8"/>
  <c r="AJ76" i="8"/>
  <c r="AJ77" i="8" s="1"/>
  <c r="AA99" i="4"/>
  <c r="Z103" i="4" s="1"/>
  <c r="X116" i="4"/>
  <c r="W120" i="4" s="1"/>
  <c r="Y106" i="4"/>
  <c r="Y140" i="4"/>
  <c r="Y146" i="4" s="1"/>
  <c r="Y164" i="4" s="1"/>
  <c r="Y104" i="4"/>
  <c r="Y105" i="4" s="1"/>
  <c r="W119" i="4"/>
  <c r="V126" i="4"/>
  <c r="AD75" i="4"/>
  <c r="AD76" i="4" s="1"/>
  <c r="AB89" i="4"/>
  <c r="AB139" i="4"/>
  <c r="AB145" i="4" s="1"/>
  <c r="AB163" i="4" s="1"/>
  <c r="AB87" i="4"/>
  <c r="AB88" i="4" s="1"/>
  <c r="AB119" i="8" l="1"/>
  <c r="AA126" i="8"/>
  <c r="AA151" i="8" s="1"/>
  <c r="AA154" i="8" s="1"/>
  <c r="AA168" i="8" s="1"/>
  <c r="AJ82" i="8"/>
  <c r="AJ165" i="8"/>
  <c r="AK74" i="8"/>
  <c r="AA127" i="8"/>
  <c r="AA129" i="8" s="1"/>
  <c r="AE102" i="8"/>
  <c r="AD109" i="8"/>
  <c r="AD150" i="8" s="1"/>
  <c r="AD156" i="8" s="1"/>
  <c r="AD170" i="8" s="1"/>
  <c r="Z129" i="8"/>
  <c r="AC113" i="8"/>
  <c r="AC114" i="8" s="1"/>
  <c r="AC115" i="8" s="1"/>
  <c r="AG95" i="8"/>
  <c r="AH89" i="8"/>
  <c r="AH139" i="8"/>
  <c r="AH145" i="8" s="1"/>
  <c r="AH163" i="8" s="1"/>
  <c r="AD106" i="8"/>
  <c r="AD140" i="8"/>
  <c r="AD146" i="8" s="1"/>
  <c r="AD164" i="8" s="1"/>
  <c r="AH87" i="8"/>
  <c r="AH88" i="8" s="1"/>
  <c r="AC85" i="4"/>
  <c r="AB92" i="4"/>
  <c r="AB149" i="4" s="1"/>
  <c r="AB155" i="4" s="1"/>
  <c r="AB169" i="4" s="1"/>
  <c r="W124" i="4"/>
  <c r="W121" i="4"/>
  <c r="W125" i="4"/>
  <c r="W122" i="4"/>
  <c r="X119" i="4" s="1"/>
  <c r="V151" i="4"/>
  <c r="V154" i="4" s="1"/>
  <c r="V168" i="4" s="1"/>
  <c r="V127" i="4"/>
  <c r="AD78" i="4"/>
  <c r="AD79" i="4" s="1"/>
  <c r="AD81" i="4" s="1"/>
  <c r="Z106" i="4"/>
  <c r="Z140" i="4"/>
  <c r="Z146" i="4" s="1"/>
  <c r="Z164" i="4" s="1"/>
  <c r="Z102" i="4"/>
  <c r="Y109" i="4"/>
  <c r="Y150" i="4" s="1"/>
  <c r="Y156" i="4" s="1"/>
  <c r="Y170" i="4" s="1"/>
  <c r="W123" i="4"/>
  <c r="W141" i="4"/>
  <c r="W144" i="4" s="1"/>
  <c r="W162" i="4" s="1"/>
  <c r="AD77" i="4"/>
  <c r="AD110" i="8" l="1"/>
  <c r="AC116" i="8"/>
  <c r="AB120" i="8" s="1"/>
  <c r="AD112" i="8"/>
  <c r="AA130" i="8"/>
  <c r="AA131" i="8" s="1"/>
  <c r="Z130" i="8"/>
  <c r="Z131" i="8" s="1"/>
  <c r="Z132" i="8" s="1"/>
  <c r="Z134" i="8" s="1"/>
  <c r="Z159" i="8" s="1"/>
  <c r="AE107" i="8"/>
  <c r="AE108" i="8"/>
  <c r="AE103" i="8"/>
  <c r="AK75" i="8"/>
  <c r="AK76" i="8" s="1"/>
  <c r="AI85" i="8"/>
  <c r="AH92" i="8"/>
  <c r="W126" i="4"/>
  <c r="W151" i="4" s="1"/>
  <c r="W154" i="4" s="1"/>
  <c r="W168" i="4" s="1"/>
  <c r="AG96" i="8"/>
  <c r="AG97" i="8" s="1"/>
  <c r="AG98" i="8" s="1"/>
  <c r="AB125" i="8"/>
  <c r="AB121" i="8"/>
  <c r="AB122" i="8" s="1"/>
  <c r="AB124" i="8"/>
  <c r="X124" i="4"/>
  <c r="X125" i="4"/>
  <c r="Z108" i="4"/>
  <c r="Z107" i="4"/>
  <c r="Z104" i="4"/>
  <c r="Z105" i="4" s="1"/>
  <c r="V129" i="4"/>
  <c r="AC90" i="4"/>
  <c r="AC91" i="4"/>
  <c r="AB93" i="4"/>
  <c r="AD82" i="4"/>
  <c r="AC86" i="4" s="1"/>
  <c r="AD165" i="4"/>
  <c r="AE74" i="4"/>
  <c r="Y110" i="4"/>
  <c r="AA132" i="8" l="1"/>
  <c r="AA134" i="8" s="1"/>
  <c r="AA159" i="8" s="1"/>
  <c r="Z183" i="8"/>
  <c r="Z201" i="8" s="1"/>
  <c r="Z172" i="8"/>
  <c r="Z184" i="8" s="1"/>
  <c r="Z202" i="8" s="1"/>
  <c r="AC119" i="8"/>
  <c r="AB126" i="8"/>
  <c r="AB151" i="8" s="1"/>
  <c r="AB154" i="8" s="1"/>
  <c r="AB168" i="8" s="1"/>
  <c r="AG99" i="8"/>
  <c r="AH149" i="8"/>
  <c r="AH155" i="8" s="1"/>
  <c r="AH169" i="8" s="1"/>
  <c r="AH93" i="8"/>
  <c r="AI91" i="8"/>
  <c r="AI90" i="8"/>
  <c r="AD113" i="8"/>
  <c r="AD114" i="8" s="1"/>
  <c r="AD115" i="8" s="1"/>
  <c r="AA183" i="8"/>
  <c r="AA201" i="8" s="1"/>
  <c r="AA172" i="8"/>
  <c r="AA184" i="8" s="1"/>
  <c r="AA202" i="8" s="1"/>
  <c r="AK78" i="8"/>
  <c r="AK79" i="8" s="1"/>
  <c r="AK81" i="8" s="1"/>
  <c r="AK77" i="8"/>
  <c r="AE106" i="8"/>
  <c r="AE140" i="8"/>
  <c r="AE146" i="8" s="1"/>
  <c r="AE164" i="8" s="1"/>
  <c r="W127" i="4"/>
  <c r="W129" i="4" s="1"/>
  <c r="W130" i="4" s="1"/>
  <c r="W131" i="4" s="1"/>
  <c r="AB123" i="8"/>
  <c r="AB141" i="8"/>
  <c r="AB144" i="8" s="1"/>
  <c r="AB162" i="8" s="1"/>
  <c r="AI86" i="8"/>
  <c r="AI87" i="8" s="1"/>
  <c r="AI88" i="8" s="1"/>
  <c r="AE104" i="8"/>
  <c r="AE105" i="8" s="1"/>
  <c r="AA102" i="4"/>
  <c r="Z109" i="4"/>
  <c r="Z150" i="4" s="1"/>
  <c r="Z156" i="4" s="1"/>
  <c r="Z170" i="4" s="1"/>
  <c r="AE75" i="4"/>
  <c r="AE76" i="4" s="1"/>
  <c r="AE77" i="4" s="1"/>
  <c r="V130" i="4"/>
  <c r="V131" i="4" s="1"/>
  <c r="V132" i="4" s="1"/>
  <c r="V134" i="4" s="1"/>
  <c r="V159" i="4" s="1"/>
  <c r="AB95" i="4"/>
  <c r="AC89" i="4"/>
  <c r="AC139" i="4"/>
  <c r="AC145" i="4" s="1"/>
  <c r="AC163" i="4" s="1"/>
  <c r="AC87" i="4"/>
  <c r="AC88" i="4" s="1"/>
  <c r="Y112" i="4"/>
  <c r="W132" i="4" l="1"/>
  <c r="W134" i="4" s="1"/>
  <c r="W159" i="4" s="1"/>
  <c r="AJ85" i="8"/>
  <c r="AI92" i="8"/>
  <c r="AI149" i="8" s="1"/>
  <c r="AI155" i="8" s="1"/>
  <c r="AI169" i="8" s="1"/>
  <c r="AF102" i="8"/>
  <c r="AF103" i="8" s="1"/>
  <c r="AE109" i="8"/>
  <c r="AE150" i="8" s="1"/>
  <c r="AE156" i="8" s="1"/>
  <c r="AE170" i="8" s="1"/>
  <c r="AK82" i="8"/>
  <c r="AJ86" i="8" s="1"/>
  <c r="AK165" i="8"/>
  <c r="AL74" i="8"/>
  <c r="AH95" i="8"/>
  <c r="AI89" i="8"/>
  <c r="AI93" i="8" s="1"/>
  <c r="AI95" i="8" s="1"/>
  <c r="AI139" i="8"/>
  <c r="AI145" i="8" s="1"/>
  <c r="AI163" i="8" s="1"/>
  <c r="AB127" i="8"/>
  <c r="Z110" i="4"/>
  <c r="Z112" i="4" s="1"/>
  <c r="AD116" i="8"/>
  <c r="AC120" i="8" s="1"/>
  <c r="AC124" i="8"/>
  <c r="AC121" i="8"/>
  <c r="AC122" i="8" s="1"/>
  <c r="AC125" i="8"/>
  <c r="V183" i="4"/>
  <c r="V201" i="4" s="1"/>
  <c r="V172" i="4"/>
  <c r="V184" i="4" s="1"/>
  <c r="V202" i="4" s="1"/>
  <c r="AD85" i="4"/>
  <c r="AC92" i="4"/>
  <c r="AC149" i="4" s="1"/>
  <c r="AC155" i="4" s="1"/>
  <c r="AC169" i="4" s="1"/>
  <c r="W183" i="4"/>
  <c r="W201" i="4" s="1"/>
  <c r="W172" i="4"/>
  <c r="W184" i="4" s="1"/>
  <c r="W202" i="4" s="1"/>
  <c r="AE165" i="4"/>
  <c r="AF74" i="4"/>
  <c r="AB96" i="4"/>
  <c r="AB97" i="4" s="1"/>
  <c r="AB98" i="4" s="1"/>
  <c r="Z113" i="4"/>
  <c r="Z114" i="4" s="1"/>
  <c r="Y113" i="4"/>
  <c r="Y114" i="4" s="1"/>
  <c r="Y115" i="4" s="1"/>
  <c r="AA108" i="4"/>
  <c r="AA107" i="4"/>
  <c r="AE78" i="4"/>
  <c r="AE79" i="4" s="1"/>
  <c r="AE81" i="4" s="1"/>
  <c r="AE110" i="8" l="1"/>
  <c r="AC93" i="4"/>
  <c r="AD119" i="8"/>
  <c r="AC126" i="8"/>
  <c r="AC151" i="8" s="1"/>
  <c r="AC154" i="8" s="1"/>
  <c r="AC168" i="8" s="1"/>
  <c r="AL75" i="8"/>
  <c r="AL76" i="8" s="1"/>
  <c r="AL77" i="8" s="1"/>
  <c r="AJ89" i="8"/>
  <c r="AJ139" i="8"/>
  <c r="AJ145" i="8" s="1"/>
  <c r="AJ163" i="8" s="1"/>
  <c r="AF106" i="8"/>
  <c r="AF140" i="8"/>
  <c r="AF146" i="8" s="1"/>
  <c r="AF164" i="8" s="1"/>
  <c r="AF107" i="8"/>
  <c r="AF104" i="8"/>
  <c r="AF105" i="8" s="1"/>
  <c r="AF108" i="8"/>
  <c r="AE112" i="8"/>
  <c r="AB129" i="8"/>
  <c r="AH96" i="8"/>
  <c r="AH97" i="8" s="1"/>
  <c r="AH98" i="8" s="1"/>
  <c r="AI96" i="8"/>
  <c r="AI97" i="8" s="1"/>
  <c r="AC123" i="8"/>
  <c r="AC127" i="8" s="1"/>
  <c r="AC129" i="8" s="1"/>
  <c r="AC141" i="8"/>
  <c r="AC144" i="8" s="1"/>
  <c r="AC162" i="8" s="1"/>
  <c r="Z115" i="4"/>
  <c r="AJ87" i="8"/>
  <c r="AJ88" i="8"/>
  <c r="AK85" i="8" s="1"/>
  <c r="AJ90" i="8"/>
  <c r="AJ91" i="8"/>
  <c r="AB99" i="4"/>
  <c r="AA103" i="4" s="1"/>
  <c r="AE82" i="4"/>
  <c r="AD86" i="4" s="1"/>
  <c r="AD87" i="4" s="1"/>
  <c r="AD88" i="4" s="1"/>
  <c r="Y116" i="4"/>
  <c r="X120" i="4" s="1"/>
  <c r="AD90" i="4"/>
  <c r="AD91" i="4"/>
  <c r="AF75" i="4"/>
  <c r="AF76" i="4" s="1"/>
  <c r="AC95" i="4"/>
  <c r="AI98" i="8" l="1"/>
  <c r="AJ92" i="8"/>
  <c r="AJ149" i="8" s="1"/>
  <c r="AJ155" i="8" s="1"/>
  <c r="AJ169" i="8" s="1"/>
  <c r="AJ93" i="8"/>
  <c r="AJ95" i="8"/>
  <c r="AH99" i="8"/>
  <c r="AG102" i="8"/>
  <c r="AF109" i="8"/>
  <c r="AF150" i="8" s="1"/>
  <c r="AF156" i="8" s="1"/>
  <c r="AF170" i="8" s="1"/>
  <c r="AL165" i="8"/>
  <c r="AM74" i="8"/>
  <c r="AI99" i="8"/>
  <c r="AB130" i="8"/>
  <c r="AB131" i="8" s="1"/>
  <c r="AC132" i="8" s="1"/>
  <c r="AC134" i="8" s="1"/>
  <c r="AC159" i="8" s="1"/>
  <c r="AE113" i="8"/>
  <c r="AE114" i="8" s="1"/>
  <c r="AE115" i="8" s="1"/>
  <c r="AK90" i="8"/>
  <c r="AK91" i="8"/>
  <c r="AC130" i="8"/>
  <c r="AC131" i="8" s="1"/>
  <c r="AL78" i="8"/>
  <c r="AL79" i="8" s="1"/>
  <c r="AL81" i="8" s="1"/>
  <c r="AD124" i="8"/>
  <c r="AD125" i="8"/>
  <c r="AE85" i="4"/>
  <c r="AD92" i="4"/>
  <c r="AD149" i="4" s="1"/>
  <c r="AD155" i="4" s="1"/>
  <c r="AD169" i="4" s="1"/>
  <c r="X123" i="4"/>
  <c r="X141" i="4"/>
  <c r="X144" i="4" s="1"/>
  <c r="X162" i="4" s="1"/>
  <c r="X121" i="4"/>
  <c r="X122" i="4" s="1"/>
  <c r="AF78" i="4"/>
  <c r="AF79" i="4" s="1"/>
  <c r="AF81" i="4" s="1"/>
  <c r="AC96" i="4"/>
  <c r="AC97" i="4" s="1"/>
  <c r="AC98" i="4"/>
  <c r="AF77" i="4"/>
  <c r="AA106" i="4"/>
  <c r="AA140" i="4"/>
  <c r="AA146" i="4" s="1"/>
  <c r="AA164" i="4" s="1"/>
  <c r="AA104" i="4"/>
  <c r="AA105" i="4" s="1"/>
  <c r="AD89" i="4"/>
  <c r="AD139" i="4"/>
  <c r="AD145" i="4" s="1"/>
  <c r="AD163" i="4" s="1"/>
  <c r="Z116" i="4"/>
  <c r="Y120" i="4" s="1"/>
  <c r="AB132" i="8" l="1"/>
  <c r="AB134" i="8" s="1"/>
  <c r="AB159" i="8" s="1"/>
  <c r="AL82" i="8"/>
  <c r="AK86" i="8" s="1"/>
  <c r="AE116" i="8"/>
  <c r="AD120" i="8" s="1"/>
  <c r="AB172" i="8"/>
  <c r="AB184" i="8" s="1"/>
  <c r="AB202" i="8" s="1"/>
  <c r="AB183" i="8"/>
  <c r="AB201" i="8" s="1"/>
  <c r="AG108" i="8"/>
  <c r="AG107" i="8"/>
  <c r="AD93" i="4"/>
  <c r="AD95" i="4" s="1"/>
  <c r="AC172" i="8"/>
  <c r="AC184" i="8" s="1"/>
  <c r="AC202" i="8" s="1"/>
  <c r="AC183" i="8"/>
  <c r="AC201" i="8" s="1"/>
  <c r="AM75" i="8"/>
  <c r="AG103" i="8"/>
  <c r="AG104" i="8" s="1"/>
  <c r="AG105" i="8" s="1"/>
  <c r="AJ96" i="8"/>
  <c r="AJ97" i="8" s="1"/>
  <c r="AJ98" i="8" s="1"/>
  <c r="AF110" i="8"/>
  <c r="AF82" i="4"/>
  <c r="AE86" i="4" s="1"/>
  <c r="AE87" i="4" s="1"/>
  <c r="AE88" i="4" s="1"/>
  <c r="Y119" i="4"/>
  <c r="X126" i="4"/>
  <c r="AC99" i="4"/>
  <c r="AB103" i="4" s="1"/>
  <c r="Y123" i="4"/>
  <c r="Y141" i="4"/>
  <c r="Y144" i="4" s="1"/>
  <c r="Y162" i="4" s="1"/>
  <c r="AF165" i="4"/>
  <c r="AG74" i="4"/>
  <c r="AB102" i="4"/>
  <c r="AA109" i="4"/>
  <c r="AA150" i="4" s="1"/>
  <c r="AA156" i="4" s="1"/>
  <c r="AA170" i="4" s="1"/>
  <c r="AE90" i="4"/>
  <c r="AE91" i="4"/>
  <c r="AH102" i="8" l="1"/>
  <c r="AG109" i="8"/>
  <c r="AG150" i="8" s="1"/>
  <c r="AG156" i="8" s="1"/>
  <c r="AG170" i="8" s="1"/>
  <c r="AJ99" i="8"/>
  <c r="AF112" i="8"/>
  <c r="AG106" i="8"/>
  <c r="AG110" i="8" s="1"/>
  <c r="AG112" i="8" s="1"/>
  <c r="AG140" i="8"/>
  <c r="AG146" i="8" s="1"/>
  <c r="AG164" i="8" s="1"/>
  <c r="AM78" i="8"/>
  <c r="AM79" i="8" s="1"/>
  <c r="AM81" i="8" s="1"/>
  <c r="AM76" i="8"/>
  <c r="AM77" i="8" s="1"/>
  <c r="AM165" i="8" s="1"/>
  <c r="AK89" i="8"/>
  <c r="AK139" i="8"/>
  <c r="AK145" i="8" s="1"/>
  <c r="AK163" i="8" s="1"/>
  <c r="AK87" i="8"/>
  <c r="AK88" i="8" s="1"/>
  <c r="AD123" i="8"/>
  <c r="AD141" i="8"/>
  <c r="AD144" i="8" s="1"/>
  <c r="AD162" i="8" s="1"/>
  <c r="AD121" i="8"/>
  <c r="AD122" i="8" s="1"/>
  <c r="AF85" i="4"/>
  <c r="AE92" i="4"/>
  <c r="AE149" i="4" s="1"/>
  <c r="AE155" i="4" s="1"/>
  <c r="AE169" i="4" s="1"/>
  <c r="X151" i="4"/>
  <c r="X154" i="4" s="1"/>
  <c r="X168" i="4" s="1"/>
  <c r="X127" i="4"/>
  <c r="AB106" i="4"/>
  <c r="AB140" i="4"/>
  <c r="AB146" i="4" s="1"/>
  <c r="AB164" i="4" s="1"/>
  <c r="AG75" i="4"/>
  <c r="AG76" i="4" s="1"/>
  <c r="AG77" i="4" s="1"/>
  <c r="AE89" i="4"/>
  <c r="AE139" i="4"/>
  <c r="AE145" i="4" s="1"/>
  <c r="AE163" i="4" s="1"/>
  <c r="AD96" i="4"/>
  <c r="AD97" i="4" s="1"/>
  <c r="AD98" i="4" s="1"/>
  <c r="Y125" i="4"/>
  <c r="Y121" i="4"/>
  <c r="Y122" i="4" s="1"/>
  <c r="Y124" i="4"/>
  <c r="AB108" i="4"/>
  <c r="AB107" i="4"/>
  <c r="AB104" i="4"/>
  <c r="AB105" i="4" s="1"/>
  <c r="AA110" i="4"/>
  <c r="AC102" i="4" l="1"/>
  <c r="AB109" i="4"/>
  <c r="AB150" i="4" s="1"/>
  <c r="AB156" i="4" s="1"/>
  <c r="AB170" i="4" s="1"/>
  <c r="AE93" i="4"/>
  <c r="AE95" i="4" s="1"/>
  <c r="AG113" i="8"/>
  <c r="AG114" i="8" s="1"/>
  <c r="AF113" i="8"/>
  <c r="AF114" i="8" s="1"/>
  <c r="AF115" i="8" s="1"/>
  <c r="AL85" i="8"/>
  <c r="AK92" i="8"/>
  <c r="AK149" i="8" s="1"/>
  <c r="AK155" i="8" s="1"/>
  <c r="AK169" i="8" s="1"/>
  <c r="AB110" i="4"/>
  <c r="AB112" i="4" s="1"/>
  <c r="AE119" i="8"/>
  <c r="AD126" i="8"/>
  <c r="AD151" i="8" s="1"/>
  <c r="AD154" i="8" s="1"/>
  <c r="AD168" i="8" s="1"/>
  <c r="AM82" i="8"/>
  <c r="AL86" i="8" s="1"/>
  <c r="AH107" i="8"/>
  <c r="AH108" i="8"/>
  <c r="AH103" i="8"/>
  <c r="Z119" i="4"/>
  <c r="Y126" i="4"/>
  <c r="Y151" i="4" s="1"/>
  <c r="Y154" i="4" s="1"/>
  <c r="Y168" i="4" s="1"/>
  <c r="AG165" i="4"/>
  <c r="AH74" i="4"/>
  <c r="AG78" i="4"/>
  <c r="AG79" i="4" s="1"/>
  <c r="AG81" i="4" s="1"/>
  <c r="X129" i="4"/>
  <c r="AD99" i="4"/>
  <c r="AC103" i="4" s="1"/>
  <c r="AC104" i="4" s="1"/>
  <c r="AC105" i="4" s="1"/>
  <c r="AD102" i="4" s="1"/>
  <c r="AA112" i="4"/>
  <c r="AC107" i="4"/>
  <c r="AC108" i="4"/>
  <c r="AF90" i="4"/>
  <c r="AF91" i="4"/>
  <c r="AD127" i="8" l="1"/>
  <c r="AF116" i="8"/>
  <c r="AE120" i="8" s="1"/>
  <c r="AH106" i="8"/>
  <c r="AH140" i="8"/>
  <c r="AH146" i="8" s="1"/>
  <c r="AH164" i="8" s="1"/>
  <c r="AG115" i="8"/>
  <c r="AL90" i="8"/>
  <c r="AL87" i="8"/>
  <c r="AL88" i="8" s="1"/>
  <c r="AM85" i="8" s="1"/>
  <c r="AL91" i="8"/>
  <c r="AH104" i="8"/>
  <c r="AH105" i="8" s="1"/>
  <c r="AD129" i="8"/>
  <c r="AL89" i="8"/>
  <c r="AL139" i="8"/>
  <c r="AL145" i="8" s="1"/>
  <c r="AL163" i="8" s="1"/>
  <c r="AM139" i="8"/>
  <c r="AM145" i="8" s="1"/>
  <c r="AM163" i="8" s="1"/>
  <c r="AE125" i="8"/>
  <c r="AE124" i="8"/>
  <c r="AE121" i="8"/>
  <c r="AE122" i="8" s="1"/>
  <c r="AF119" i="8" s="1"/>
  <c r="AK93" i="8"/>
  <c r="AC109" i="4"/>
  <c r="AC150" i="4" s="1"/>
  <c r="AC156" i="4" s="1"/>
  <c r="AC170" i="4" s="1"/>
  <c r="X130" i="4"/>
  <c r="X131" i="4" s="1"/>
  <c r="X132" i="4" s="1"/>
  <c r="X134" i="4" s="1"/>
  <c r="X159" i="4" s="1"/>
  <c r="AE96" i="4"/>
  <c r="AE97" i="4" s="1"/>
  <c r="AE98" i="4" s="1"/>
  <c r="AG82" i="4"/>
  <c r="AF86" i="4" s="1"/>
  <c r="AH75" i="4"/>
  <c r="AH76" i="4" s="1"/>
  <c r="AD108" i="4"/>
  <c r="AD107" i="4"/>
  <c r="AC106" i="4"/>
  <c r="AC140" i="4"/>
  <c r="AC146" i="4" s="1"/>
  <c r="AC164" i="4" s="1"/>
  <c r="Z125" i="4"/>
  <c r="Z124" i="4"/>
  <c r="AB113" i="4"/>
  <c r="AB114" i="4" s="1"/>
  <c r="AA113" i="4"/>
  <c r="AA114" i="4" s="1"/>
  <c r="Y127" i="4"/>
  <c r="AB115" i="4" l="1"/>
  <c r="AC110" i="4"/>
  <c r="AI102" i="8"/>
  <c r="AH109" i="8"/>
  <c r="AL92" i="8"/>
  <c r="AL149" i="8" s="1"/>
  <c r="AL155" i="8" s="1"/>
  <c r="AL169" i="8" s="1"/>
  <c r="AG116" i="8"/>
  <c r="AF120" i="8" s="1"/>
  <c r="AD130" i="8"/>
  <c r="AD131" i="8" s="1"/>
  <c r="AD132" i="8"/>
  <c r="AD134" i="8" s="1"/>
  <c r="AD159" i="8" s="1"/>
  <c r="AF124" i="8"/>
  <c r="AF121" i="8"/>
  <c r="AF125" i="8"/>
  <c r="AE126" i="8"/>
  <c r="AE151" i="8" s="1"/>
  <c r="AE154" i="8" s="1"/>
  <c r="AE168" i="8" s="1"/>
  <c r="AM90" i="8"/>
  <c r="AM87" i="8"/>
  <c r="AM88" i="8" s="1"/>
  <c r="AM92" i="8" s="1"/>
  <c r="AM91" i="8"/>
  <c r="AK95" i="8"/>
  <c r="AE123" i="8"/>
  <c r="AE141" i="8"/>
  <c r="AE144" i="8" s="1"/>
  <c r="AE162" i="8" s="1"/>
  <c r="X172" i="4"/>
  <c r="X184" i="4" s="1"/>
  <c r="X202" i="4" s="1"/>
  <c r="X183" i="4"/>
  <c r="X201" i="4" s="1"/>
  <c r="AC112" i="4"/>
  <c r="AH78" i="4"/>
  <c r="AH79" i="4" s="1"/>
  <c r="AH81" i="4" s="1"/>
  <c r="AH77" i="4"/>
  <c r="Y129" i="4"/>
  <c r="AA115" i="4"/>
  <c r="AF89" i="4"/>
  <c r="AF139" i="4"/>
  <c r="AF145" i="4" s="1"/>
  <c r="AF163" i="4" s="1"/>
  <c r="AF87" i="4"/>
  <c r="AF88" i="4" s="1"/>
  <c r="AE99" i="4"/>
  <c r="AD103" i="4" s="1"/>
  <c r="AM149" i="8" l="1"/>
  <c r="AM155" i="8" s="1"/>
  <c r="AM169" i="8" s="1"/>
  <c r="AE127" i="8"/>
  <c r="AE129" i="8"/>
  <c r="AD172" i="8"/>
  <c r="AD184" i="8" s="1"/>
  <c r="AD202" i="8" s="1"/>
  <c r="AD183" i="8"/>
  <c r="AD201" i="8" s="1"/>
  <c r="AM93" i="8"/>
  <c r="AL93" i="8"/>
  <c r="AH150" i="8"/>
  <c r="AH156" i="8" s="1"/>
  <c r="AH170" i="8" s="1"/>
  <c r="AH110" i="8"/>
  <c r="AK96" i="8"/>
  <c r="AK97" i="8" s="1"/>
  <c r="AK98" i="8" s="1"/>
  <c r="AF123" i="8"/>
  <c r="AF141" i="8"/>
  <c r="AF144" i="8" s="1"/>
  <c r="AF162" i="8" s="1"/>
  <c r="AF122" i="8"/>
  <c r="AI107" i="8"/>
  <c r="AI108" i="8"/>
  <c r="AI103" i="8"/>
  <c r="AI104" i="8" s="1"/>
  <c r="AG85" i="4"/>
  <c r="AF92" i="4"/>
  <c r="AA116" i="4"/>
  <c r="AH82" i="4"/>
  <c r="AG86" i="4" s="1"/>
  <c r="AH165" i="4"/>
  <c r="AI74" i="4"/>
  <c r="AD106" i="4"/>
  <c r="AD140" i="4"/>
  <c r="AD146" i="4" s="1"/>
  <c r="AD164" i="4" s="1"/>
  <c r="AD104" i="4"/>
  <c r="AD105" i="4" s="1"/>
  <c r="Y130" i="4"/>
  <c r="Y131" i="4" s="1"/>
  <c r="Y132" i="4" s="1"/>
  <c r="Y134" i="4" s="1"/>
  <c r="Y159" i="4" s="1"/>
  <c r="AC113" i="4"/>
  <c r="AC114" i="4" s="1"/>
  <c r="AC115" i="4" s="1"/>
  <c r="AK99" i="8" l="1"/>
  <c r="AH112" i="8"/>
  <c r="AG119" i="8"/>
  <c r="AF126" i="8"/>
  <c r="AI106" i="8"/>
  <c r="AI140" i="8"/>
  <c r="AI146" i="8" s="1"/>
  <c r="AI164" i="8" s="1"/>
  <c r="AE130" i="8"/>
  <c r="AE131" i="8" s="1"/>
  <c r="AE132" i="8" s="1"/>
  <c r="AE134" i="8" s="1"/>
  <c r="AE159" i="8" s="1"/>
  <c r="AM95" i="8"/>
  <c r="AL95" i="8"/>
  <c r="AI105" i="8"/>
  <c r="Y183" i="4"/>
  <c r="Y201" i="4" s="1"/>
  <c r="Y172" i="4"/>
  <c r="Y184" i="4" s="1"/>
  <c r="Y202" i="4" s="1"/>
  <c r="AE102" i="4"/>
  <c r="AD109" i="4"/>
  <c r="AG89" i="4"/>
  <c r="AG139" i="4"/>
  <c r="AG145" i="4" s="1"/>
  <c r="AG163" i="4" s="1"/>
  <c r="Z120" i="4"/>
  <c r="AB116" i="4"/>
  <c r="AA120" i="4" s="1"/>
  <c r="AF149" i="4"/>
  <c r="AF155" i="4" s="1"/>
  <c r="AF169" i="4" s="1"/>
  <c r="AF93" i="4"/>
  <c r="AI75" i="4"/>
  <c r="AG91" i="4"/>
  <c r="AG87" i="4"/>
  <c r="AG88" i="4" s="1"/>
  <c r="AG90" i="4"/>
  <c r="AE183" i="8" l="1"/>
  <c r="AE201" i="8" s="1"/>
  <c r="AE172" i="8"/>
  <c r="AE184" i="8" s="1"/>
  <c r="AE202" i="8" s="1"/>
  <c r="AF151" i="8"/>
  <c r="AF154" i="8" s="1"/>
  <c r="AF168" i="8" s="1"/>
  <c r="AF127" i="8"/>
  <c r="AJ102" i="8"/>
  <c r="AI109" i="8"/>
  <c r="AH113" i="8"/>
  <c r="AH114" i="8" s="1"/>
  <c r="AH115" i="8" s="1"/>
  <c r="AJ103" i="8"/>
  <c r="AG124" i="8"/>
  <c r="AG125" i="8"/>
  <c r="AL96" i="8"/>
  <c r="AL97" i="8" s="1"/>
  <c r="AL98" i="8" s="1"/>
  <c r="AM96" i="8"/>
  <c r="AM97" i="8" s="1"/>
  <c r="AH85" i="4"/>
  <c r="AG92" i="4"/>
  <c r="AG149" i="4" s="1"/>
  <c r="AG155" i="4" s="1"/>
  <c r="AG169" i="4" s="1"/>
  <c r="AA123" i="4"/>
  <c r="AA141" i="4"/>
  <c r="AA144" i="4" s="1"/>
  <c r="AA162" i="4" s="1"/>
  <c r="Z123" i="4"/>
  <c r="Z141" i="4"/>
  <c r="Z144" i="4" s="1"/>
  <c r="Z162" i="4" s="1"/>
  <c r="Z121" i="4"/>
  <c r="Z122" i="4" s="1"/>
  <c r="AD150" i="4"/>
  <c r="AD156" i="4" s="1"/>
  <c r="AD170" i="4" s="1"/>
  <c r="AD110" i="4"/>
  <c r="AI78" i="4"/>
  <c r="AI79" i="4" s="1"/>
  <c r="AI81" i="4" s="1"/>
  <c r="AC116" i="4"/>
  <c r="AB120" i="4" s="1"/>
  <c r="AI76" i="4"/>
  <c r="AI77" i="4" s="1"/>
  <c r="AE108" i="4"/>
  <c r="AE107" i="4"/>
  <c r="AF95" i="4"/>
  <c r="AM98" i="8" l="1"/>
  <c r="AH116" i="8"/>
  <c r="AG120" i="8" s="1"/>
  <c r="AI150" i="8"/>
  <c r="AI156" i="8" s="1"/>
  <c r="AI170" i="8" s="1"/>
  <c r="AI110" i="8"/>
  <c r="AJ106" i="8"/>
  <c r="AJ140" i="8"/>
  <c r="AJ146" i="8" s="1"/>
  <c r="AJ164" i="8" s="1"/>
  <c r="AJ108" i="8"/>
  <c r="AJ107" i="8"/>
  <c r="AJ104" i="8"/>
  <c r="AJ105" i="8" s="1"/>
  <c r="AK102" i="8" s="1"/>
  <c r="AL99" i="8"/>
  <c r="AM99" i="8" s="1"/>
  <c r="AF129" i="8"/>
  <c r="AA119" i="4"/>
  <c r="Z126" i="4"/>
  <c r="Z151" i="4" s="1"/>
  <c r="Z154" i="4" s="1"/>
  <c r="Z168" i="4" s="1"/>
  <c r="AI165" i="4"/>
  <c r="AJ74" i="4"/>
  <c r="AI82" i="4"/>
  <c r="AH86" i="4" s="1"/>
  <c r="AB123" i="4"/>
  <c r="AB141" i="4"/>
  <c r="AB144" i="4" s="1"/>
  <c r="AB162" i="4" s="1"/>
  <c r="AD112" i="4"/>
  <c r="AH91" i="4"/>
  <c r="AH90" i="4"/>
  <c r="AF96" i="4"/>
  <c r="AF97" i="4" s="1"/>
  <c r="AF98" i="4" s="1"/>
  <c r="AG93" i="4"/>
  <c r="Z127" i="4" l="1"/>
  <c r="AJ109" i="8"/>
  <c r="AJ150" i="8" s="1"/>
  <c r="AJ156" i="8" s="1"/>
  <c r="AJ170" i="8" s="1"/>
  <c r="AJ110" i="8"/>
  <c r="AK108" i="8"/>
  <c r="AK107" i="8"/>
  <c r="AF130" i="8"/>
  <c r="AF131" i="8" s="1"/>
  <c r="AF132" i="8" s="1"/>
  <c r="AF134" i="8" s="1"/>
  <c r="AF159" i="8" s="1"/>
  <c r="AG123" i="8"/>
  <c r="AG141" i="8"/>
  <c r="AG144" i="8" s="1"/>
  <c r="AG162" i="8" s="1"/>
  <c r="AG121" i="8"/>
  <c r="AG122" i="8" s="1"/>
  <c r="AI112" i="8"/>
  <c r="AJ112" i="8"/>
  <c r="AK103" i="8"/>
  <c r="AK104" i="8" s="1"/>
  <c r="AK105" i="8" s="1"/>
  <c r="AF99" i="4"/>
  <c r="AE103" i="4" s="1"/>
  <c r="AG95" i="4"/>
  <c r="AH89" i="4"/>
  <c r="AH139" i="4"/>
  <c r="AH145" i="4" s="1"/>
  <c r="AH163" i="4" s="1"/>
  <c r="AD113" i="4"/>
  <c r="AD114" i="4" s="1"/>
  <c r="AD115" i="4" s="1"/>
  <c r="Z129" i="4"/>
  <c r="AH87" i="4"/>
  <c r="AH88" i="4" s="1"/>
  <c r="AJ75" i="4"/>
  <c r="AJ76" i="4" s="1"/>
  <c r="AA125" i="4"/>
  <c r="AA121" i="4"/>
  <c r="AA122" i="4" s="1"/>
  <c r="AA124" i="4"/>
  <c r="AB119" i="4" l="1"/>
  <c r="AA126" i="4"/>
  <c r="AA151" i="4" s="1"/>
  <c r="AA154" i="4" s="1"/>
  <c r="AA168" i="4" s="1"/>
  <c r="AL102" i="8"/>
  <c r="AK109" i="8"/>
  <c r="AK150" i="8" s="1"/>
  <c r="AK156" i="8" s="1"/>
  <c r="AK170" i="8" s="1"/>
  <c r="AH119" i="8"/>
  <c r="AG126" i="8"/>
  <c r="AJ113" i="8"/>
  <c r="AJ114" i="8" s="1"/>
  <c r="AF183" i="8"/>
  <c r="AF201" i="8" s="1"/>
  <c r="AF172" i="8"/>
  <c r="AF184" i="8" s="1"/>
  <c r="AF202" i="8" s="1"/>
  <c r="AK106" i="8"/>
  <c r="AK110" i="8" s="1"/>
  <c r="AK140" i="8"/>
  <c r="AK146" i="8" s="1"/>
  <c r="AK164" i="8" s="1"/>
  <c r="AI113" i="8"/>
  <c r="AI114" i="8" s="1"/>
  <c r="AI115" i="8" s="1"/>
  <c r="AG96" i="4"/>
  <c r="AG97" i="4" s="1"/>
  <c r="AG98" i="4" s="1"/>
  <c r="AD116" i="4"/>
  <c r="AC120" i="4" s="1"/>
  <c r="AB124" i="4"/>
  <c r="AB125" i="4"/>
  <c r="AB121" i="4"/>
  <c r="AB122" i="4" s="1"/>
  <c r="AI85" i="4"/>
  <c r="AH92" i="4"/>
  <c r="AH149" i="4" s="1"/>
  <c r="AH155" i="4" s="1"/>
  <c r="AH169" i="4" s="1"/>
  <c r="AJ78" i="4"/>
  <c r="AJ79" i="4" s="1"/>
  <c r="AJ81" i="4" s="1"/>
  <c r="AJ77" i="4"/>
  <c r="AA127" i="4"/>
  <c r="Z130" i="4"/>
  <c r="Z131" i="4" s="1"/>
  <c r="Z132" i="4" s="1"/>
  <c r="Z134" i="4" s="1"/>
  <c r="Z159" i="4" s="1"/>
  <c r="AE106" i="4"/>
  <c r="AE140" i="4"/>
  <c r="AE146" i="4" s="1"/>
  <c r="AE164" i="4" s="1"/>
  <c r="AE104" i="4"/>
  <c r="AE105" i="4" s="1"/>
  <c r="AK112" i="8" l="1"/>
  <c r="AI116" i="8"/>
  <c r="AH120" i="8" s="1"/>
  <c r="AH121" i="8" s="1"/>
  <c r="AH122" i="8" s="1"/>
  <c r="AI119" i="8" s="1"/>
  <c r="AH124" i="8"/>
  <c r="AH125" i="8"/>
  <c r="AJ115" i="8"/>
  <c r="AG151" i="8"/>
  <c r="AG154" i="8" s="1"/>
  <c r="AG168" i="8" s="1"/>
  <c r="AG127" i="8"/>
  <c r="AL107" i="8"/>
  <c r="AL108" i="8"/>
  <c r="AL103" i="8"/>
  <c r="AL104" i="8" s="1"/>
  <c r="Z183" i="4"/>
  <c r="Z201" i="4" s="1"/>
  <c r="Z172" i="4"/>
  <c r="Z184" i="4" s="1"/>
  <c r="Z202" i="4" s="1"/>
  <c r="AJ82" i="4"/>
  <c r="AI86" i="4" s="1"/>
  <c r="AI87" i="4" s="1"/>
  <c r="AI88" i="4" s="1"/>
  <c r="AC119" i="4"/>
  <c r="AB126" i="4"/>
  <c r="AB151" i="4" s="1"/>
  <c r="AB154" i="4" s="1"/>
  <c r="AB168" i="4" s="1"/>
  <c r="AF102" i="4"/>
  <c r="AE109" i="4"/>
  <c r="AG99" i="4"/>
  <c r="AF103" i="4" s="1"/>
  <c r="AJ165" i="4"/>
  <c r="AK74" i="4"/>
  <c r="AA129" i="4"/>
  <c r="AI91" i="4"/>
  <c r="AI90" i="4"/>
  <c r="AC123" i="4"/>
  <c r="AC141" i="4"/>
  <c r="AC144" i="4" s="1"/>
  <c r="AC162" i="4" s="1"/>
  <c r="AH93" i="4"/>
  <c r="AK113" i="8" l="1"/>
  <c r="AK114" i="8" s="1"/>
  <c r="AK115" i="8" s="1"/>
  <c r="AJ116" i="8"/>
  <c r="AI120" i="8" s="1"/>
  <c r="AB127" i="4"/>
  <c r="AB129" i="4" s="1"/>
  <c r="AL106" i="8"/>
  <c r="AL140" i="8"/>
  <c r="AL146" i="8" s="1"/>
  <c r="AL164" i="8" s="1"/>
  <c r="AM140" i="8"/>
  <c r="AM146" i="8" s="1"/>
  <c r="AM164" i="8" s="1"/>
  <c r="AH126" i="8"/>
  <c r="AH151" i="8" s="1"/>
  <c r="AH154" i="8" s="1"/>
  <c r="AH168" i="8" s="1"/>
  <c r="AI121" i="8"/>
  <c r="AI122" i="8" s="1"/>
  <c r="AI125" i="8"/>
  <c r="AI124" i="8"/>
  <c r="AL105" i="8"/>
  <c r="AH123" i="8"/>
  <c r="AH127" i="8" s="1"/>
  <c r="AH141" i="8"/>
  <c r="AH144" i="8" s="1"/>
  <c r="AH162" i="8" s="1"/>
  <c r="AG129" i="8"/>
  <c r="AJ85" i="4"/>
  <c r="AI92" i="4"/>
  <c r="AI149" i="4" s="1"/>
  <c r="AI155" i="4" s="1"/>
  <c r="AI169" i="4" s="1"/>
  <c r="AC124" i="4"/>
  <c r="AC121" i="4"/>
  <c r="AC122" i="4" s="1"/>
  <c r="AC125" i="4"/>
  <c r="AF106" i="4"/>
  <c r="AF140" i="4"/>
  <c r="AF146" i="4" s="1"/>
  <c r="AF164" i="4" s="1"/>
  <c r="AF108" i="4"/>
  <c r="AF104" i="4"/>
  <c r="AF105" i="4" s="1"/>
  <c r="AF107" i="4"/>
  <c r="AI89" i="4"/>
  <c r="AI139" i="4"/>
  <c r="AI145" i="4" s="1"/>
  <c r="AI163" i="4" s="1"/>
  <c r="AK75" i="4"/>
  <c r="AE150" i="4"/>
  <c r="AE156" i="4" s="1"/>
  <c r="AE170" i="4" s="1"/>
  <c r="AE110" i="4"/>
  <c r="AH95" i="4"/>
  <c r="AA130" i="4"/>
  <c r="AA131" i="4" s="1"/>
  <c r="AA132" i="4" s="1"/>
  <c r="AA134" i="4" s="1"/>
  <c r="AA159" i="4" s="1"/>
  <c r="AJ119" i="8" l="1"/>
  <c r="AI126" i="8"/>
  <c r="AI151" i="8" s="1"/>
  <c r="AI154" i="8" s="1"/>
  <c r="AI168" i="8" s="1"/>
  <c r="AH129" i="8"/>
  <c r="AK116" i="8"/>
  <c r="AJ120" i="8" s="1"/>
  <c r="AI93" i="4"/>
  <c r="AI95" i="4" s="1"/>
  <c r="AI96" i="4" s="1"/>
  <c r="AI97" i="4" s="1"/>
  <c r="AG130" i="8"/>
  <c r="AG131" i="8" s="1"/>
  <c r="AG132" i="8" s="1"/>
  <c r="AG134" i="8" s="1"/>
  <c r="AG159" i="8" s="1"/>
  <c r="AM102" i="8"/>
  <c r="AL109" i="8"/>
  <c r="AL150" i="8" s="1"/>
  <c r="AL156" i="8" s="1"/>
  <c r="AL170" i="8" s="1"/>
  <c r="AI123" i="8"/>
  <c r="AI127" i="8" s="1"/>
  <c r="AI141" i="8"/>
  <c r="AI144" i="8" s="1"/>
  <c r="AI162" i="8" s="1"/>
  <c r="AA183" i="4"/>
  <c r="AA201" i="4" s="1"/>
  <c r="AA172" i="4"/>
  <c r="AA184" i="4" s="1"/>
  <c r="AA202" i="4" s="1"/>
  <c r="AG102" i="4"/>
  <c r="AF109" i="4"/>
  <c r="AF150" i="4" s="1"/>
  <c r="AF156" i="4" s="1"/>
  <c r="AF170" i="4" s="1"/>
  <c r="AD119" i="4"/>
  <c r="AC126" i="4"/>
  <c r="AC151" i="4" s="1"/>
  <c r="AC154" i="4" s="1"/>
  <c r="AC168" i="4" s="1"/>
  <c r="AK78" i="4"/>
  <c r="AK79" i="4" s="1"/>
  <c r="AK81" i="4" s="1"/>
  <c r="AB130" i="4"/>
  <c r="AB131" i="4" s="1"/>
  <c r="AB132" i="4" s="1"/>
  <c r="AB134" i="4" s="1"/>
  <c r="AB159" i="4" s="1"/>
  <c r="AE112" i="4"/>
  <c r="AJ91" i="4"/>
  <c r="AJ90" i="4"/>
  <c r="AH96" i="4"/>
  <c r="AH97" i="4" s="1"/>
  <c r="AH98" i="4" s="1"/>
  <c r="AK76" i="4"/>
  <c r="AK77" i="4" s="1"/>
  <c r="AI98" i="4" l="1"/>
  <c r="AL110" i="8"/>
  <c r="AI129" i="8"/>
  <c r="AG183" i="8"/>
  <c r="AG201" i="8" s="1"/>
  <c r="AG172" i="8"/>
  <c r="AG184" i="8" s="1"/>
  <c r="AG202" i="8" s="1"/>
  <c r="AM104" i="8"/>
  <c r="AM105" i="8" s="1"/>
  <c r="AM109" i="8" s="1"/>
  <c r="AM150" i="8" s="1"/>
  <c r="AM156" i="8" s="1"/>
  <c r="AM170" i="8" s="1"/>
  <c r="AM107" i="8"/>
  <c r="AM108" i="8"/>
  <c r="AJ123" i="8"/>
  <c r="AJ141" i="8"/>
  <c r="AJ144" i="8" s="1"/>
  <c r="AJ162" i="8" s="1"/>
  <c r="AL112" i="8"/>
  <c r="AC127" i="4"/>
  <c r="AC129" i="4" s="1"/>
  <c r="AH130" i="8"/>
  <c r="AH131" i="8" s="1"/>
  <c r="AH132" i="8" s="1"/>
  <c r="AH134" i="8" s="1"/>
  <c r="AH159" i="8" s="1"/>
  <c r="AJ125" i="8"/>
  <c r="AJ124" i="8"/>
  <c r="AJ121" i="8"/>
  <c r="AJ122" i="8" s="1"/>
  <c r="AB183" i="4"/>
  <c r="AB201" i="4" s="1"/>
  <c r="AB172" i="4"/>
  <c r="AB184" i="4" s="1"/>
  <c r="AB202" i="4" s="1"/>
  <c r="AK165" i="4"/>
  <c r="AL74" i="4"/>
  <c r="AK82" i="4"/>
  <c r="AJ86" i="4" s="1"/>
  <c r="AE113" i="4"/>
  <c r="AE114" i="4" s="1"/>
  <c r="AE115" i="4" s="1"/>
  <c r="AH99" i="4"/>
  <c r="AG103" i="4" s="1"/>
  <c r="AG104" i="4" s="1"/>
  <c r="AG105" i="4" s="1"/>
  <c r="AD124" i="4"/>
  <c r="AD125" i="4"/>
  <c r="AG107" i="4"/>
  <c r="AG108" i="4"/>
  <c r="AF110" i="4"/>
  <c r="AK119" i="8" l="1"/>
  <c r="AJ126" i="8"/>
  <c r="AH183" i="8"/>
  <c r="AH201" i="8" s="1"/>
  <c r="AH172" i="8"/>
  <c r="AH184" i="8" s="1"/>
  <c r="AH202" i="8" s="1"/>
  <c r="AM110" i="8"/>
  <c r="AM112" i="8" s="1"/>
  <c r="AL113" i="8"/>
  <c r="AL114" i="8" s="1"/>
  <c r="AL115" i="8" s="1"/>
  <c r="AI130" i="8"/>
  <c r="AI131" i="8" s="1"/>
  <c r="AI132" i="8" s="1"/>
  <c r="AI134" i="8" s="1"/>
  <c r="AI159" i="8" s="1"/>
  <c r="AH102" i="4"/>
  <c r="AG109" i="4"/>
  <c r="AG150" i="4" s="1"/>
  <c r="AG156" i="4" s="1"/>
  <c r="AG170" i="4" s="1"/>
  <c r="AJ89" i="4"/>
  <c r="AJ139" i="4"/>
  <c r="AJ145" i="4" s="1"/>
  <c r="AJ163" i="4" s="1"/>
  <c r="AJ87" i="4"/>
  <c r="AJ88" i="4" s="1"/>
  <c r="AE116" i="4"/>
  <c r="AD120" i="4" s="1"/>
  <c r="AC130" i="4"/>
  <c r="AC131" i="4" s="1"/>
  <c r="AC132" i="4" s="1"/>
  <c r="AC134" i="4" s="1"/>
  <c r="AC159" i="4" s="1"/>
  <c r="AL75" i="4"/>
  <c r="AL76" i="4" s="1"/>
  <c r="AG106" i="4"/>
  <c r="AG140" i="4"/>
  <c r="AG146" i="4" s="1"/>
  <c r="AG164" i="4" s="1"/>
  <c r="AI99" i="4"/>
  <c r="AH103" i="4" s="1"/>
  <c r="AF112" i="4"/>
  <c r="AL116" i="8" l="1"/>
  <c r="AK120" i="8" s="1"/>
  <c r="AM113" i="8"/>
  <c r="AM114" i="8" s="1"/>
  <c r="AM115" i="8" s="1"/>
  <c r="AI183" i="8"/>
  <c r="AI201" i="8" s="1"/>
  <c r="AI172" i="8"/>
  <c r="AI184" i="8" s="1"/>
  <c r="AI202" i="8" s="1"/>
  <c r="AG110" i="4"/>
  <c r="AG112" i="4" s="1"/>
  <c r="AG113" i="4" s="1"/>
  <c r="AG114" i="4" s="1"/>
  <c r="AJ151" i="8"/>
  <c r="AJ154" i="8" s="1"/>
  <c r="AJ168" i="8" s="1"/>
  <c r="AJ127" i="8"/>
  <c r="AK121" i="8"/>
  <c r="AK122" i="8" s="1"/>
  <c r="AK125" i="8"/>
  <c r="AK124" i="8"/>
  <c r="AC183" i="4"/>
  <c r="AC201" i="4" s="1"/>
  <c r="AC172" i="4"/>
  <c r="AC184" i="4" s="1"/>
  <c r="AC202" i="4" s="1"/>
  <c r="AK85" i="4"/>
  <c r="AJ92" i="4"/>
  <c r="AJ149" i="4" s="1"/>
  <c r="AJ155" i="4" s="1"/>
  <c r="AJ169" i="4" s="1"/>
  <c r="AL78" i="4"/>
  <c r="AL79" i="4" s="1"/>
  <c r="AL81" i="4" s="1"/>
  <c r="AD123" i="4"/>
  <c r="AD141" i="4"/>
  <c r="AD144" i="4" s="1"/>
  <c r="AD162" i="4" s="1"/>
  <c r="AD121" i="4"/>
  <c r="AD122" i="4" s="1"/>
  <c r="AF113" i="4"/>
  <c r="AF114" i="4" s="1"/>
  <c r="AF115" i="4" s="1"/>
  <c r="AH106" i="4"/>
  <c r="AH140" i="4"/>
  <c r="AH146" i="4" s="1"/>
  <c r="AH164" i="4" s="1"/>
  <c r="AL77" i="4"/>
  <c r="AH104" i="4"/>
  <c r="AH105" i="4" s="1"/>
  <c r="AI102" i="4" s="1"/>
  <c r="AH108" i="4"/>
  <c r="AH107" i="4"/>
  <c r="AJ93" i="4" l="1"/>
  <c r="AG115" i="4"/>
  <c r="AL119" i="8"/>
  <c r="AK126" i="8"/>
  <c r="AK151" i="8" s="1"/>
  <c r="AK154" i="8" s="1"/>
  <c r="AK168" i="8" s="1"/>
  <c r="AM116" i="8"/>
  <c r="AL120" i="8" s="1"/>
  <c r="AJ129" i="8"/>
  <c r="AK123" i="8"/>
  <c r="AK141" i="8"/>
  <c r="AK144" i="8" s="1"/>
  <c r="AK162" i="8" s="1"/>
  <c r="AF116" i="4"/>
  <c r="AE120" i="4" s="1"/>
  <c r="AI107" i="4"/>
  <c r="AI108" i="4"/>
  <c r="AL82" i="4"/>
  <c r="AK86" i="4" s="1"/>
  <c r="AJ95" i="4"/>
  <c r="AK91" i="4"/>
  <c r="AK90" i="4"/>
  <c r="AE119" i="4"/>
  <c r="AD126" i="4"/>
  <c r="AH109" i="4"/>
  <c r="AH150" i="4" s="1"/>
  <c r="AH156" i="4" s="1"/>
  <c r="AH170" i="4" s="1"/>
  <c r="AL165" i="4"/>
  <c r="AM74" i="4"/>
  <c r="AK127" i="8" l="1"/>
  <c r="AK129" i="8"/>
  <c r="AJ130" i="8"/>
  <c r="AJ131" i="8" s="1"/>
  <c r="AJ132" i="8" s="1"/>
  <c r="AJ134" i="8" s="1"/>
  <c r="AJ159" i="8" s="1"/>
  <c r="AL123" i="8"/>
  <c r="AM141" i="8"/>
  <c r="AM144" i="8" s="1"/>
  <c r="AM162" i="8" s="1"/>
  <c r="AL141" i="8"/>
  <c r="AL144" i="8" s="1"/>
  <c r="AL162" i="8" s="1"/>
  <c r="AL124" i="8"/>
  <c r="AL125" i="8"/>
  <c r="AL121" i="8"/>
  <c r="AL122" i="8" s="1"/>
  <c r="AK89" i="4"/>
  <c r="AK139" i="4"/>
  <c r="AK145" i="4" s="1"/>
  <c r="AK163" i="4" s="1"/>
  <c r="AD151" i="4"/>
  <c r="AD154" i="4" s="1"/>
  <c r="AD168" i="4" s="1"/>
  <c r="AD127" i="4"/>
  <c r="AK87" i="4"/>
  <c r="AK88" i="4" s="1"/>
  <c r="AE123" i="4"/>
  <c r="AE141" i="4"/>
  <c r="AE144" i="4" s="1"/>
  <c r="AE162" i="4" s="1"/>
  <c r="AM75" i="4"/>
  <c r="AE124" i="4"/>
  <c r="AE121" i="4"/>
  <c r="AE122" i="4" s="1"/>
  <c r="AF119" i="4" s="1"/>
  <c r="AE125" i="4"/>
  <c r="AG116" i="4"/>
  <c r="AF120" i="4" s="1"/>
  <c r="AJ96" i="4"/>
  <c r="AJ97" i="4" s="1"/>
  <c r="AJ98" i="4" s="1"/>
  <c r="AH110" i="4"/>
  <c r="AM119" i="8" l="1"/>
  <c r="AL126" i="8"/>
  <c r="AJ183" i="8"/>
  <c r="AJ201" i="8" s="1"/>
  <c r="AJ172" i="8"/>
  <c r="AJ184" i="8" s="1"/>
  <c r="AJ202" i="8" s="1"/>
  <c r="AK130" i="8"/>
  <c r="AK131" i="8" s="1"/>
  <c r="AK132" i="8" s="1"/>
  <c r="AK134" i="8" s="1"/>
  <c r="AK159" i="8" s="1"/>
  <c r="AJ99" i="4"/>
  <c r="AI103" i="4" s="1"/>
  <c r="AH112" i="4"/>
  <c r="AF121" i="4"/>
  <c r="AF125" i="4"/>
  <c r="AF124" i="4"/>
  <c r="AF122" i="4"/>
  <c r="AG119" i="4" s="1"/>
  <c r="AD129" i="4"/>
  <c r="AM78" i="4"/>
  <c r="AM79" i="4" s="1"/>
  <c r="AM81" i="4" s="1"/>
  <c r="AL85" i="4"/>
  <c r="AK92" i="4"/>
  <c r="AK149" i="4" s="1"/>
  <c r="AK155" i="4" s="1"/>
  <c r="AK169" i="4" s="1"/>
  <c r="AF123" i="4"/>
  <c r="AF141" i="4"/>
  <c r="AF144" i="4" s="1"/>
  <c r="AF162" i="4" s="1"/>
  <c r="AE126" i="4"/>
  <c r="AE151" i="4" s="1"/>
  <c r="AE154" i="4" s="1"/>
  <c r="AE168" i="4" s="1"/>
  <c r="AM76" i="4"/>
  <c r="AM77" i="4" s="1"/>
  <c r="AM165" i="4" s="1"/>
  <c r="AK172" i="8" l="1"/>
  <c r="AK184" i="8" s="1"/>
  <c r="AK202" i="8" s="1"/>
  <c r="AK183" i="8"/>
  <c r="AK201" i="8" s="1"/>
  <c r="AL151" i="8"/>
  <c r="AL154" i="8" s="1"/>
  <c r="AL168" i="8" s="1"/>
  <c r="AL127" i="8"/>
  <c r="AM125" i="8"/>
  <c r="AM121" i="8"/>
  <c r="AM122" i="8" s="1"/>
  <c r="AM126" i="8" s="1"/>
  <c r="AM151" i="8" s="1"/>
  <c r="AM154" i="8" s="1"/>
  <c r="AM168" i="8" s="1"/>
  <c r="AM124" i="8"/>
  <c r="AG124" i="4"/>
  <c r="AG125" i="4"/>
  <c r="AF126" i="4"/>
  <c r="AF151" i="4" s="1"/>
  <c r="AF154" i="4" s="1"/>
  <c r="AF168" i="4" s="1"/>
  <c r="AL91" i="4"/>
  <c r="AL90" i="4"/>
  <c r="AH113" i="4"/>
  <c r="AH114" i="4" s="1"/>
  <c r="AH115" i="4" s="1"/>
  <c r="AM82" i="4"/>
  <c r="AL86" i="4" s="1"/>
  <c r="AL87" i="4" s="1"/>
  <c r="AL88" i="4" s="1"/>
  <c r="AK93" i="4"/>
  <c r="AI106" i="4"/>
  <c r="AI140" i="4"/>
  <c r="AI146" i="4" s="1"/>
  <c r="AI164" i="4" s="1"/>
  <c r="AI104" i="4"/>
  <c r="AI105" i="4" s="1"/>
  <c r="AD130" i="4"/>
  <c r="AD131" i="4" s="1"/>
  <c r="AD132" i="4" s="1"/>
  <c r="AD134" i="4" s="1"/>
  <c r="AD159" i="4" s="1"/>
  <c r="AE127" i="4"/>
  <c r="AM85" i="4" l="1"/>
  <c r="AL92" i="4"/>
  <c r="AL149" i="4" s="1"/>
  <c r="AL155" i="4" s="1"/>
  <c r="AL169" i="4" s="1"/>
  <c r="AM127" i="8"/>
  <c r="AM129" i="8"/>
  <c r="AL129" i="8"/>
  <c r="AH116" i="4"/>
  <c r="AG120" i="4" s="1"/>
  <c r="AD172" i="4"/>
  <c r="AD184" i="4" s="1"/>
  <c r="AD202" i="4" s="1"/>
  <c r="AD183" i="4"/>
  <c r="AD201" i="4" s="1"/>
  <c r="AJ102" i="4"/>
  <c r="AI109" i="4"/>
  <c r="AI150" i="4" s="1"/>
  <c r="AI156" i="4" s="1"/>
  <c r="AI170" i="4" s="1"/>
  <c r="AM91" i="4"/>
  <c r="AM87" i="4"/>
  <c r="AM88" i="4" s="1"/>
  <c r="AM92" i="4" s="1"/>
  <c r="AM149" i="4" s="1"/>
  <c r="AM155" i="4" s="1"/>
  <c r="AM169" i="4" s="1"/>
  <c r="AM90" i="4"/>
  <c r="AL89" i="4"/>
  <c r="AL93" i="4" s="1"/>
  <c r="AL139" i="4"/>
  <c r="AL145" i="4" s="1"/>
  <c r="AL163" i="4" s="1"/>
  <c r="AM139" i="4"/>
  <c r="AM145" i="4" s="1"/>
  <c r="AM163" i="4" s="1"/>
  <c r="AK95" i="4"/>
  <c r="AE129" i="4"/>
  <c r="AF127" i="4"/>
  <c r="AF129" i="4" s="1"/>
  <c r="AL130" i="8" l="1"/>
  <c r="AL131" i="8" s="1"/>
  <c r="AL132" i="8" s="1"/>
  <c r="AL134" i="8" s="1"/>
  <c r="AL159" i="8" s="1"/>
  <c r="AM130" i="8"/>
  <c r="AM131" i="8" s="1"/>
  <c r="AM132" i="8" s="1"/>
  <c r="AM134" i="8" s="1"/>
  <c r="AM159" i="8" s="1"/>
  <c r="AL95" i="4"/>
  <c r="AF130" i="4"/>
  <c r="AF131" i="4" s="1"/>
  <c r="AM93" i="4"/>
  <c r="AM95" i="4" s="1"/>
  <c r="AE130" i="4"/>
  <c r="AE131" i="4" s="1"/>
  <c r="AE132" i="4" s="1"/>
  <c r="AE134" i="4" s="1"/>
  <c r="AE159" i="4" s="1"/>
  <c r="AG123" i="4"/>
  <c r="AG141" i="4"/>
  <c r="AG144" i="4" s="1"/>
  <c r="AG162" i="4" s="1"/>
  <c r="AG121" i="4"/>
  <c r="AG122" i="4" s="1"/>
  <c r="AI110" i="4"/>
  <c r="AJ107" i="4"/>
  <c r="AJ108" i="4"/>
  <c r="AK96" i="4"/>
  <c r="AK97" i="4" s="1"/>
  <c r="AK98" i="4" s="1"/>
  <c r="AM172" i="8" l="1"/>
  <c r="AM184" i="8" s="1"/>
  <c r="AM202" i="8" s="1"/>
  <c r="AM183" i="8"/>
  <c r="AM201" i="8" s="1"/>
  <c r="AL172" i="8"/>
  <c r="AL184" i="8" s="1"/>
  <c r="AL202" i="8" s="1"/>
  <c r="AL183" i="8"/>
  <c r="AL201" i="8" s="1"/>
  <c r="AK99" i="4"/>
  <c r="AJ103" i="4" s="1"/>
  <c r="AH119" i="4"/>
  <c r="AG126" i="4"/>
  <c r="AG151" i="4" s="1"/>
  <c r="AG154" i="4" s="1"/>
  <c r="AG168" i="4" s="1"/>
  <c r="AM96" i="4"/>
  <c r="AM97" i="4" s="1"/>
  <c r="AM98" i="4" s="1"/>
  <c r="AE172" i="4"/>
  <c r="AE184" i="4" s="1"/>
  <c r="AE202" i="4" s="1"/>
  <c r="AE183" i="4"/>
  <c r="AE201" i="4" s="1"/>
  <c r="AI112" i="4"/>
  <c r="AF132" i="4"/>
  <c r="AF134" i="4" s="1"/>
  <c r="AF159" i="4" s="1"/>
  <c r="AL96" i="4"/>
  <c r="AL97" i="4" s="1"/>
  <c r="AL98" i="4" s="1"/>
  <c r="AL99" i="4" l="1"/>
  <c r="AK103" i="4" s="1"/>
  <c r="AF172" i="4"/>
  <c r="AF184" i="4" s="1"/>
  <c r="AF202" i="4" s="1"/>
  <c r="AF183" i="4"/>
  <c r="AF201" i="4" s="1"/>
  <c r="AH125" i="4"/>
  <c r="AH124" i="4"/>
  <c r="AG127" i="4"/>
  <c r="AI113" i="4"/>
  <c r="AI114" i="4" s="1"/>
  <c r="AI115" i="4" s="1"/>
  <c r="AJ106" i="4"/>
  <c r="AJ140" i="4"/>
  <c r="AJ146" i="4" s="1"/>
  <c r="AJ164" i="4" s="1"/>
  <c r="AJ104" i="4"/>
  <c r="AJ105" i="4"/>
  <c r="AM99" i="4" l="1"/>
  <c r="AL103" i="4" s="1"/>
  <c r="AI116" i="4"/>
  <c r="AH120" i="4" s="1"/>
  <c r="AG129" i="4"/>
  <c r="AK102" i="4"/>
  <c r="AJ109" i="4"/>
  <c r="AJ150" i="4" s="1"/>
  <c r="AJ156" i="4" s="1"/>
  <c r="AJ170" i="4" s="1"/>
  <c r="AL106" i="4"/>
  <c r="AM140" i="4"/>
  <c r="AM146" i="4" s="1"/>
  <c r="AM164" i="4" s="1"/>
  <c r="AL140" i="4"/>
  <c r="AL146" i="4" s="1"/>
  <c r="AL164" i="4" s="1"/>
  <c r="AK106" i="4"/>
  <c r="AK140" i="4"/>
  <c r="AK146" i="4" s="1"/>
  <c r="AK164" i="4" s="1"/>
  <c r="AH123" i="4" l="1"/>
  <c r="AH141" i="4"/>
  <c r="AH144" i="4" s="1"/>
  <c r="AH162" i="4" s="1"/>
  <c r="AH121" i="4"/>
  <c r="AH122" i="4" s="1"/>
  <c r="AK108" i="4"/>
  <c r="AK107" i="4"/>
  <c r="AK104" i="4"/>
  <c r="AK105" i="4" s="1"/>
  <c r="AG130" i="4"/>
  <c r="AG131" i="4" s="1"/>
  <c r="AG132" i="4" s="1"/>
  <c r="AG134" i="4" s="1"/>
  <c r="AG159" i="4" s="1"/>
  <c r="AJ110" i="4"/>
  <c r="AL102" i="4" l="1"/>
  <c r="AK109" i="4"/>
  <c r="AK150" i="4" s="1"/>
  <c r="AK156" i="4" s="1"/>
  <c r="AK170" i="4" s="1"/>
  <c r="AG172" i="4"/>
  <c r="AG184" i="4" s="1"/>
  <c r="AG202" i="4" s="1"/>
  <c r="AG183" i="4"/>
  <c r="AG201" i="4" s="1"/>
  <c r="AK110" i="4"/>
  <c r="AI119" i="4"/>
  <c r="AH126" i="4"/>
  <c r="AH151" i="4" s="1"/>
  <c r="AH154" i="4" s="1"/>
  <c r="AH168" i="4" s="1"/>
  <c r="AK112" i="4"/>
  <c r="AJ112" i="4"/>
  <c r="AJ113" i="4" l="1"/>
  <c r="AJ114" i="4" s="1"/>
  <c r="AJ115" i="4" s="1"/>
  <c r="AK113" i="4"/>
  <c r="AK114" i="4" s="1"/>
  <c r="AK115" i="4" s="1"/>
  <c r="AI125" i="4"/>
  <c r="AI124" i="4"/>
  <c r="AH127" i="4"/>
  <c r="AL108" i="4"/>
  <c r="AL104" i="4"/>
  <c r="AL105" i="4" s="1"/>
  <c r="AM102" i="4" s="1"/>
  <c r="AL107" i="4"/>
  <c r="AJ116" i="4" l="1"/>
  <c r="AI120" i="4" s="1"/>
  <c r="AM108" i="4"/>
  <c r="AM104" i="4"/>
  <c r="AM105" i="4" s="1"/>
  <c r="AM109" i="4" s="1"/>
  <c r="AM107" i="4"/>
  <c r="AH129" i="4"/>
  <c r="AL109" i="4"/>
  <c r="AL150" i="4" s="1"/>
  <c r="AL156" i="4" s="1"/>
  <c r="AL170" i="4" s="1"/>
  <c r="AM150" i="4" l="1"/>
  <c r="AM156" i="4" s="1"/>
  <c r="AM170" i="4" s="1"/>
  <c r="AL110" i="4"/>
  <c r="AL112" i="4"/>
  <c r="AI123" i="4"/>
  <c r="AI141" i="4"/>
  <c r="AI144" i="4" s="1"/>
  <c r="AI162" i="4" s="1"/>
  <c r="AI121" i="4"/>
  <c r="AI122" i="4" s="1"/>
  <c r="AM110" i="4"/>
  <c r="AM112" i="4" s="1"/>
  <c r="AK116" i="4"/>
  <c r="AJ120" i="4" s="1"/>
  <c r="AH130" i="4"/>
  <c r="AH131" i="4" s="1"/>
  <c r="AH132" i="4" s="1"/>
  <c r="AH134" i="4" s="1"/>
  <c r="AH159" i="4" s="1"/>
  <c r="AH183" i="4" l="1"/>
  <c r="AH201" i="4" s="1"/>
  <c r="AH172" i="4"/>
  <c r="AH184" i="4" s="1"/>
  <c r="AH202" i="4" s="1"/>
  <c r="AM113" i="4"/>
  <c r="AM114" i="4" s="1"/>
  <c r="AJ123" i="4"/>
  <c r="AJ141" i="4"/>
  <c r="AJ144" i="4" s="1"/>
  <c r="AJ162" i="4" s="1"/>
  <c r="AJ119" i="4"/>
  <c r="AI126" i="4"/>
  <c r="AI151" i="4" s="1"/>
  <c r="AI154" i="4" s="1"/>
  <c r="AI168" i="4" s="1"/>
  <c r="AL113" i="4"/>
  <c r="AL114" i="4" s="1"/>
  <c r="AM115" i="4" l="1"/>
  <c r="AL115" i="4"/>
  <c r="AJ124" i="4"/>
  <c r="AJ125" i="4"/>
  <c r="AJ121" i="4"/>
  <c r="AJ122" i="4" s="1"/>
  <c r="AI127" i="4"/>
  <c r="AK119" i="4" l="1"/>
  <c r="AJ126" i="4"/>
  <c r="AJ151" i="4" s="1"/>
  <c r="AJ154" i="4" s="1"/>
  <c r="AJ168" i="4" s="1"/>
  <c r="AI129" i="4"/>
  <c r="AL116" i="4"/>
  <c r="AI130" i="4" l="1"/>
  <c r="AI131" i="4" s="1"/>
  <c r="AI132" i="4" s="1"/>
  <c r="AI134" i="4" s="1"/>
  <c r="AI159" i="4" s="1"/>
  <c r="AK120" i="4"/>
  <c r="AM116" i="4"/>
  <c r="AL120" i="4" s="1"/>
  <c r="AJ127" i="4"/>
  <c r="AK125" i="4"/>
  <c r="AK124" i="4"/>
  <c r="AK121" i="4"/>
  <c r="AK122" i="4" s="1"/>
  <c r="AL119" i="4" l="1"/>
  <c r="AK126" i="4"/>
  <c r="AK151" i="4" s="1"/>
  <c r="AK154" i="4" s="1"/>
  <c r="AK168" i="4" s="1"/>
  <c r="AI183" i="4"/>
  <c r="AI201" i="4" s="1"/>
  <c r="AI172" i="4"/>
  <c r="AI184" i="4" s="1"/>
  <c r="AI202" i="4" s="1"/>
  <c r="AK123" i="4"/>
  <c r="AK127" i="4" s="1"/>
  <c r="AK141" i="4"/>
  <c r="AK144" i="4" s="1"/>
  <c r="AK162" i="4" s="1"/>
  <c r="AJ129" i="4"/>
  <c r="AL123" i="4"/>
  <c r="AL141" i="4"/>
  <c r="AL144" i="4" s="1"/>
  <c r="AL162" i="4" s="1"/>
  <c r="AM141" i="4"/>
  <c r="AM144" i="4" s="1"/>
  <c r="AM162" i="4" s="1"/>
  <c r="AK129" i="4" l="1"/>
  <c r="AJ130" i="4"/>
  <c r="AJ131" i="4" s="1"/>
  <c r="AJ132" i="4" s="1"/>
  <c r="AJ134" i="4" s="1"/>
  <c r="AJ159" i="4" s="1"/>
  <c r="AL125" i="4"/>
  <c r="AL124" i="4"/>
  <c r="AL121" i="4"/>
  <c r="AL122" i="4" s="1"/>
  <c r="AM119" i="4" s="1"/>
  <c r="E189" i="8" a="1"/>
  <c r="E189" i="8" s="1"/>
  <c r="D189" i="8" a="1"/>
  <c r="D189" i="8" s="1"/>
  <c r="C189" i="8"/>
  <c r="AJ183" i="4" l="1"/>
  <c r="AJ201" i="4" s="1"/>
  <c r="AJ172" i="4"/>
  <c r="AJ184" i="4" s="1"/>
  <c r="AJ202" i="4" s="1"/>
  <c r="AM125" i="4"/>
  <c r="AM121" i="4"/>
  <c r="AM122" i="4" s="1"/>
  <c r="AM126" i="4" s="1"/>
  <c r="AM124" i="4"/>
  <c r="AK130" i="4"/>
  <c r="AK131" i="4" s="1"/>
  <c r="AK132" i="4" s="1"/>
  <c r="AK134" i="4" s="1"/>
  <c r="AK159" i="4" s="1"/>
  <c r="AL126" i="4"/>
  <c r="AL151" i="4" s="1"/>
  <c r="AL154" i="4" s="1"/>
  <c r="AL168" i="4" s="1"/>
  <c r="E192" i="8" a="1"/>
  <c r="E192" i="8" s="1"/>
  <c r="D192" i="8" a="1"/>
  <c r="D192" i="8" s="1"/>
  <c r="AM151" i="4" l="1"/>
  <c r="AM154" i="4" s="1"/>
  <c r="AM168" i="4" s="1"/>
  <c r="AK183" i="4"/>
  <c r="AK201" i="4" s="1"/>
  <c r="AK172" i="4"/>
  <c r="AK184" i="4" s="1"/>
  <c r="AK202" i="4" s="1"/>
  <c r="AM127" i="4"/>
  <c r="AL127" i="4"/>
  <c r="C192" i="8"/>
  <c r="C189" i="4"/>
  <c r="E189" i="4" a="1"/>
  <c r="E189" i="4" s="1"/>
  <c r="D189" i="4" a="1"/>
  <c r="D189" i="4" s="1"/>
  <c r="AM129" i="4" l="1"/>
  <c r="AL129" i="4"/>
  <c r="D193" i="8" a="1"/>
  <c r="D193" i="8" s="1"/>
  <c r="E193" i="8" a="1"/>
  <c r="E193" i="8" s="1"/>
  <c r="AL130" i="4" l="1"/>
  <c r="AL131" i="4" s="1"/>
  <c r="AL132" i="4" s="1"/>
  <c r="AL134" i="4" s="1"/>
  <c r="AL159" i="4" s="1"/>
  <c r="AM130" i="4"/>
  <c r="AM131" i="4" s="1"/>
  <c r="AM132" i="4" s="1"/>
  <c r="AM134" i="4" s="1"/>
  <c r="AM159" i="4" s="1"/>
  <c r="C193" i="8"/>
  <c r="C191" i="8"/>
  <c r="E191" i="8" a="1"/>
  <c r="E191" i="8" s="1"/>
  <c r="D191" i="8" a="1"/>
  <c r="D191" i="8" s="1"/>
  <c r="AM183" i="4" l="1"/>
  <c r="AM201" i="4" s="1"/>
  <c r="AM172" i="4"/>
  <c r="AM184" i="4" s="1"/>
  <c r="AM202" i="4" s="1"/>
  <c r="AL183" i="4"/>
  <c r="AL201" i="4" s="1"/>
  <c r="AL172" i="4"/>
  <c r="AL184" i="4" s="1"/>
  <c r="AL202" i="4" s="1"/>
  <c r="C194" i="8"/>
  <c r="C192" i="4" l="1"/>
  <c r="E192" i="4" l="1" a="1"/>
  <c r="E192" i="4" s="1"/>
  <c r="D192" i="4" a="1"/>
  <c r="D192" i="4" s="1"/>
  <c r="C185" i="8" l="1"/>
  <c r="C186" i="8" a="1"/>
  <c r="C186" i="8" s="1"/>
  <c r="C191" i="4" l="1"/>
  <c r="C193" i="4"/>
  <c r="E193" i="4" l="1" a="1"/>
  <c r="E193" i="4" s="1"/>
  <c r="D193" i="4" a="1"/>
  <c r="D193" i="4" s="1"/>
  <c r="E191" i="4" a="1"/>
  <c r="E191" i="4" s="1"/>
  <c r="D191" i="4" a="1"/>
  <c r="D191" i="4" s="1"/>
  <c r="C194" i="4"/>
  <c r="C185" i="4" l="1"/>
  <c r="C186" i="4" a="1"/>
  <c r="C186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<sst xmlns="http://schemas.openxmlformats.org/spreadsheetml/2006/main" count="447" uniqueCount="182">
  <si>
    <t>Stock market investments</t>
  </si>
  <si>
    <t>Age</t>
  </si>
  <si>
    <t>Home loan</t>
  </si>
  <si>
    <t>Credit card balances</t>
  </si>
  <si>
    <t>more / less than current</t>
  </si>
  <si>
    <t>Housing rent</t>
  </si>
  <si>
    <t>Year</t>
  </si>
  <si>
    <t>Home</t>
  </si>
  <si>
    <t>Interest on cash balances</t>
  </si>
  <si>
    <t>Cash</t>
  </si>
  <si>
    <t>Cash b/fwd</t>
  </si>
  <si>
    <t>Cash c/fwd</t>
  </si>
  <si>
    <t>Stock market equity investments</t>
  </si>
  <si>
    <t>Home loan repayment</t>
  </si>
  <si>
    <t>Net from other work</t>
  </si>
  <si>
    <t>Continue other work until age</t>
  </si>
  <si>
    <t>Living expenses</t>
  </si>
  <si>
    <t>Inflows</t>
  </si>
  <si>
    <t>Outflows</t>
  </si>
  <si>
    <t>Net Cash Flow</t>
  </si>
  <si>
    <t>General inflatiion</t>
  </si>
  <si>
    <t>Liquidation required</t>
  </si>
  <si>
    <t>Liquidations</t>
  </si>
  <si>
    <t>b/fwd</t>
  </si>
  <si>
    <t>Disposals</t>
  </si>
  <si>
    <t>Growth</t>
  </si>
  <si>
    <t>c/fwd</t>
  </si>
  <si>
    <t>Disposal costs</t>
  </si>
  <si>
    <t>Stock market equity</t>
  </si>
  <si>
    <t>Net worth</t>
  </si>
  <si>
    <t>Value</t>
  </si>
  <si>
    <t>Liquidations required to fund retirement</t>
  </si>
  <si>
    <t>Name</t>
  </si>
  <si>
    <t>Home current market value</t>
  </si>
  <si>
    <t>Rental income foregone</t>
  </si>
  <si>
    <t>Cash runs out at age</t>
  </si>
  <si>
    <t>Dependents</t>
  </si>
  <si>
    <t>Home loan (mortgage)</t>
  </si>
  <si>
    <t>Other loan</t>
  </si>
  <si>
    <t>Other loan repayment</t>
  </si>
  <si>
    <t>Loan repayment</t>
  </si>
  <si>
    <t>Net proceeds</t>
  </si>
  <si>
    <t>Balance</t>
  </si>
  <si>
    <t>Plan to live until age</t>
  </si>
  <si>
    <t>Dependent 1</t>
  </si>
  <si>
    <t>Dependent 2</t>
  </si>
  <si>
    <t>Dependent 3</t>
  </si>
  <si>
    <t>Property 1</t>
  </si>
  <si>
    <t>Property 2</t>
  </si>
  <si>
    <t>Property 3</t>
  </si>
  <si>
    <t>Amount</t>
  </si>
  <si>
    <t>Net employment / self-employment income</t>
  </si>
  <si>
    <t>Other post-retirement income</t>
  </si>
  <si>
    <t>if not a home owner</t>
  </si>
  <si>
    <t>Annual cost saved</t>
  </si>
  <si>
    <t>Property loan balances after liquidations</t>
  </si>
  <si>
    <t>Other property</t>
  </si>
  <si>
    <t>Other property loans repayments</t>
  </si>
  <si>
    <t>Dependents cost</t>
  </si>
  <si>
    <t>Other property costs</t>
  </si>
  <si>
    <t>Current baseline</t>
  </si>
  <si>
    <t>from 66-75</t>
  </si>
  <si>
    <t>from age 76</t>
  </si>
  <si>
    <t>Spending adjustment (at today's euros)</t>
  </si>
  <si>
    <t>Major one-off expense events</t>
  </si>
  <si>
    <t>Other property loans</t>
  </si>
  <si>
    <t>Net worth adjustments after liquidations</t>
  </si>
  <si>
    <t>Cum property loan repayments on liquidations</t>
  </si>
  <si>
    <t>Adjusted net worth</t>
  </si>
  <si>
    <t>Cum property disposals</t>
  </si>
  <si>
    <t>Property values after liquidations</t>
  </si>
  <si>
    <t>Property</t>
  </si>
  <si>
    <t>Without liquidations</t>
  </si>
  <si>
    <t>With liquidations</t>
  </si>
  <si>
    <t>Can you finance retirement?</t>
  </si>
  <si>
    <t>At Age</t>
  </si>
  <si>
    <t>Year*</t>
  </si>
  <si>
    <t>*  year of fist liquidations in case of stocks</t>
  </si>
  <si>
    <t>Charts</t>
  </si>
  <si>
    <t>Net rental income from other properties</t>
  </si>
  <si>
    <t>Credit cards cleared</t>
  </si>
  <si>
    <t xml:space="preserve">Enough cash to finance retirement? </t>
  </si>
  <si>
    <t>Net Worth before liquidations</t>
  </si>
  <si>
    <t>from now to 65</t>
  </si>
  <si>
    <t>Extra cash</t>
  </si>
  <si>
    <t>Extra interest</t>
  </si>
  <si>
    <t>Cash buffer at any time</t>
  </si>
  <si>
    <t>Cash available (after buffer)</t>
  </si>
  <si>
    <t>Outputs</t>
  </si>
  <si>
    <t>Full pension</t>
  </si>
  <si>
    <t>Pension reduction from early retirement</t>
  </si>
  <si>
    <t>QUICK START</t>
  </si>
  <si>
    <t>Your age</t>
  </si>
  <si>
    <t>Current net annual income</t>
  </si>
  <si>
    <t>Must be entered</t>
  </si>
  <si>
    <t>Net of tax, from employment or self-employment</t>
  </si>
  <si>
    <t>Total cash balances</t>
  </si>
  <si>
    <t>current and savings accounts, bonds, term deposits</t>
  </si>
  <si>
    <t>Current market value of equity portfolio</t>
  </si>
  <si>
    <t>Interest rate</t>
  </si>
  <si>
    <t>Monthly repayment</t>
  </si>
  <si>
    <t>Months remaining</t>
  </si>
  <si>
    <t>Years remaining</t>
  </si>
  <si>
    <t>Annual pension at retirement</t>
  </si>
  <si>
    <t>Net annual state pension entitlement</t>
  </si>
  <si>
    <t>Statutory retirement age</t>
  </si>
  <si>
    <t>Year at which pension starts</t>
  </si>
  <si>
    <t>DEEPER DIVE</t>
  </si>
  <si>
    <t>including inflation</t>
  </si>
  <si>
    <t>Years from now</t>
  </si>
  <si>
    <t>Leave blank if none</t>
  </si>
  <si>
    <t>Years to support</t>
  </si>
  <si>
    <t>Other income</t>
  </si>
  <si>
    <t>net annual after all costs and tax</t>
  </si>
  <si>
    <t>Annual living expenses</t>
  </si>
  <si>
    <t>Other loans</t>
  </si>
  <si>
    <t>Income Event 1</t>
  </si>
  <si>
    <t>Income Event 2</t>
  </si>
  <si>
    <t>Income Event 3</t>
  </si>
  <si>
    <t>Enter 0 or leave blank if none</t>
  </si>
  <si>
    <t>Expense Event 1</t>
  </si>
  <si>
    <t>Expense Event 2</t>
  </si>
  <si>
    <t>Expense Event 3</t>
  </si>
  <si>
    <t>Market value</t>
  </si>
  <si>
    <t>Annual costs</t>
  </si>
  <si>
    <t>Repairs, maintenance, etc.</t>
  </si>
  <si>
    <t xml:space="preserve">Investment Properties </t>
  </si>
  <si>
    <t>Other work income (net annual)</t>
  </si>
  <si>
    <t>FINER DETAILS</t>
  </si>
  <si>
    <t>Cash interest rate</t>
  </si>
  <si>
    <t>Stock market return</t>
  </si>
  <si>
    <t>Rental income annual increase</t>
  </si>
  <si>
    <t>Salary annual growth rate</t>
  </si>
  <si>
    <t>Property annual appreciation</t>
  </si>
  <si>
    <t>Pension reduction per year early</t>
  </si>
  <si>
    <t>From age</t>
  </si>
  <si>
    <t>To age</t>
  </si>
  <si>
    <t>Food, education, healthcare,
etc.</t>
  </si>
  <si>
    <t>Annual cost</t>
  </si>
  <si>
    <t>emergency reserve</t>
  </si>
  <si>
    <t>reduction in pension for each year retired early</t>
  </si>
  <si>
    <t>tax, broker and other fees</t>
  </si>
  <si>
    <t>Stock market selling costs</t>
  </si>
  <si>
    <t>Property disposal costs</t>
  </si>
  <si>
    <t xml:space="preserve">agency, tax, legal fees </t>
  </si>
  <si>
    <t>Property liquidation order</t>
  </si>
  <si>
    <t>0 = would never sell</t>
  </si>
  <si>
    <t>Major life expense events</t>
  </si>
  <si>
    <t>Major life income events</t>
  </si>
  <si>
    <t>Major one-off income events</t>
  </si>
  <si>
    <t>Part-time / consulting / side projects etc. Leave blank if none</t>
  </si>
  <si>
    <t>Assumed cleared in Year 1. Leave blank if none</t>
  </si>
  <si>
    <t>Leave blank if not a home owner</t>
  </si>
  <si>
    <t>Leave blank if no mortgage</t>
  </si>
  <si>
    <t>User Tooltips</t>
  </si>
  <si>
    <t>UI Notes</t>
  </si>
  <si>
    <t>Excel helpers</t>
  </si>
  <si>
    <t>Defaults</t>
  </si>
  <si>
    <t>Activated only if user wants to</t>
  </si>
  <si>
    <t>Works behind the scenes, show and allow edit if user wants to</t>
  </si>
  <si>
    <t>Hide until user enters dependent name</t>
  </si>
  <si>
    <t>Hide until user enters property name</t>
  </si>
  <si>
    <t>Show with property name only if name was entered</t>
  </si>
  <si>
    <t>Show only if other work income entered</t>
  </si>
  <si>
    <t>show only if not a home owner (B12="")</t>
  </si>
  <si>
    <t>Sliema</t>
  </si>
  <si>
    <t>Cash balance after disposals inc interest</t>
  </si>
  <si>
    <t>Retire at</t>
  </si>
  <si>
    <t>Cash available (after extra interest)</t>
  </si>
  <si>
    <t>Only show if value&gt;0 entered in B141</t>
  </si>
  <si>
    <t>User inputs</t>
  </si>
  <si>
    <t>Qormi</t>
  </si>
  <si>
    <t>Wedding</t>
  </si>
  <si>
    <t>John</t>
  </si>
  <si>
    <t>Jack</t>
  </si>
  <si>
    <t>Bill</t>
  </si>
  <si>
    <t>Gzira</t>
  </si>
  <si>
    <t>Inheritance</t>
  </si>
  <si>
    <t>Sell Painting</t>
  </si>
  <si>
    <t>Sell Jewels</t>
  </si>
  <si>
    <t>New Car</t>
  </si>
  <si>
    <t>New 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</si>
</sst>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#,##0\ ;\(#,##0\);\ \ \ \-\ "/>
    <numFmt numFmtId="165" formatCode="#,##0.0\ ;\(#,##0.0\);\ \ \ \-\ "/>
    <numFmt numFmtId="166" formatCode="0.0%"/>
    <numFmt numFmtId="167" formatCode="#,##0.00\ ;\(#,##0.00\);\ \ \ \-\ "/>
    <numFmt numFmtId="168" formatCode="0;0;"/>
    <numFmt numFmtId="169" formatCode=";;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0" tint="-0.499984740745262"/>
      <name val="Aptos Narrow"/>
      <scheme val="minor"/>
    </font>
    <font>
      <sz val="8"/>
      <name val="Aptos Narrow"/>
      <family val="2"/>
      <scheme val="minor"/>
    </font>
    <font>
      <sz val="12"/>
      <color rgb="FFC00000"/>
      <name val="Aptos Narrow"/>
      <scheme val="minor"/>
    </font>
    <font>
      <b/>
      <sz val="14"/>
      <color theme="1"/>
      <name val="Aptos Narrow"/>
      <scheme val="minor"/>
    </font>
    <font>
      <sz val="8"/>
      <color theme="0" tint="-0.249977111117893"/>
      <name val="Aptos Narrow"/>
      <scheme val="minor"/>
    </font>
    <font>
      <sz val="12"/>
      <name val="Aptos Narrow"/>
      <scheme val="minor"/>
    </font>
    <font>
      <i/>
      <sz val="10"/>
      <color theme="1"/>
      <name val="Aptos Narrow"/>
      <scheme val="minor"/>
    </font>
    <font>
      <sz val="12"/>
      <color rgb="FF9C5700"/>
      <name val="Aptos Narrow"/>
      <family val="2"/>
      <scheme val="minor"/>
    </font>
    <font>
      <b/>
      <sz val="12"/>
      <name val="Aptos Narrow"/>
      <scheme val="minor"/>
    </font>
    <font>
      <b/>
      <sz val="22"/>
      <color theme="1"/>
      <name val="Aptos Narrow"/>
      <scheme val="minor"/>
    </font>
    <font>
      <b/>
      <sz val="10"/>
      <name val="Aptos Narrow"/>
      <scheme val="minor"/>
    </font>
    <font>
      <sz val="10"/>
      <name val="Aptos Narrow"/>
      <scheme val="minor"/>
    </font>
    <font>
      <b/>
      <sz val="10"/>
      <color theme="0" tint="-0.499984740745262"/>
      <name val="Aptos Narrow"/>
      <scheme val="minor"/>
    </font>
    <font>
      <sz val="10"/>
      <color theme="0" tint="-0.499984740745262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EB9C"/>
      </patternFill>
    </fill>
    <fill>
      <patternFill patternType="solid">
        <fgColor rgb="FFFFFFCC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ED6"/>
        <bgColor indexed="64"/>
      </patternFill>
    </fill>
  </fills>
  <borders count="6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1" fillId="3" borderId="0" applyNumberFormat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3" fillId="0" borderId="0" xfId="0" applyFont="1"/>
    <xf numFmtId="164" fontId="4" fillId="0" borderId="0" xfId="0" applyNumberFormat="1" applyFont="1" applyAlignment="1">
      <alignment horizontal="right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right"/>
    </xf>
    <xf numFmtId="0" fontId="6" fillId="0" borderId="0" xfId="0" applyFont="1" applyAlignment="1">
      <alignment horizontal="center"/>
    </xf>
    <xf numFmtId="164" fontId="3" fillId="0" borderId="2" xfId="0" applyNumberFormat="1" applyFont="1" applyBorder="1" applyAlignment="1">
      <alignment horizontal="right"/>
    </xf>
    <xf numFmtId="43" fontId="3" fillId="0" borderId="0" xfId="2" applyFont="1" applyAlignment="1">
      <alignment horizontal="right"/>
    </xf>
    <xf numFmtId="164" fontId="2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left"/>
    </xf>
    <xf numFmtId="0" fontId="7" fillId="0" borderId="0" xfId="0" applyFont="1"/>
    <xf numFmtId="164" fontId="0" fillId="0" borderId="0" xfId="0" applyNumberFormat="1" applyAlignment="1">
      <alignment horizontal="right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indent="3"/>
    </xf>
    <xf numFmtId="0" fontId="3" fillId="0" borderId="0" xfId="0" applyFont="1" applyAlignment="1">
      <alignment horizontal="left" indent="4"/>
    </xf>
    <xf numFmtId="0" fontId="9" fillId="0" borderId="0" xfId="0" applyFont="1" applyAlignment="1">
      <alignment horizontal="left" indent="2"/>
    </xf>
    <xf numFmtId="0" fontId="9" fillId="0" borderId="0" xfId="0" applyFont="1" applyAlignment="1">
      <alignment horizontal="center"/>
    </xf>
    <xf numFmtId="164" fontId="9" fillId="0" borderId="0" xfId="0" applyNumberFormat="1" applyFont="1" applyAlignment="1">
      <alignment horizontal="right"/>
    </xf>
    <xf numFmtId="0" fontId="9" fillId="0" borderId="0" xfId="0" applyFont="1"/>
    <xf numFmtId="0" fontId="9" fillId="0" borderId="0" xfId="0" applyFont="1" applyAlignment="1">
      <alignment horizontal="left" indent="3"/>
    </xf>
    <xf numFmtId="43" fontId="3" fillId="0" borderId="0" xfId="2" applyFont="1" applyAlignment="1">
      <alignment horizontal="center"/>
    </xf>
    <xf numFmtId="164" fontId="3" fillId="0" borderId="0" xfId="2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7" fontId="10" fillId="0" borderId="0" xfId="0" quotePrefix="1" applyNumberFormat="1" applyFont="1" applyAlignment="1">
      <alignment horizontal="left" indent="1"/>
    </xf>
    <xf numFmtId="0" fontId="3" fillId="0" borderId="3" xfId="0" applyFont="1" applyBorder="1" applyAlignment="1">
      <alignment horizontal="left" indent="1"/>
    </xf>
    <xf numFmtId="0" fontId="7" fillId="0" borderId="3" xfId="0" applyFont="1" applyBorder="1"/>
    <xf numFmtId="0" fontId="3" fillId="0" borderId="3" xfId="0" applyFont="1" applyBorder="1" applyAlignment="1">
      <alignment horizontal="center"/>
    </xf>
    <xf numFmtId="164" fontId="3" fillId="0" borderId="3" xfId="0" applyNumberFormat="1" applyFont="1" applyBorder="1" applyAlignment="1">
      <alignment horizontal="right"/>
    </xf>
    <xf numFmtId="164" fontId="6" fillId="0" borderId="3" xfId="0" applyNumberFormat="1" applyFont="1" applyBorder="1" applyAlignment="1">
      <alignment horizontal="left"/>
    </xf>
    <xf numFmtId="0" fontId="2" fillId="0" borderId="3" xfId="0" applyFont="1" applyBorder="1" applyAlignment="1">
      <alignment horizontal="left" indent="1"/>
    </xf>
    <xf numFmtId="0" fontId="3" fillId="0" borderId="0" xfId="0" applyFont="1" applyAlignment="1">
      <alignment horizontal="left"/>
    </xf>
    <xf numFmtId="164" fontId="3" fillId="0" borderId="0" xfId="0" applyNumberFormat="1" applyFont="1"/>
    <xf numFmtId="0" fontId="1" fillId="3" borderId="0" xfId="3" applyFont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0" xfId="0" applyFont="1" applyAlignment="1">
      <alignment horizontal="left" indent="1"/>
    </xf>
    <xf numFmtId="164" fontId="9" fillId="2" borderId="1" xfId="0" applyNumberFormat="1" applyFont="1" applyFill="1" applyBorder="1" applyAlignment="1" applyProtection="1">
      <alignment horizontal="center"/>
      <protection locked="0"/>
    </xf>
    <xf numFmtId="166" fontId="9" fillId="2" borderId="1" xfId="0" applyNumberFormat="1" applyFont="1" applyFill="1" applyBorder="1" applyAlignment="1" applyProtection="1">
      <alignment horizontal="center"/>
      <protection locked="0"/>
    </xf>
    <xf numFmtId="164" fontId="9" fillId="0" borderId="0" xfId="0" applyNumberFormat="1" applyFont="1" applyAlignment="1">
      <alignment horizontal="center"/>
    </xf>
    <xf numFmtId="0" fontId="9" fillId="2" borderId="1" xfId="0" applyFont="1" applyFill="1" applyBorder="1" applyAlignment="1" applyProtection="1">
      <alignment horizontal="center"/>
      <protection locked="0"/>
    </xf>
    <xf numFmtId="0" fontId="9" fillId="4" borderId="4" xfId="0" applyFont="1" applyFill="1" applyBorder="1" applyAlignment="1" applyProtection="1">
      <alignment horizontal="center"/>
      <protection locked="0"/>
    </xf>
    <xf numFmtId="9" fontId="9" fillId="2" borderId="1" xfId="0" applyNumberFormat="1" applyFont="1" applyFill="1" applyBorder="1" applyAlignment="1" applyProtection="1">
      <alignment horizontal="center"/>
      <protection locked="0"/>
    </xf>
    <xf numFmtId="166" fontId="9" fillId="2" borderId="1" xfId="1" applyNumberFormat="1" applyFont="1" applyFill="1" applyBorder="1" applyAlignment="1" applyProtection="1">
      <alignment horizontal="center"/>
      <protection locked="0"/>
    </xf>
    <xf numFmtId="9" fontId="9" fillId="2" borderId="1" xfId="1" applyFont="1" applyFill="1" applyBorder="1" applyAlignment="1" applyProtection="1">
      <alignment horizontal="center"/>
      <protection locked="0"/>
    </xf>
    <xf numFmtId="168" fontId="9" fillId="2" borderId="1" xfId="2" applyNumberFormat="1" applyFont="1" applyFill="1" applyBorder="1" applyAlignment="1" applyProtection="1">
      <alignment horizontal="center"/>
      <protection locked="0"/>
    </xf>
    <xf numFmtId="0" fontId="12" fillId="0" borderId="3" xfId="0" applyFont="1" applyBorder="1" applyAlignment="1">
      <alignment horizontal="center"/>
    </xf>
    <xf numFmtId="165" fontId="9" fillId="0" borderId="0" xfId="0" applyNumberFormat="1" applyFont="1" applyAlignment="1">
      <alignment horizontal="center"/>
    </xf>
    <xf numFmtId="0" fontId="9" fillId="5" borderId="0" xfId="0" applyFont="1" applyFill="1"/>
    <xf numFmtId="164" fontId="9" fillId="0" borderId="5" xfId="0" applyNumberFormat="1" applyFont="1" applyBorder="1" applyAlignment="1" applyProtection="1">
      <alignment horizontal="center"/>
      <protection locked="0"/>
    </xf>
    <xf numFmtId="9" fontId="9" fillId="0" borderId="5" xfId="0" applyNumberFormat="1" applyFont="1" applyBorder="1" applyAlignment="1" applyProtection="1">
      <alignment horizontal="center"/>
      <protection locked="0"/>
    </xf>
    <xf numFmtId="166" fontId="9" fillId="0" borderId="5" xfId="0" applyNumberFormat="1" applyFont="1" applyBorder="1" applyAlignment="1" applyProtection="1">
      <alignment horizontal="center"/>
      <protection locked="0"/>
    </xf>
    <xf numFmtId="166" fontId="9" fillId="0" borderId="5" xfId="1" applyNumberFormat="1" applyFont="1" applyFill="1" applyBorder="1" applyAlignment="1" applyProtection="1">
      <alignment horizontal="center"/>
      <protection locked="0"/>
    </xf>
    <xf numFmtId="9" fontId="9" fillId="0" borderId="5" xfId="1" applyFont="1" applyFill="1" applyBorder="1" applyAlignment="1" applyProtection="1">
      <alignment horizontal="center"/>
      <protection locked="0"/>
    </xf>
    <xf numFmtId="0" fontId="9" fillId="5" borderId="0" xfId="0" applyFont="1" applyFill="1" applyAlignment="1">
      <alignment horizontal="left" indent="3"/>
    </xf>
    <xf numFmtId="0" fontId="12" fillId="0" borderId="3" xfId="0" applyFont="1" applyBorder="1" applyAlignment="1">
      <alignment horizontal="left" indent="1"/>
    </xf>
    <xf numFmtId="0" fontId="12" fillId="0" borderId="0" xfId="0" applyFont="1" applyAlignment="1">
      <alignment horizontal="left" indent="2"/>
    </xf>
    <xf numFmtId="0" fontId="9" fillId="0" borderId="0" xfId="0" applyFont="1" applyAlignment="1">
      <alignment horizontal="left" indent="4"/>
    </xf>
    <xf numFmtId="168" fontId="9" fillId="0" borderId="0" xfId="0" applyNumberFormat="1" applyFont="1" applyAlignment="1">
      <alignment horizontal="left" indent="3"/>
    </xf>
    <xf numFmtId="0" fontId="9" fillId="0" borderId="0" xfId="0" applyFont="1" applyAlignment="1">
      <alignment horizontal="left" wrapText="1" indent="2"/>
    </xf>
    <xf numFmtId="169" fontId="9" fillId="0" borderId="0" xfId="0" applyNumberFormat="1" applyFont="1" applyAlignment="1">
      <alignment horizontal="left" indent="3"/>
    </xf>
    <xf numFmtId="0" fontId="7" fillId="0" borderId="0" xfId="0" applyFont="1" applyAlignment="1">
      <alignment horizontal="center"/>
    </xf>
    <xf numFmtId="0" fontId="14" fillId="5" borderId="0" xfId="0" applyFont="1" applyFill="1" applyAlignment="1">
      <alignment horizontal="left" indent="1"/>
    </xf>
    <xf numFmtId="0" fontId="15" fillId="0" borderId="0" xfId="0" applyFont="1"/>
    <xf numFmtId="0" fontId="15" fillId="0" borderId="0" xfId="0" applyFont="1" applyAlignment="1">
      <alignment horizontal="left" indent="1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43" fontId="15" fillId="0" borderId="0" xfId="2" applyFont="1" applyBorder="1" applyAlignment="1">
      <alignment horizontal="right"/>
    </xf>
    <xf numFmtId="164" fontId="15" fillId="0" borderId="0" xfId="0" applyNumberFormat="1" applyFont="1" applyAlignment="1">
      <alignment horizontal="right"/>
    </xf>
    <xf numFmtId="0" fontId="14" fillId="5" borderId="0" xfId="0" applyFont="1" applyFill="1"/>
    <xf numFmtId="43" fontId="15" fillId="0" borderId="0" xfId="2" applyFont="1" applyBorder="1" applyAlignment="1"/>
    <xf numFmtId="0" fontId="16" fillId="5" borderId="0" xfId="0" applyFont="1" applyFill="1" applyAlignment="1">
      <alignment horizontal="left"/>
    </xf>
    <xf numFmtId="0" fontId="17" fillId="0" borderId="0" xfId="0" applyFont="1"/>
    <xf numFmtId="0" fontId="17" fillId="0" borderId="0" xfId="0" applyFont="1" applyAlignment="1">
      <alignment horizontal="left"/>
    </xf>
    <xf numFmtId="43" fontId="17" fillId="0" borderId="0" xfId="2" applyFont="1" applyBorder="1" applyAlignment="1">
      <alignment horizontal="left"/>
    </xf>
    <xf numFmtId="165" fontId="17" fillId="0" borderId="0" xfId="0" applyNumberFormat="1" applyFont="1" applyAlignment="1">
      <alignment horizontal="center"/>
    </xf>
    <xf numFmtId="0" fontId="17" fillId="0" borderId="0" xfId="0" applyFont="1" applyAlignment="1">
      <alignment horizontal="left" indent="1"/>
    </xf>
    <xf numFmtId="0" fontId="17" fillId="0" borderId="0" xfId="0" applyFont="1" applyAlignment="1">
      <alignment horizontal="center"/>
    </xf>
    <xf numFmtId="0" fontId="13" fillId="6" borderId="0" xfId="0" applyFont="1" applyFill="1" applyAlignment="1">
      <alignment horizontal="center" vertical="center"/>
    </xf>
  </cellXfs>
  <cellStyles count="4">
    <cellStyle name="Comma" xfId="2" builtinId="3"/>
    <cellStyle name="Neutral" xfId="3" builtinId="28"/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FFFED6"/>
      <color rgb="FFFFFF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 b="1"/>
              <a:t>Cash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T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Output!$AA$2</c:f>
              <c:strCache>
                <c:ptCount val="1"/>
                <c:pt idx="0">
                  <c:v>Retire at  55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[0]!AgeRange</c:f>
              <c:numCache>
                <c:formatCode>General</c:formatCode>
                <c:ptCount val="37"/>
                <c:pt idx="0">
                  <c:v>49</c:v>
                </c:pt>
                <c:pt idx="1">
                  <c:v>50</c:v>
                </c:pt>
                <c:pt idx="2">
                  <c:v>51</c:v>
                </c:pt>
                <c:pt idx="3">
                  <c:v>52</c:v>
                </c:pt>
                <c:pt idx="4">
                  <c:v>53</c:v>
                </c:pt>
                <c:pt idx="5">
                  <c:v>54</c:v>
                </c:pt>
                <c:pt idx="6">
                  <c:v>55</c:v>
                </c:pt>
                <c:pt idx="7">
                  <c:v>56</c:v>
                </c:pt>
                <c:pt idx="8">
                  <c:v>57</c:v>
                </c:pt>
                <c:pt idx="9">
                  <c:v>58</c:v>
                </c:pt>
                <c:pt idx="10">
                  <c:v>59</c:v>
                </c:pt>
                <c:pt idx="11">
                  <c:v>60</c:v>
                </c:pt>
                <c:pt idx="12">
                  <c:v>61</c:v>
                </c:pt>
                <c:pt idx="13">
                  <c:v>62</c:v>
                </c:pt>
                <c:pt idx="14">
                  <c:v>63</c:v>
                </c:pt>
                <c:pt idx="15">
                  <c:v>64</c:v>
                </c:pt>
                <c:pt idx="16">
                  <c:v>65</c:v>
                </c:pt>
                <c:pt idx="17">
                  <c:v>66</c:v>
                </c:pt>
                <c:pt idx="18">
                  <c:v>67</c:v>
                </c:pt>
                <c:pt idx="19">
                  <c:v>68</c:v>
                </c:pt>
                <c:pt idx="20">
                  <c:v>69</c:v>
                </c:pt>
                <c:pt idx="21">
                  <c:v>70</c:v>
                </c:pt>
                <c:pt idx="22">
                  <c:v>71</c:v>
                </c:pt>
                <c:pt idx="23">
                  <c:v>72</c:v>
                </c:pt>
                <c:pt idx="24">
                  <c:v>73</c:v>
                </c:pt>
                <c:pt idx="25">
                  <c:v>74</c:v>
                </c:pt>
                <c:pt idx="26">
                  <c:v>75</c:v>
                </c:pt>
                <c:pt idx="27">
                  <c:v>76</c:v>
                </c:pt>
                <c:pt idx="28">
                  <c:v>77</c:v>
                </c:pt>
                <c:pt idx="29">
                  <c:v>78</c:v>
                </c:pt>
                <c:pt idx="30">
                  <c:v>79</c:v>
                </c:pt>
                <c:pt idx="31">
                  <c:v>80</c:v>
                </c:pt>
                <c:pt idx="32">
                  <c:v>81</c:v>
                </c:pt>
                <c:pt idx="33">
                  <c:v>82</c:v>
                </c:pt>
                <c:pt idx="34">
                  <c:v>83</c:v>
                </c:pt>
                <c:pt idx="35">
                  <c:v>84</c:v>
                </c:pt>
                <c:pt idx="36">
                  <c:v>85</c:v>
                </c:pt>
              </c:numCache>
            </c:numRef>
          </c:cat>
          <c:val>
            <c:numRef>
              <c:f>RetEarly_Engine!ChartCash_Early</c:f>
              <c:numCache>
                <c:formatCode>#,##0\ ;\(#,##0\);\ \ \ \-\ </c:formatCode>
                <c:ptCount val="37"/>
                <c:pt idx="0">
                  <c:v>75752.5</c:v>
                </c:pt>
                <c:pt idx="1">
                  <c:v>104902.8125</c:v>
                </c:pt>
                <c:pt idx="2">
                  <c:v>114244.71249999999</c:v>
                </c:pt>
                <c:pt idx="3">
                  <c:v>155351.48395239323</c:v>
                </c:pt>
                <c:pt idx="4">
                  <c:v>201221.49120440619</c:v>
                </c:pt>
                <c:pt idx="5">
                  <c:v>261189.83792477695</c:v>
                </c:pt>
                <c:pt idx="6">
                  <c:v>231316.96765010577</c:v>
                </c:pt>
                <c:pt idx="7">
                  <c:v>182082.45452169742</c:v>
                </c:pt>
                <c:pt idx="8">
                  <c:v>211064.10395191278</c:v>
                </c:pt>
                <c:pt idx="9">
                  <c:v>145851.09277158603</c:v>
                </c:pt>
                <c:pt idx="10">
                  <c:v>130439.67534730829</c:v>
                </c:pt>
                <c:pt idx="11">
                  <c:v>114370.63741894731</c:v>
                </c:pt>
                <c:pt idx="12">
                  <c:v>97626.853316192486</c:v>
                </c:pt>
                <c:pt idx="13">
                  <c:v>80190.935794602876</c:v>
                </c:pt>
                <c:pt idx="14">
                  <c:v>62045.239171341629</c:v>
                </c:pt>
                <c:pt idx="15">
                  <c:v>43171.862946508052</c:v>
                </c:pt>
                <c:pt idx="16">
                  <c:v>43092.461169291615</c:v>
                </c:pt>
                <c:pt idx="17">
                  <c:v>50929.014126519869</c:v>
                </c:pt>
                <c:pt idx="18">
                  <c:v>59381.488177530009</c:v>
                </c:pt>
                <c:pt idx="19">
                  <c:v>68483.312318437413</c:v>
                </c:pt>
                <c:pt idx="20">
                  <c:v>78269.427968090327</c:v>
                </c:pt>
                <c:pt idx="21">
                  <c:v>68369.430980525751</c:v>
                </c:pt>
                <c:pt idx="22">
                  <c:v>58208.047989181272</c:v>
                </c:pt>
                <c:pt idx="23">
                  <c:v>47786.87315912747</c:v>
                </c:pt>
                <c:pt idx="24">
                  <c:v>40000</c:v>
                </c:pt>
                <c:pt idx="25">
                  <c:v>40000</c:v>
                </c:pt>
                <c:pt idx="26">
                  <c:v>40000</c:v>
                </c:pt>
                <c:pt idx="27">
                  <c:v>40000</c:v>
                </c:pt>
                <c:pt idx="28">
                  <c:v>40000</c:v>
                </c:pt>
                <c:pt idx="29">
                  <c:v>40000</c:v>
                </c:pt>
                <c:pt idx="30">
                  <c:v>40000</c:v>
                </c:pt>
                <c:pt idx="31">
                  <c:v>40000</c:v>
                </c:pt>
                <c:pt idx="32">
                  <c:v>40000</c:v>
                </c:pt>
                <c:pt idx="33">
                  <c:v>40303.747886207013</c:v>
                </c:pt>
                <c:pt idx="34">
                  <c:v>41019.393838176358</c:v>
                </c:pt>
                <c:pt idx="35">
                  <c:v>42179.427619197042</c:v>
                </c:pt>
                <c:pt idx="36">
                  <c:v>43818.068585504254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00-C94B-93B6-9E84AE83035F}"/>
            </c:ext>
          </c:extLst>
        </c:ser>
        <c:ser>
          <c:idx val="2"/>
          <c:order val="1"/>
          <c:tx>
            <c:strRef>
              <c:f>Output!$AA$3</c:f>
              <c:strCache>
                <c:ptCount val="1"/>
                <c:pt idx="0">
                  <c:v>Retire at  65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[0]!AgeRange</c:f>
              <c:numCache>
                <c:formatCode>General</c:formatCode>
                <c:ptCount val="37"/>
                <c:pt idx="0">
                  <c:v>49</c:v>
                </c:pt>
                <c:pt idx="1">
                  <c:v>50</c:v>
                </c:pt>
                <c:pt idx="2">
                  <c:v>51</c:v>
                </c:pt>
                <c:pt idx="3">
                  <c:v>52</c:v>
                </c:pt>
                <c:pt idx="4">
                  <c:v>53</c:v>
                </c:pt>
                <c:pt idx="5">
                  <c:v>54</c:v>
                </c:pt>
                <c:pt idx="6">
                  <c:v>55</c:v>
                </c:pt>
                <c:pt idx="7">
                  <c:v>56</c:v>
                </c:pt>
                <c:pt idx="8">
                  <c:v>57</c:v>
                </c:pt>
                <c:pt idx="9">
                  <c:v>58</c:v>
                </c:pt>
                <c:pt idx="10">
                  <c:v>59</c:v>
                </c:pt>
                <c:pt idx="11">
                  <c:v>60</c:v>
                </c:pt>
                <c:pt idx="12">
                  <c:v>61</c:v>
                </c:pt>
                <c:pt idx="13">
                  <c:v>62</c:v>
                </c:pt>
                <c:pt idx="14">
                  <c:v>63</c:v>
                </c:pt>
                <c:pt idx="15">
                  <c:v>64</c:v>
                </c:pt>
                <c:pt idx="16">
                  <c:v>65</c:v>
                </c:pt>
                <c:pt idx="17">
                  <c:v>66</c:v>
                </c:pt>
                <c:pt idx="18">
                  <c:v>67</c:v>
                </c:pt>
                <c:pt idx="19">
                  <c:v>68</c:v>
                </c:pt>
                <c:pt idx="20">
                  <c:v>69</c:v>
                </c:pt>
                <c:pt idx="21">
                  <c:v>70</c:v>
                </c:pt>
                <c:pt idx="22">
                  <c:v>71</c:v>
                </c:pt>
                <c:pt idx="23">
                  <c:v>72</c:v>
                </c:pt>
                <c:pt idx="24">
                  <c:v>73</c:v>
                </c:pt>
                <c:pt idx="25">
                  <c:v>74</c:v>
                </c:pt>
                <c:pt idx="26">
                  <c:v>75</c:v>
                </c:pt>
                <c:pt idx="27">
                  <c:v>76</c:v>
                </c:pt>
                <c:pt idx="28">
                  <c:v>77</c:v>
                </c:pt>
                <c:pt idx="29">
                  <c:v>78</c:v>
                </c:pt>
                <c:pt idx="30">
                  <c:v>79</c:v>
                </c:pt>
                <c:pt idx="31">
                  <c:v>80</c:v>
                </c:pt>
                <c:pt idx="32">
                  <c:v>81</c:v>
                </c:pt>
                <c:pt idx="33">
                  <c:v>82</c:v>
                </c:pt>
                <c:pt idx="34">
                  <c:v>83</c:v>
                </c:pt>
                <c:pt idx="35">
                  <c:v>84</c:v>
                </c:pt>
                <c:pt idx="36">
                  <c:v>85</c:v>
                </c:pt>
              </c:numCache>
            </c:numRef>
          </c:cat>
          <c:val>
            <c:numRef>
              <c:f>[0]!ChartCash_Norm</c:f>
              <c:numCache>
                <c:formatCode>#,##0\ ;\(#,##0\);\ \ \ \-\ </c:formatCode>
                <c:ptCount val="37"/>
                <c:pt idx="0">
                  <c:v>75752.5</c:v>
                </c:pt>
                <c:pt idx="1">
                  <c:v>104902.8125</c:v>
                </c:pt>
                <c:pt idx="2">
                  <c:v>114244.71249999999</c:v>
                </c:pt>
                <c:pt idx="3">
                  <c:v>155351.48395239323</c:v>
                </c:pt>
                <c:pt idx="4">
                  <c:v>201221.49120440619</c:v>
                </c:pt>
                <c:pt idx="5">
                  <c:v>261189.83792477695</c:v>
                </c:pt>
                <c:pt idx="6">
                  <c:v>328035.20366895478</c:v>
                </c:pt>
                <c:pt idx="7">
                  <c:v>380838.42954043212</c:v>
                </c:pt>
                <c:pt idx="8">
                  <c:v>517397.35493851278</c:v>
                </c:pt>
                <c:pt idx="9">
                  <c:v>565529.30292301986</c:v>
                </c:pt>
                <c:pt idx="10">
                  <c:v>669467.06747940183</c:v>
                </c:pt>
                <c:pt idx="11">
                  <c:v>778996.65788302326</c:v>
                </c:pt>
                <c:pt idx="12">
                  <c:v>894355.15612641082</c:v>
                </c:pt>
                <c:pt idx="13">
                  <c:v>1015788.6769646533</c:v>
                </c:pt>
                <c:pt idx="14">
                  <c:v>1143552.6915839072</c:v>
                </c:pt>
                <c:pt idx="15">
                  <c:v>1277912.3624140497</c:v>
                </c:pt>
                <c:pt idx="16">
                  <c:v>1313210.6589462783</c:v>
                </c:pt>
                <c:pt idx="17">
                  <c:v>1357422.0823162566</c:v>
                </c:pt>
                <c:pt idx="18">
                  <c:v>1403274.3464270437</c:v>
                </c:pt>
                <c:pt idx="19">
                  <c:v>1450829.3919630982</c:v>
                </c:pt>
                <c:pt idx="20">
                  <c:v>1500151.4570412496</c:v>
                </c:pt>
                <c:pt idx="21">
                  <c:v>1530900.2406538306</c:v>
                </c:pt>
                <c:pt idx="22">
                  <c:v>1562531.4010244682</c:v>
                </c:pt>
                <c:pt idx="23">
                  <c:v>1595078.31496845</c:v>
                </c:pt>
                <c:pt idx="24">
                  <c:v>1628575.7309353678</c:v>
                </c:pt>
                <c:pt idx="25">
                  <c:v>1663059.824358695</c:v>
                </c:pt>
                <c:pt idx="26">
                  <c:v>1698568.2551444201</c:v>
                </c:pt>
                <c:pt idx="27">
                  <c:v>1745000.9649706078</c:v>
                </c:pt>
                <c:pt idx="28">
                  <c:v>1793031.0633963605</c:v>
                </c:pt>
                <c:pt idx="29">
                  <c:v>1842719.5201560468</c:v>
                </c:pt>
                <c:pt idx="30">
                  <c:v>1894129.6587253201</c:v>
                </c:pt>
                <c:pt idx="31">
                  <c:v>1947327.2450107713</c:v>
                </c:pt>
                <c:pt idx="32">
                  <c:v>2002380.5792762381</c:v>
                </c:pt>
                <c:pt idx="33">
                  <c:v>2059360.5914203662</c:v>
                </c:pt>
                <c:pt idx="34">
                  <c:v>2118340.9397239783</c:v>
                </c:pt>
                <c:pt idx="35">
                  <c:v>2179398.1131898882</c:v>
                </c:pt>
                <c:pt idx="36">
                  <c:v>2242611.5376020237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00-C94B-93B6-9E84AE830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3642623"/>
        <c:axId val="1403644863"/>
      </c:lineChart>
      <c:catAx>
        <c:axId val="140364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T"/>
          </a:p>
        </c:txPr>
        <c:crossAx val="1403644863"/>
        <c:crosses val="autoZero"/>
        <c:auto val="1"/>
        <c:lblAlgn val="ctr"/>
        <c:lblOffset val="100"/>
        <c:tickLblSkip val="2"/>
        <c:noMultiLvlLbl val="0"/>
      </c:catAx>
      <c:valAx>
        <c:axId val="140364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;\(#,##0\);\ \ \ \-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T"/>
          </a:p>
        </c:txPr>
        <c:crossAx val="1403642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T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M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 b="1"/>
              <a:t>Net Worth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T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Output!$AA$2</c:f>
              <c:strCache>
                <c:ptCount val="1"/>
                <c:pt idx="0">
                  <c:v>Retire at  55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[0]!AgeRange</c:f>
              <c:numCache>
                <c:formatCode>General</c:formatCode>
                <c:ptCount val="37"/>
                <c:pt idx="0">
                  <c:v>49</c:v>
                </c:pt>
                <c:pt idx="1">
                  <c:v>50</c:v>
                </c:pt>
                <c:pt idx="2">
                  <c:v>51</c:v>
                </c:pt>
                <c:pt idx="3">
                  <c:v>52</c:v>
                </c:pt>
                <c:pt idx="4">
                  <c:v>53</c:v>
                </c:pt>
                <c:pt idx="5">
                  <c:v>54</c:v>
                </c:pt>
                <c:pt idx="6">
                  <c:v>55</c:v>
                </c:pt>
                <c:pt idx="7">
                  <c:v>56</c:v>
                </c:pt>
                <c:pt idx="8">
                  <c:v>57</c:v>
                </c:pt>
                <c:pt idx="9">
                  <c:v>58</c:v>
                </c:pt>
                <c:pt idx="10">
                  <c:v>59</c:v>
                </c:pt>
                <c:pt idx="11">
                  <c:v>60</c:v>
                </c:pt>
                <c:pt idx="12">
                  <c:v>61</c:v>
                </c:pt>
                <c:pt idx="13">
                  <c:v>62</c:v>
                </c:pt>
                <c:pt idx="14">
                  <c:v>63</c:v>
                </c:pt>
                <c:pt idx="15">
                  <c:v>64</c:v>
                </c:pt>
                <c:pt idx="16">
                  <c:v>65</c:v>
                </c:pt>
                <c:pt idx="17">
                  <c:v>66</c:v>
                </c:pt>
                <c:pt idx="18">
                  <c:v>67</c:v>
                </c:pt>
                <c:pt idx="19">
                  <c:v>68</c:v>
                </c:pt>
                <c:pt idx="20">
                  <c:v>69</c:v>
                </c:pt>
                <c:pt idx="21">
                  <c:v>70</c:v>
                </c:pt>
                <c:pt idx="22">
                  <c:v>71</c:v>
                </c:pt>
                <c:pt idx="23">
                  <c:v>72</c:v>
                </c:pt>
                <c:pt idx="24">
                  <c:v>73</c:v>
                </c:pt>
                <c:pt idx="25">
                  <c:v>74</c:v>
                </c:pt>
                <c:pt idx="26">
                  <c:v>75</c:v>
                </c:pt>
                <c:pt idx="27">
                  <c:v>76</c:v>
                </c:pt>
                <c:pt idx="28">
                  <c:v>77</c:v>
                </c:pt>
                <c:pt idx="29">
                  <c:v>78</c:v>
                </c:pt>
                <c:pt idx="30">
                  <c:v>79</c:v>
                </c:pt>
                <c:pt idx="31">
                  <c:v>80</c:v>
                </c:pt>
                <c:pt idx="32">
                  <c:v>81</c:v>
                </c:pt>
                <c:pt idx="33">
                  <c:v>82</c:v>
                </c:pt>
                <c:pt idx="34">
                  <c:v>83</c:v>
                </c:pt>
                <c:pt idx="35">
                  <c:v>84</c:v>
                </c:pt>
                <c:pt idx="36">
                  <c:v>85</c:v>
                </c:pt>
              </c:numCache>
            </c:numRef>
          </c:cat>
          <c:val>
            <c:numRef>
              <c:f>RetEarly_Engine!ChartNW_Early</c:f>
              <c:numCache>
                <c:formatCode>#,##0\ ;\(#,##0\);\ \ \ \-\ </c:formatCode>
                <c:ptCount val="37"/>
                <c:pt idx="0">
                  <c:v>1306450.1098380252</c:v>
                </c:pt>
                <c:pt idx="1">
                  <c:v>1395707.6271802546</c:v>
                </c:pt>
                <c:pt idx="2">
                  <c:v>1467136.1463015494</c:v>
                </c:pt>
                <c:pt idx="3">
                  <c:v>1571603.3362318811</c:v>
                </c:pt>
                <c:pt idx="4">
                  <c:v>1681302.697570574</c:v>
                </c:pt>
                <c:pt idx="5">
                  <c:v>1803377.0200058362</c:v>
                </c:pt>
                <c:pt idx="6">
                  <c:v>1828796.9427019546</c:v>
                </c:pt>
                <c:pt idx="7">
                  <c:v>1836723.4904964631</c:v>
                </c:pt>
                <c:pt idx="8">
                  <c:v>1924524.6583618082</c:v>
                </c:pt>
                <c:pt idx="9">
                  <c:v>1917392.644456805</c:v>
                </c:pt>
                <c:pt idx="10">
                  <c:v>1958365.861078993</c:v>
                </c:pt>
                <c:pt idx="11">
                  <c:v>2000632.0672181644</c:v>
                </c:pt>
                <c:pt idx="12">
                  <c:v>2044253.3811846147</c:v>
                </c:pt>
                <c:pt idx="13">
                  <c:v>2089295.6950883246</c:v>
                </c:pt>
                <c:pt idx="14">
                  <c:v>2135828.9316802616</c:v>
                </c:pt>
                <c:pt idx="15">
                  <c:v>2183927.319901993</c:v>
                </c:pt>
                <c:pt idx="16">
                  <c:v>2253209.4957984425</c:v>
                </c:pt>
                <c:pt idx="17">
                  <c:v>2332899.5868767467</c:v>
                </c:pt>
                <c:pt idx="18">
                  <c:v>2415805.2073590416</c:v>
                </c:pt>
                <c:pt idx="19">
                  <c:v>2502073.2946640737</c:v>
                </c:pt>
                <c:pt idx="20">
                  <c:v>2591858.5454998696</c:v>
                </c:pt>
                <c:pt idx="21">
                  <c:v>2664916.9726112946</c:v>
                </c:pt>
                <c:pt idx="22">
                  <c:v>2740806.8264877512</c:v>
                </c:pt>
                <c:pt idx="23">
                  <c:v>2819670.8104810445</c:v>
                </c:pt>
                <c:pt idx="24">
                  <c:v>2901264.4769155099</c:v>
                </c:pt>
                <c:pt idx="25">
                  <c:v>2984780.5560026909</c:v>
                </c:pt>
                <c:pt idx="26">
                  <c:v>3070702.9065144737</c:v>
                </c:pt>
                <c:pt idx="27">
                  <c:v>3170318.7681246093</c:v>
                </c:pt>
                <c:pt idx="28">
                  <c:v>3273955.790734903</c:v>
                </c:pt>
                <c:pt idx="29">
                  <c:v>3381835.5164569579</c:v>
                </c:pt>
                <c:pt idx="30">
                  <c:v>3494194.910182226</c:v>
                </c:pt>
                <c:pt idx="31">
                  <c:v>3611287.5481506269</c:v>
                </c:pt>
                <c:pt idx="32">
                  <c:v>3733384.9009952871</c:v>
                </c:pt>
                <c:pt idx="33">
                  <c:v>3860736.1533255321</c:v>
                </c:pt>
                <c:pt idx="34">
                  <c:v>3993610.4054479953</c:v>
                </c:pt>
                <c:pt idx="35">
                  <c:v>4132297.4543052092</c:v>
                </c:pt>
                <c:pt idx="36">
                  <c:v>4277104.8635782273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00-C94B-93B6-9E84AE83035F}"/>
            </c:ext>
          </c:extLst>
        </c:ser>
        <c:ser>
          <c:idx val="2"/>
          <c:order val="1"/>
          <c:tx>
            <c:strRef>
              <c:f>Output!$AA$3</c:f>
              <c:strCache>
                <c:ptCount val="1"/>
                <c:pt idx="0">
                  <c:v>Retire at  65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[0]!AgeRange</c:f>
              <c:numCache>
                <c:formatCode>General</c:formatCode>
                <c:ptCount val="37"/>
                <c:pt idx="0">
                  <c:v>49</c:v>
                </c:pt>
                <c:pt idx="1">
                  <c:v>50</c:v>
                </c:pt>
                <c:pt idx="2">
                  <c:v>51</c:v>
                </c:pt>
                <c:pt idx="3">
                  <c:v>52</c:v>
                </c:pt>
                <c:pt idx="4">
                  <c:v>53</c:v>
                </c:pt>
                <c:pt idx="5">
                  <c:v>54</c:v>
                </c:pt>
                <c:pt idx="6">
                  <c:v>55</c:v>
                </c:pt>
                <c:pt idx="7">
                  <c:v>56</c:v>
                </c:pt>
                <c:pt idx="8">
                  <c:v>57</c:v>
                </c:pt>
                <c:pt idx="9">
                  <c:v>58</c:v>
                </c:pt>
                <c:pt idx="10">
                  <c:v>59</c:v>
                </c:pt>
                <c:pt idx="11">
                  <c:v>60</c:v>
                </c:pt>
                <c:pt idx="12">
                  <c:v>61</c:v>
                </c:pt>
                <c:pt idx="13">
                  <c:v>62</c:v>
                </c:pt>
                <c:pt idx="14">
                  <c:v>63</c:v>
                </c:pt>
                <c:pt idx="15">
                  <c:v>64</c:v>
                </c:pt>
                <c:pt idx="16">
                  <c:v>65</c:v>
                </c:pt>
                <c:pt idx="17">
                  <c:v>66</c:v>
                </c:pt>
                <c:pt idx="18">
                  <c:v>67</c:v>
                </c:pt>
                <c:pt idx="19">
                  <c:v>68</c:v>
                </c:pt>
                <c:pt idx="20">
                  <c:v>69</c:v>
                </c:pt>
                <c:pt idx="21">
                  <c:v>70</c:v>
                </c:pt>
                <c:pt idx="22">
                  <c:v>71</c:v>
                </c:pt>
                <c:pt idx="23">
                  <c:v>72</c:v>
                </c:pt>
                <c:pt idx="24">
                  <c:v>73</c:v>
                </c:pt>
                <c:pt idx="25">
                  <c:v>74</c:v>
                </c:pt>
                <c:pt idx="26">
                  <c:v>75</c:v>
                </c:pt>
                <c:pt idx="27">
                  <c:v>76</c:v>
                </c:pt>
                <c:pt idx="28">
                  <c:v>77</c:v>
                </c:pt>
                <c:pt idx="29">
                  <c:v>78</c:v>
                </c:pt>
                <c:pt idx="30">
                  <c:v>79</c:v>
                </c:pt>
                <c:pt idx="31">
                  <c:v>80</c:v>
                </c:pt>
                <c:pt idx="32">
                  <c:v>81</c:v>
                </c:pt>
                <c:pt idx="33">
                  <c:v>82</c:v>
                </c:pt>
                <c:pt idx="34">
                  <c:v>83</c:v>
                </c:pt>
                <c:pt idx="35">
                  <c:v>84</c:v>
                </c:pt>
                <c:pt idx="36">
                  <c:v>85</c:v>
                </c:pt>
              </c:numCache>
            </c:numRef>
          </c:cat>
          <c:val>
            <c:numRef>
              <c:f>[0]!ChartNW_Norm</c:f>
              <c:numCache>
                <c:formatCode>#,##0\ ;\(#,##0\);\ \ \ \-\ </c:formatCode>
                <c:ptCount val="37"/>
                <c:pt idx="0">
                  <c:v>1306450.1098380252</c:v>
                </c:pt>
                <c:pt idx="1">
                  <c:v>1395707.6271802546</c:v>
                </c:pt>
                <c:pt idx="2">
                  <c:v>1467136.1463015494</c:v>
                </c:pt>
                <c:pt idx="3">
                  <c:v>1571603.3362318811</c:v>
                </c:pt>
                <c:pt idx="4">
                  <c:v>1681302.697570574</c:v>
                </c:pt>
                <c:pt idx="5">
                  <c:v>1803377.0200058362</c:v>
                </c:pt>
                <c:pt idx="6">
                  <c:v>1925515.1787208037</c:v>
                </c:pt>
                <c:pt idx="7">
                  <c:v>2035479.4655151977</c:v>
                </c:pt>
                <c:pt idx="8">
                  <c:v>2230857.9093484082</c:v>
                </c:pt>
                <c:pt idx="9">
                  <c:v>2337070.8546082387</c:v>
                </c:pt>
                <c:pt idx="10">
                  <c:v>2497393.2532110862</c:v>
                </c:pt>
                <c:pt idx="11">
                  <c:v>2665258.0876822406</c:v>
                </c:pt>
                <c:pt idx="12">
                  <c:v>2840981.6839948334</c:v>
                </c:pt>
                <c:pt idx="13">
                  <c:v>3024893.4362583752</c:v>
                </c:pt>
                <c:pt idx="14">
                  <c:v>3217336.3840928273</c:v>
                </c:pt>
                <c:pt idx="15">
                  <c:v>3418667.8193695345</c:v>
                </c:pt>
                <c:pt idx="16">
                  <c:v>3523327.6935754288</c:v>
                </c:pt>
                <c:pt idx="17">
                  <c:v>3639392.6550664837</c:v>
                </c:pt>
                <c:pt idx="18">
                  <c:v>3759698.0656085555</c:v>
                </c:pt>
                <c:pt idx="19">
                  <c:v>3884419.3743087347</c:v>
                </c:pt>
                <c:pt idx="20">
                  <c:v>4013740.5745730293</c:v>
                </c:pt>
                <c:pt idx="21">
                  <c:v>4127447.7822845993</c:v>
                </c:pt>
                <c:pt idx="22">
                  <c:v>4245130.1795230387</c:v>
                </c:pt>
                <c:pt idx="23">
                  <c:v>4366962.2522903671</c:v>
                </c:pt>
                <c:pt idx="24">
                  <c:v>4493127.9574828027</c:v>
                </c:pt>
                <c:pt idx="25">
                  <c:v>4623821.3304968812</c:v>
                </c:pt>
                <c:pt idx="26">
                  <c:v>4759247.136284628</c:v>
                </c:pt>
                <c:pt idx="27">
                  <c:v>4909482.3047483265</c:v>
                </c:pt>
                <c:pt idx="28">
                  <c:v>5065387.5029469803</c:v>
                </c:pt>
                <c:pt idx="29">
                  <c:v>5227222.5652391212</c:v>
                </c:pt>
                <c:pt idx="30">
                  <c:v>5395261.7804944962</c:v>
                </c:pt>
                <c:pt idx="31">
                  <c:v>5569794.8345933221</c:v>
                </c:pt>
                <c:pt idx="32">
                  <c:v>5751127.821039388</c:v>
                </c:pt>
                <c:pt idx="33">
                  <c:v>5939584.3248889837</c:v>
                </c:pt>
                <c:pt idx="34">
                  <c:v>6135506.5856054332</c:v>
                </c:pt>
                <c:pt idx="35">
                  <c:v>6339256.7448892677</c:v>
                </c:pt>
                <c:pt idx="36">
                  <c:v>6551218.1860091835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00-C94B-93B6-9E84AE830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3642623"/>
        <c:axId val="1403644863"/>
      </c:lineChart>
      <c:catAx>
        <c:axId val="140364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T"/>
          </a:p>
        </c:txPr>
        <c:crossAx val="1403644863"/>
        <c:crosses val="autoZero"/>
        <c:auto val="1"/>
        <c:lblAlgn val="ctr"/>
        <c:lblOffset val="100"/>
        <c:tickLblSkip val="2"/>
        <c:noMultiLvlLbl val="0"/>
      </c:catAx>
      <c:valAx>
        <c:axId val="140364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;\(#,##0\);\ \ \ \-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T"/>
          </a:p>
        </c:txPr>
        <c:crossAx val="1403642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T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M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pin" dx="15" fmlaLink="RetEarly_Engine!$B$3" max="65" min="18" page="10" val="55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297479</xdr:colOff>
      <xdr:row>1</xdr:row>
      <xdr:rowOff>128162</xdr:rowOff>
    </xdr:from>
    <xdr:to>
      <xdr:col>10</xdr:col>
      <xdr:colOff>297478</xdr:colOff>
      <xdr:row>30</xdr:row>
      <xdr:rowOff>160180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4EF6F3C-5549-FFD1-5465-CCE02109B7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423336</xdr:colOff>
      <xdr:row>1</xdr:row>
      <xdr:rowOff>128162</xdr:rowOff>
    </xdr:from>
    <xdr:to>
      <xdr:col>20</xdr:col>
      <xdr:colOff>423336</xdr:colOff>
      <xdr:row>30</xdr:row>
      <xdr:rowOff>160180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22D580-9C83-6C91-B509-F2CDB56D14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21</xdr:col>
          <xdr:colOff>38100</xdr:colOff>
          <xdr:row>4</xdr:row>
          <xdr:rowOff>63500</xdr:rowOff>
        </xdr:from>
        <xdr:to>
          <xdr:col>21</xdr:col>
          <xdr:colOff>660400</xdr:colOff>
          <xdr:row>9</xdr:row>
          <xdr:rowOff>63500</xdr:rowOff>
        </xdr:to>
        <xdr:sp macro="" textlink="">
          <xdr:nvSpPr>
            <xdr:cNvPr id="2049" name="Spinner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6C09A-970C-8B4A-8DAA-2452C038377E}">
  <sheetPr codeName="Sheet1">
    <tabColor rgb="FFFFFF00"/>
  </sheetPr>
  <dimension ref="A1:M176"/>
  <sheetViews>
    <sheetView zoomScale="135" zoomScaleNormal="120" workbookViewId="0">
      <pane ySplit="1" topLeftCell="A2" activePane="bottomLeft" state="frozen"/>
      <selection pane="bottomLeft" activeCell="C159" sqref="C159"/>
    </sheetView>
  </sheetViews>
  <sheetFormatPr baseColWidth="10" defaultRowHeight="16" x14ac:dyDescent="0.2"/>
  <cols>
    <col min="1" max="1" width="37.83203125" style="24" customWidth="1"/>
    <col min="2" max="2" width="11.6640625" style="21" customWidth="1"/>
    <col min="3" max="3" width="10.83203125" style="23"/>
    <col min="4" max="4" width="45.33203125" style="68" customWidth="1"/>
    <col min="5" max="5" width="43.83203125" style="66" bestFit="1" customWidth="1"/>
    <col min="6" max="6" width="16.1640625" style="76" customWidth="1"/>
    <col min="7" max="7" width="6.5" style="75" customWidth="1"/>
    <col min="8" max="11" width="10.83203125" style="23"/>
    <col min="12" max="12" width="10.83203125" style="2"/>
    <col min="13" max="16384" width="10.83203125" style="23"/>
  </cols>
  <sheetData>
    <row r="1" spans="1:12" ht="35" customHeight="1" x14ac:dyDescent="0.2">
      <c r="A1" s="57"/>
      <c r="B1" s="65" t="s">
        <v>170</v>
      </c>
      <c r="C1" s="51"/>
      <c r="D1" s="65" t="s">
        <v>154</v>
      </c>
      <c r="E1" s="72" t="s">
        <v>155</v>
      </c>
      <c r="F1" s="74" t="s">
        <v>156</v>
      </c>
      <c r="G1" s="74"/>
    </row>
    <row r="2" spans="1:12" x14ac:dyDescent="0.2">
      <c r="A2" s="58" t="s">
        <v>91</v>
      </c>
      <c r="B2" s="38"/>
      <c r="D2" s="66"/>
      <c r="F2" s="75"/>
      <c r="L2" s="23"/>
    </row>
    <row r="3" spans="1:12" x14ac:dyDescent="0.2">
      <c r="D3" s="67"/>
      <c r="L3" s="23"/>
    </row>
    <row r="4" spans="1:12" x14ac:dyDescent="0.2">
      <c r="A4" s="20" t="s">
        <v>92</v>
      </c>
      <c r="B4" s="40">
        <v>48</v>
      </c>
      <c r="D4" s="67" t="s">
        <v>94</v>
      </c>
      <c r="L4" s="23"/>
    </row>
    <row r="5" spans="1:12" x14ac:dyDescent="0.2">
      <c r="A5" s="20"/>
      <c r="D5" s="67"/>
      <c r="L5" s="23"/>
    </row>
    <row r="6" spans="1:12" x14ac:dyDescent="0.2">
      <c r="A6" s="20" t="s">
        <v>93</v>
      </c>
      <c r="B6" s="40">
        <v>80000</v>
      </c>
      <c r="D6" s="67" t="s">
        <v>95</v>
      </c>
      <c r="L6" s="23"/>
    </row>
    <row r="7" spans="1:12" x14ac:dyDescent="0.2">
      <c r="A7" s="20"/>
      <c r="D7" s="67"/>
      <c r="L7" s="23"/>
    </row>
    <row r="8" spans="1:12" x14ac:dyDescent="0.2">
      <c r="A8" s="20" t="s">
        <v>96</v>
      </c>
      <c r="B8" s="40">
        <v>50000</v>
      </c>
      <c r="D8" s="67" t="s">
        <v>97</v>
      </c>
      <c r="L8" s="23"/>
    </row>
    <row r="9" spans="1:12" x14ac:dyDescent="0.2">
      <c r="A9" s="20"/>
      <c r="D9" s="67"/>
      <c r="L9" s="23"/>
    </row>
    <row r="10" spans="1:12" x14ac:dyDescent="0.2">
      <c r="A10" s="20" t="s">
        <v>0</v>
      </c>
      <c r="B10" s="40">
        <v>30000</v>
      </c>
      <c r="D10" s="67" t="s">
        <v>98</v>
      </c>
      <c r="L10" s="23"/>
    </row>
    <row r="11" spans="1:12" x14ac:dyDescent="0.2">
      <c r="A11" s="20"/>
      <c r="D11" s="67"/>
      <c r="L11" s="23"/>
    </row>
    <row r="12" spans="1:12" x14ac:dyDescent="0.2">
      <c r="A12" s="20" t="s">
        <v>33</v>
      </c>
      <c r="B12" s="40">
        <v>600000</v>
      </c>
      <c r="D12" s="67" t="s">
        <v>152</v>
      </c>
      <c r="L12" s="23"/>
    </row>
    <row r="13" spans="1:12" x14ac:dyDescent="0.2">
      <c r="A13" s="20"/>
      <c r="D13" s="67"/>
      <c r="L13" s="23"/>
    </row>
    <row r="14" spans="1:12" x14ac:dyDescent="0.2">
      <c r="A14" s="20" t="s">
        <v>37</v>
      </c>
      <c r="E14" s="73"/>
      <c r="L14" s="23"/>
    </row>
    <row r="15" spans="1:12" x14ac:dyDescent="0.2">
      <c r="A15" s="24" t="s">
        <v>42</v>
      </c>
      <c r="B15" s="40">
        <v>50000</v>
      </c>
      <c r="D15" s="67" t="s">
        <v>153</v>
      </c>
      <c r="F15" s="77" t="s">
        <v>101</v>
      </c>
      <c r="G15" s="78">
        <f>IFERROR(NPER(B16/12,-B17,B15),"")</f>
        <v>68.044528885100064</v>
      </c>
      <c r="L15" s="23"/>
    </row>
    <row r="16" spans="1:12" x14ac:dyDescent="0.2">
      <c r="A16" s="24" t="s">
        <v>99</v>
      </c>
      <c r="B16" s="41">
        <v>0.03</v>
      </c>
      <c r="D16" s="67"/>
      <c r="F16" s="77" t="s">
        <v>102</v>
      </c>
      <c r="G16" s="78">
        <f>IFERROR(G15/12,"")</f>
        <v>5.6703774070916717</v>
      </c>
      <c r="L16" s="23"/>
    </row>
    <row r="17" spans="1:12" x14ac:dyDescent="0.2">
      <c r="A17" s="24" t="s">
        <v>100</v>
      </c>
      <c r="B17" s="40">
        <v>800</v>
      </c>
      <c r="D17" s="67"/>
      <c r="L17" s="23"/>
    </row>
    <row r="18" spans="1:12" x14ac:dyDescent="0.2">
      <c r="A18" s="20"/>
      <c r="D18" s="67"/>
      <c r="L18" s="23"/>
    </row>
    <row r="19" spans="1:12" x14ac:dyDescent="0.2">
      <c r="A19" s="20" t="s">
        <v>105</v>
      </c>
      <c r="B19" s="40">
        <v>65</v>
      </c>
      <c r="D19" s="67" t="s">
        <v>106</v>
      </c>
      <c r="L19" s="23"/>
    </row>
    <row r="20" spans="1:12" x14ac:dyDescent="0.2">
      <c r="A20" s="20"/>
      <c r="B20" s="42"/>
      <c r="D20" s="67"/>
      <c r="L20" s="23"/>
    </row>
    <row r="21" spans="1:12" x14ac:dyDescent="0.2">
      <c r="A21" s="20" t="s">
        <v>103</v>
      </c>
      <c r="B21" s="40">
        <v>16000</v>
      </c>
      <c r="D21" s="67" t="s">
        <v>104</v>
      </c>
      <c r="L21" s="23"/>
    </row>
    <row r="22" spans="1:12" x14ac:dyDescent="0.2">
      <c r="A22" s="20"/>
      <c r="D22" s="67"/>
      <c r="L22" s="23"/>
    </row>
    <row r="23" spans="1:12" x14ac:dyDescent="0.2">
      <c r="A23" s="20" t="s">
        <v>5</v>
      </c>
      <c r="B23" s="40"/>
      <c r="D23" s="67" t="s">
        <v>53</v>
      </c>
      <c r="E23" s="66" t="s">
        <v>164</v>
      </c>
      <c r="L23" s="23"/>
    </row>
    <row r="24" spans="1:12" x14ac:dyDescent="0.2">
      <c r="A24" s="20"/>
      <c r="D24" s="67"/>
      <c r="L24" s="23"/>
    </row>
    <row r="25" spans="1:12" x14ac:dyDescent="0.2">
      <c r="A25" s="20" t="s">
        <v>114</v>
      </c>
      <c r="B25" s="40">
        <v>50000</v>
      </c>
      <c r="D25" s="67"/>
      <c r="L25" s="23"/>
    </row>
    <row r="26" spans="1:12" x14ac:dyDescent="0.2">
      <c r="D26" s="67"/>
      <c r="L26" s="23"/>
    </row>
    <row r="27" spans="1:12" x14ac:dyDescent="0.2">
      <c r="D27" s="67"/>
      <c r="L27" s="23"/>
    </row>
    <row r="28" spans="1:12" x14ac:dyDescent="0.2">
      <c r="A28" s="58" t="s">
        <v>107</v>
      </c>
      <c r="B28" s="38"/>
      <c r="D28" s="67"/>
      <c r="E28" s="66" t="s">
        <v>158</v>
      </c>
      <c r="L28" s="23"/>
    </row>
    <row r="29" spans="1:12" x14ac:dyDescent="0.2">
      <c r="D29" s="67"/>
      <c r="L29" s="23"/>
    </row>
    <row r="30" spans="1:12" x14ac:dyDescent="0.2">
      <c r="A30" s="59" t="s">
        <v>36</v>
      </c>
      <c r="D30" s="67"/>
      <c r="L30" s="23"/>
    </row>
    <row r="31" spans="1:12" x14ac:dyDescent="0.2">
      <c r="D31" s="67"/>
      <c r="L31" s="23"/>
    </row>
    <row r="32" spans="1:12" x14ac:dyDescent="0.2">
      <c r="A32" s="24" t="s">
        <v>44</v>
      </c>
      <c r="L32" s="23"/>
    </row>
    <row r="33" spans="1:12" x14ac:dyDescent="0.2">
      <c r="A33" s="60" t="s">
        <v>32</v>
      </c>
      <c r="B33" s="43" t="s">
        <v>173</v>
      </c>
      <c r="D33" s="67" t="s">
        <v>110</v>
      </c>
      <c r="L33" s="23"/>
    </row>
    <row r="34" spans="1:12" x14ac:dyDescent="0.2">
      <c r="A34" s="60" t="s">
        <v>138</v>
      </c>
      <c r="B34" s="40">
        <v>2000</v>
      </c>
      <c r="D34" s="67" t="s">
        <v>137</v>
      </c>
      <c r="E34" s="66" t="s">
        <v>160</v>
      </c>
      <c r="L34" s="23"/>
    </row>
    <row r="35" spans="1:12" x14ac:dyDescent="0.2">
      <c r="A35" s="60" t="s">
        <v>111</v>
      </c>
      <c r="B35" s="40">
        <v>3</v>
      </c>
      <c r="D35" s="67" t="s">
        <v>109</v>
      </c>
      <c r="E35" s="66" t="s">
        <v>160</v>
      </c>
      <c r="L35" s="23"/>
    </row>
    <row r="36" spans="1:12" x14ac:dyDescent="0.2">
      <c r="L36" s="23"/>
    </row>
    <row r="37" spans="1:12" x14ac:dyDescent="0.2">
      <c r="A37" s="24" t="s">
        <v>45</v>
      </c>
      <c r="L37" s="23"/>
    </row>
    <row r="38" spans="1:12" x14ac:dyDescent="0.2">
      <c r="A38" s="60" t="s">
        <v>32</v>
      </c>
      <c r="B38" s="43" t="s">
        <v>174</v>
      </c>
      <c r="D38" s="67" t="s">
        <v>110</v>
      </c>
      <c r="L38" s="23"/>
    </row>
    <row r="39" spans="1:12" x14ac:dyDescent="0.2">
      <c r="A39" s="60" t="s">
        <v>138</v>
      </c>
      <c r="B39" s="40">
        <v>1000</v>
      </c>
      <c r="D39" s="67" t="s">
        <v>137</v>
      </c>
      <c r="E39" s="66" t="s">
        <v>160</v>
      </c>
      <c r="L39" s="23"/>
    </row>
    <row r="40" spans="1:12" x14ac:dyDescent="0.2">
      <c r="A40" s="60" t="s">
        <v>111</v>
      </c>
      <c r="B40" s="40">
        <v>5</v>
      </c>
      <c r="D40" s="67" t="s">
        <v>109</v>
      </c>
      <c r="E40" s="66" t="s">
        <v>160</v>
      </c>
      <c r="L40" s="23"/>
    </row>
    <row r="42" spans="1:12" x14ac:dyDescent="0.2">
      <c r="A42" s="24" t="s">
        <v>46</v>
      </c>
      <c r="L42" s="23"/>
    </row>
    <row r="43" spans="1:12" x14ac:dyDescent="0.2">
      <c r="A43" s="60" t="s">
        <v>32</v>
      </c>
      <c r="B43" s="43" t="s">
        <v>175</v>
      </c>
      <c r="D43" s="67" t="s">
        <v>110</v>
      </c>
      <c r="L43" s="23"/>
    </row>
    <row r="44" spans="1:12" x14ac:dyDescent="0.2">
      <c r="A44" s="60" t="s">
        <v>138</v>
      </c>
      <c r="B44" s="40">
        <v>4000</v>
      </c>
      <c r="D44" s="67" t="s">
        <v>137</v>
      </c>
      <c r="E44" s="66" t="s">
        <v>160</v>
      </c>
      <c r="L44" s="23"/>
    </row>
    <row r="45" spans="1:12" x14ac:dyDescent="0.2">
      <c r="A45" s="60" t="s">
        <v>111</v>
      </c>
      <c r="B45" s="40">
        <v>2</v>
      </c>
      <c r="D45" s="67" t="s">
        <v>109</v>
      </c>
      <c r="E45" s="66" t="s">
        <v>160</v>
      </c>
      <c r="L45" s="23"/>
    </row>
    <row r="46" spans="1:12" x14ac:dyDescent="0.2">
      <c r="A46" s="60"/>
      <c r="B46" s="39"/>
      <c r="D46" s="67"/>
      <c r="L46" s="23"/>
    </row>
    <row r="47" spans="1:12" x14ac:dyDescent="0.2">
      <c r="A47" s="59" t="s">
        <v>126</v>
      </c>
      <c r="D47" s="67"/>
      <c r="L47" s="23"/>
    </row>
    <row r="48" spans="1:12" x14ac:dyDescent="0.2">
      <c r="A48" s="59"/>
      <c r="D48" s="67"/>
      <c r="L48" s="23"/>
    </row>
    <row r="49" spans="1:12" x14ac:dyDescent="0.2">
      <c r="A49" s="24" t="s">
        <v>47</v>
      </c>
      <c r="D49" s="67"/>
      <c r="L49" s="23"/>
    </row>
    <row r="50" spans="1:12" x14ac:dyDescent="0.2">
      <c r="A50" s="60" t="s">
        <v>32</v>
      </c>
      <c r="B50" s="43" t="s">
        <v>165</v>
      </c>
      <c r="D50" s="67" t="s">
        <v>110</v>
      </c>
      <c r="L50" s="23"/>
    </row>
    <row r="51" spans="1:12" x14ac:dyDescent="0.2">
      <c r="A51" s="60" t="s">
        <v>123</v>
      </c>
      <c r="B51" s="40">
        <v>300000</v>
      </c>
      <c r="D51" s="67"/>
      <c r="E51" s="66" t="s">
        <v>161</v>
      </c>
      <c r="L51" s="23"/>
    </row>
    <row r="52" spans="1:12" x14ac:dyDescent="0.2">
      <c r="A52" s="60" t="s">
        <v>124</v>
      </c>
      <c r="B52" s="40">
        <v>5000</v>
      </c>
      <c r="D52" s="67" t="s">
        <v>125</v>
      </c>
      <c r="E52" s="66" t="s">
        <v>161</v>
      </c>
      <c r="L52" s="23"/>
    </row>
    <row r="53" spans="1:12" x14ac:dyDescent="0.2">
      <c r="D53" s="67"/>
      <c r="L53" s="23"/>
    </row>
    <row r="54" spans="1:12" x14ac:dyDescent="0.2">
      <c r="A54" s="24" t="s">
        <v>48</v>
      </c>
      <c r="D54" s="67"/>
      <c r="L54" s="23"/>
    </row>
    <row r="55" spans="1:12" x14ac:dyDescent="0.2">
      <c r="A55" s="60" t="s">
        <v>32</v>
      </c>
      <c r="B55" s="43" t="s">
        <v>176</v>
      </c>
      <c r="D55" s="67" t="s">
        <v>110</v>
      </c>
      <c r="L55" s="23"/>
    </row>
    <row r="56" spans="1:12" x14ac:dyDescent="0.2">
      <c r="A56" s="60" t="s">
        <v>123</v>
      </c>
      <c r="B56" s="40">
        <v>150000</v>
      </c>
      <c r="D56" s="67"/>
      <c r="E56" s="66" t="s">
        <v>161</v>
      </c>
      <c r="L56" s="23"/>
    </row>
    <row r="57" spans="1:12" x14ac:dyDescent="0.2">
      <c r="A57" s="60" t="s">
        <v>124</v>
      </c>
      <c r="B57" s="40">
        <v>2000</v>
      </c>
      <c r="D57" s="67" t="s">
        <v>125</v>
      </c>
      <c r="E57" s="66" t="s">
        <v>161</v>
      </c>
      <c r="L57" s="23"/>
    </row>
    <row r="58" spans="1:12" x14ac:dyDescent="0.2">
      <c r="D58" s="67"/>
      <c r="L58" s="23"/>
    </row>
    <row r="59" spans="1:12" x14ac:dyDescent="0.2">
      <c r="A59" s="24" t="s">
        <v>49</v>
      </c>
      <c r="D59" s="67"/>
      <c r="L59" s="23"/>
    </row>
    <row r="60" spans="1:12" x14ac:dyDescent="0.2">
      <c r="A60" s="60" t="s">
        <v>32</v>
      </c>
      <c r="B60" s="43" t="s">
        <v>171</v>
      </c>
      <c r="D60" s="67" t="s">
        <v>110</v>
      </c>
      <c r="L60" s="23"/>
    </row>
    <row r="61" spans="1:12" x14ac:dyDescent="0.2">
      <c r="A61" s="60" t="s">
        <v>123</v>
      </c>
      <c r="B61" s="40">
        <v>220000</v>
      </c>
      <c r="D61" s="67"/>
      <c r="E61" s="66" t="s">
        <v>161</v>
      </c>
      <c r="L61" s="23"/>
    </row>
    <row r="62" spans="1:12" x14ac:dyDescent="0.2">
      <c r="A62" s="60" t="s">
        <v>124</v>
      </c>
      <c r="B62" s="40">
        <v>1200</v>
      </c>
      <c r="D62" s="67" t="s">
        <v>125</v>
      </c>
      <c r="E62" s="66" t="s">
        <v>161</v>
      </c>
      <c r="L62" s="23"/>
    </row>
    <row r="63" spans="1:12" x14ac:dyDescent="0.2">
      <c r="A63" s="60"/>
      <c r="D63" s="67"/>
      <c r="L63" s="23"/>
    </row>
    <row r="64" spans="1:12" x14ac:dyDescent="0.2">
      <c r="A64" s="59" t="s">
        <v>112</v>
      </c>
      <c r="L64" s="23"/>
    </row>
    <row r="65" spans="1:12" x14ac:dyDescent="0.2">
      <c r="D65" s="67"/>
      <c r="L65" s="23"/>
    </row>
    <row r="66" spans="1:12" x14ac:dyDescent="0.2">
      <c r="A66" s="24" t="str">
        <f>"Rental income: "&amp;B50</f>
        <v>Rental income: Sliema</v>
      </c>
      <c r="B66" s="40">
        <v>12000</v>
      </c>
      <c r="D66" s="67" t="s">
        <v>113</v>
      </c>
      <c r="E66" s="66" t="s">
        <v>162</v>
      </c>
      <c r="L66" s="23"/>
    </row>
    <row r="67" spans="1:12" x14ac:dyDescent="0.2">
      <c r="A67" s="24" t="str">
        <f>"Rental income: "&amp;B55</f>
        <v>Rental income: Gzira</v>
      </c>
      <c r="B67" s="40">
        <v>10000</v>
      </c>
      <c r="D67" s="67" t="s">
        <v>113</v>
      </c>
      <c r="E67" s="66" t="s">
        <v>162</v>
      </c>
      <c r="L67" s="23"/>
    </row>
    <row r="68" spans="1:12" x14ac:dyDescent="0.2">
      <c r="A68" s="24" t="str">
        <f>"Rental income: "&amp;B60</f>
        <v>Rental income: Qormi</v>
      </c>
      <c r="B68" s="40">
        <v>8000</v>
      </c>
      <c r="D68" s="67" t="s">
        <v>113</v>
      </c>
      <c r="E68" s="66" t="s">
        <v>162</v>
      </c>
      <c r="L68" s="23"/>
    </row>
    <row r="69" spans="1:12" x14ac:dyDescent="0.2">
      <c r="D69" s="67"/>
      <c r="L69" s="23"/>
    </row>
    <row r="70" spans="1:12" x14ac:dyDescent="0.2">
      <c r="A70" s="24" t="s">
        <v>127</v>
      </c>
      <c r="B70" s="40">
        <v>2000</v>
      </c>
      <c r="D70" s="67" t="s">
        <v>150</v>
      </c>
      <c r="L70" s="23"/>
    </row>
    <row r="71" spans="1:12" x14ac:dyDescent="0.2">
      <c r="A71" s="24" t="s">
        <v>15</v>
      </c>
      <c r="B71" s="40">
        <v>58</v>
      </c>
      <c r="D71" s="67"/>
      <c r="E71" s="66" t="s">
        <v>163</v>
      </c>
      <c r="L71" s="23"/>
    </row>
    <row r="72" spans="1:12" x14ac:dyDescent="0.2">
      <c r="D72" s="67"/>
      <c r="L72" s="23"/>
    </row>
    <row r="73" spans="1:12" x14ac:dyDescent="0.2">
      <c r="A73" s="59" t="s">
        <v>115</v>
      </c>
      <c r="D73" s="67"/>
      <c r="L73" s="23"/>
    </row>
    <row r="74" spans="1:12" x14ac:dyDescent="0.2">
      <c r="D74" s="67"/>
      <c r="J74" s="50"/>
      <c r="L74" s="23"/>
    </row>
    <row r="75" spans="1:12" x14ac:dyDescent="0.2">
      <c r="A75" s="24" t="s">
        <v>3</v>
      </c>
      <c r="B75" s="40">
        <v>1000</v>
      </c>
      <c r="D75" s="67" t="s">
        <v>151</v>
      </c>
      <c r="L75" s="23"/>
    </row>
    <row r="76" spans="1:12" x14ac:dyDescent="0.2">
      <c r="D76" s="67"/>
      <c r="L76" s="23"/>
    </row>
    <row r="77" spans="1:12" x14ac:dyDescent="0.2">
      <c r="A77" s="61" t="str">
        <f>B50 &amp; " Property"</f>
        <v>Sliema Property</v>
      </c>
      <c r="F77" s="77"/>
      <c r="G77" s="79"/>
      <c r="J77" s="50"/>
      <c r="L77" s="23"/>
    </row>
    <row r="78" spans="1:12" x14ac:dyDescent="0.2">
      <c r="A78" s="60" t="s">
        <v>42</v>
      </c>
      <c r="B78" s="40">
        <v>50000</v>
      </c>
      <c r="D78" s="67" t="s">
        <v>119</v>
      </c>
      <c r="F78" s="77" t="s">
        <v>101</v>
      </c>
      <c r="G78" s="78">
        <f>IFERROR(NPER(B79/12,-B80,B78),"")</f>
        <v>115.21661015797439</v>
      </c>
      <c r="L78" s="23"/>
    </row>
    <row r="79" spans="1:12" x14ac:dyDescent="0.2">
      <c r="A79" s="60" t="s">
        <v>99</v>
      </c>
      <c r="B79" s="41">
        <v>0.03</v>
      </c>
      <c r="D79" s="67"/>
      <c r="F79" s="77" t="s">
        <v>102</v>
      </c>
      <c r="G79" s="78">
        <f>IFERROR(G78/12,"")</f>
        <v>9.6013841798311983</v>
      </c>
      <c r="L79" s="23"/>
    </row>
    <row r="80" spans="1:12" x14ac:dyDescent="0.2">
      <c r="A80" s="60" t="s">
        <v>100</v>
      </c>
      <c r="B80" s="40">
        <v>500</v>
      </c>
      <c r="D80" s="67"/>
      <c r="G80" s="79"/>
      <c r="J80" s="50"/>
      <c r="L80" s="23"/>
    </row>
    <row r="81" spans="1:12" x14ac:dyDescent="0.2">
      <c r="B81" s="23"/>
      <c r="D81" s="67"/>
      <c r="G81" s="79"/>
      <c r="J81" s="50"/>
      <c r="L81" s="23"/>
    </row>
    <row r="82" spans="1:12" x14ac:dyDescent="0.2">
      <c r="A82" s="61" t="str">
        <f>B55 &amp; " Property"</f>
        <v>Gzira Property</v>
      </c>
      <c r="B82" s="23"/>
      <c r="F82" s="77"/>
      <c r="G82" s="79"/>
      <c r="L82" s="23"/>
    </row>
    <row r="83" spans="1:12" x14ac:dyDescent="0.2">
      <c r="A83" s="60" t="s">
        <v>42</v>
      </c>
      <c r="B83" s="40">
        <v>8500</v>
      </c>
      <c r="D83" s="67" t="s">
        <v>119</v>
      </c>
      <c r="F83" s="77" t="s">
        <v>101</v>
      </c>
      <c r="G83" s="78">
        <f>IFERROR(NPER(B84/12,-B85,B83),"")</f>
        <v>44.117014509786529</v>
      </c>
      <c r="L83" s="23"/>
    </row>
    <row r="84" spans="1:12" x14ac:dyDescent="0.2">
      <c r="A84" s="60" t="s">
        <v>99</v>
      </c>
      <c r="B84" s="41">
        <v>0.02</v>
      </c>
      <c r="D84" s="67"/>
      <c r="F84" s="77" t="s">
        <v>102</v>
      </c>
      <c r="G84" s="78">
        <f>IFERROR(G83/12,"")</f>
        <v>3.6764178758155439</v>
      </c>
      <c r="L84" s="23"/>
    </row>
    <row r="85" spans="1:12" x14ac:dyDescent="0.2">
      <c r="A85" s="60" t="s">
        <v>100</v>
      </c>
      <c r="B85" s="40">
        <v>200</v>
      </c>
      <c r="D85" s="67"/>
      <c r="G85" s="79"/>
      <c r="L85" s="23"/>
    </row>
    <row r="86" spans="1:12" x14ac:dyDescent="0.2">
      <c r="D86" s="67"/>
      <c r="G86" s="79"/>
      <c r="L86" s="23"/>
    </row>
    <row r="87" spans="1:12" x14ac:dyDescent="0.2">
      <c r="A87" s="61" t="str">
        <f>B60&amp; " Property"</f>
        <v>Qormi Property</v>
      </c>
      <c r="B87" s="23"/>
      <c r="F87" s="77"/>
      <c r="G87" s="79"/>
      <c r="L87" s="23"/>
    </row>
    <row r="88" spans="1:12" x14ac:dyDescent="0.2">
      <c r="A88" s="60" t="s">
        <v>42</v>
      </c>
      <c r="B88" s="40">
        <v>15000</v>
      </c>
      <c r="D88" s="67" t="s">
        <v>119</v>
      </c>
      <c r="F88" s="77" t="s">
        <v>101</v>
      </c>
      <c r="G88" s="78">
        <f>IFERROR(NPER(B89/12,-B90,B88),"")</f>
        <v>69.187438742600861</v>
      </c>
      <c r="L88" s="23"/>
    </row>
    <row r="89" spans="1:12" x14ac:dyDescent="0.2">
      <c r="A89" s="60" t="s">
        <v>99</v>
      </c>
      <c r="B89" s="41">
        <v>0.05</v>
      </c>
      <c r="D89" s="67"/>
      <c r="F89" s="77" t="s">
        <v>102</v>
      </c>
      <c r="G89" s="78">
        <f>IFERROR(G88/12,"")</f>
        <v>5.7656198952167381</v>
      </c>
      <c r="J89" s="50"/>
      <c r="L89" s="23"/>
    </row>
    <row r="90" spans="1:12" x14ac:dyDescent="0.2">
      <c r="A90" s="60" t="s">
        <v>100</v>
      </c>
      <c r="B90" s="40">
        <v>250</v>
      </c>
      <c r="D90" s="67"/>
      <c r="G90" s="79"/>
      <c r="J90" s="50"/>
      <c r="L90" s="23"/>
    </row>
    <row r="91" spans="1:12" x14ac:dyDescent="0.2">
      <c r="B91" s="23"/>
      <c r="D91" s="67"/>
      <c r="G91" s="79"/>
      <c r="L91" s="23"/>
    </row>
    <row r="92" spans="1:12" x14ac:dyDescent="0.2">
      <c r="A92" s="24" t="s">
        <v>38</v>
      </c>
      <c r="D92" s="67"/>
      <c r="F92" s="77"/>
      <c r="G92" s="78"/>
      <c r="L92" s="23"/>
    </row>
    <row r="93" spans="1:12" x14ac:dyDescent="0.2">
      <c r="A93" s="60" t="s">
        <v>42</v>
      </c>
      <c r="B93" s="40">
        <v>4000</v>
      </c>
      <c r="D93" s="67" t="s">
        <v>110</v>
      </c>
      <c r="F93" s="77" t="s">
        <v>101</v>
      </c>
      <c r="G93" s="78">
        <f>IFERROR(NPER(B94/12,-B95,B93),"")</f>
        <v>102.42032525150438</v>
      </c>
      <c r="L93" s="23"/>
    </row>
    <row r="94" spans="1:12" x14ac:dyDescent="0.2">
      <c r="A94" s="60" t="s">
        <v>99</v>
      </c>
      <c r="B94" s="41">
        <v>0.06</v>
      </c>
      <c r="D94" s="67"/>
      <c r="F94" s="77" t="s">
        <v>102</v>
      </c>
      <c r="G94" s="78">
        <f>IFERROR(G93/12,"")</f>
        <v>8.5350271042920323</v>
      </c>
      <c r="L94" s="23"/>
    </row>
    <row r="95" spans="1:12" x14ac:dyDescent="0.2">
      <c r="A95" s="60" t="s">
        <v>100</v>
      </c>
      <c r="B95" s="40">
        <v>50</v>
      </c>
      <c r="D95" s="67"/>
      <c r="E95" s="73"/>
      <c r="L95" s="23"/>
    </row>
    <row r="96" spans="1:12" x14ac:dyDescent="0.2">
      <c r="D96" s="67"/>
      <c r="E96" s="73"/>
      <c r="L96" s="23"/>
    </row>
    <row r="97" spans="1:12" x14ac:dyDescent="0.2">
      <c r="A97" s="59" t="s">
        <v>148</v>
      </c>
      <c r="D97" s="67"/>
      <c r="L97" s="23"/>
    </row>
    <row r="98" spans="1:12" x14ac:dyDescent="0.2">
      <c r="B98" s="39"/>
      <c r="L98" s="23"/>
    </row>
    <row r="99" spans="1:12" s="21" customFormat="1" x14ac:dyDescent="0.2">
      <c r="A99" s="24" t="s">
        <v>116</v>
      </c>
      <c r="B99" s="39"/>
      <c r="D99" s="68"/>
      <c r="E99" s="66"/>
      <c r="F99" s="76"/>
      <c r="G99" s="80"/>
    </row>
    <row r="100" spans="1:12" s="21" customFormat="1" x14ac:dyDescent="0.2">
      <c r="A100" s="60" t="s">
        <v>32</v>
      </c>
      <c r="B100" s="44" t="s">
        <v>177</v>
      </c>
      <c r="D100" s="67" t="s">
        <v>110</v>
      </c>
      <c r="E100" s="66"/>
      <c r="F100" s="76"/>
      <c r="G100" s="80"/>
    </row>
    <row r="101" spans="1:12" s="21" customFormat="1" x14ac:dyDescent="0.2">
      <c r="A101" s="60" t="s">
        <v>50</v>
      </c>
      <c r="B101" s="40">
        <v>50000</v>
      </c>
      <c r="D101" s="67" t="s">
        <v>119</v>
      </c>
      <c r="E101" s="66"/>
      <c r="F101" s="76"/>
      <c r="G101" s="80"/>
    </row>
    <row r="102" spans="1:12" s="21" customFormat="1" x14ac:dyDescent="0.2">
      <c r="A102" s="60" t="s">
        <v>6</v>
      </c>
      <c r="B102" s="43">
        <v>2035</v>
      </c>
      <c r="D102" s="68"/>
      <c r="E102" s="66"/>
      <c r="F102" s="76"/>
      <c r="G102" s="80"/>
    </row>
    <row r="103" spans="1:12" s="21" customFormat="1" x14ac:dyDescent="0.2">
      <c r="A103" s="24"/>
      <c r="B103" s="39"/>
      <c r="D103" s="68"/>
      <c r="E103" s="66"/>
      <c r="F103" s="76"/>
      <c r="G103" s="80"/>
    </row>
    <row r="104" spans="1:12" s="21" customFormat="1" x14ac:dyDescent="0.2">
      <c r="A104" s="24" t="s">
        <v>117</v>
      </c>
      <c r="B104" s="39"/>
      <c r="D104" s="68"/>
      <c r="E104" s="66"/>
      <c r="F104" s="76"/>
      <c r="G104" s="80"/>
    </row>
    <row r="105" spans="1:12" s="21" customFormat="1" x14ac:dyDescent="0.2">
      <c r="A105" s="60" t="s">
        <v>32</v>
      </c>
      <c r="B105" s="44" t="s">
        <v>178</v>
      </c>
      <c r="D105" s="67" t="s">
        <v>110</v>
      </c>
      <c r="E105" s="66"/>
      <c r="F105" s="76"/>
      <c r="G105" s="80"/>
    </row>
    <row r="106" spans="1:12" s="21" customFormat="1" x14ac:dyDescent="0.2">
      <c r="A106" s="60" t="s">
        <v>50</v>
      </c>
      <c r="B106" s="40">
        <v>10000</v>
      </c>
      <c r="D106" s="67" t="s">
        <v>119</v>
      </c>
      <c r="E106" s="66"/>
      <c r="F106" s="76"/>
      <c r="G106" s="80"/>
    </row>
    <row r="107" spans="1:12" s="21" customFormat="1" x14ac:dyDescent="0.2">
      <c r="A107" s="60" t="s">
        <v>6</v>
      </c>
      <c r="B107" s="43">
        <v>2029</v>
      </c>
      <c r="D107" s="68"/>
      <c r="E107" s="66"/>
      <c r="F107" s="76"/>
      <c r="G107" s="80"/>
    </row>
    <row r="108" spans="1:12" s="21" customFormat="1" x14ac:dyDescent="0.2">
      <c r="A108" s="24"/>
      <c r="B108" s="39"/>
      <c r="D108" s="68"/>
      <c r="E108" s="66"/>
      <c r="F108" s="76"/>
      <c r="G108" s="80"/>
    </row>
    <row r="109" spans="1:12" s="21" customFormat="1" x14ac:dyDescent="0.2">
      <c r="A109" s="24" t="s">
        <v>118</v>
      </c>
      <c r="B109" s="39"/>
      <c r="D109" s="68"/>
      <c r="E109" s="66"/>
      <c r="F109" s="76"/>
      <c r="G109" s="80"/>
    </row>
    <row r="110" spans="1:12" s="21" customFormat="1" x14ac:dyDescent="0.2">
      <c r="A110" s="60" t="s">
        <v>32</v>
      </c>
      <c r="B110" s="44" t="s">
        <v>179</v>
      </c>
      <c r="D110" s="67" t="s">
        <v>110</v>
      </c>
      <c r="E110" s="66"/>
      <c r="F110" s="76"/>
      <c r="G110" s="80"/>
    </row>
    <row r="111" spans="1:12" s="21" customFormat="1" x14ac:dyDescent="0.2">
      <c r="A111" s="60" t="s">
        <v>50</v>
      </c>
      <c r="B111" s="40">
        <v>5000</v>
      </c>
      <c r="D111" s="67" t="s">
        <v>119</v>
      </c>
      <c r="E111" s="66"/>
      <c r="F111" s="76"/>
      <c r="G111" s="80"/>
    </row>
    <row r="112" spans="1:12" s="21" customFormat="1" x14ac:dyDescent="0.2">
      <c r="A112" s="60" t="s">
        <v>6</v>
      </c>
      <c r="B112" s="43">
        <v>2032</v>
      </c>
      <c r="D112" s="68"/>
      <c r="E112" s="66"/>
      <c r="F112" s="76"/>
      <c r="G112" s="80"/>
    </row>
    <row r="113" spans="1:12" s="21" customFormat="1" x14ac:dyDescent="0.2">
      <c r="A113" s="24"/>
      <c r="B113" s="39"/>
      <c r="D113" s="68"/>
      <c r="E113" s="66"/>
      <c r="F113" s="76"/>
      <c r="G113" s="80"/>
    </row>
    <row r="114" spans="1:12" x14ac:dyDescent="0.2">
      <c r="A114" s="59" t="s">
        <v>147</v>
      </c>
      <c r="B114" s="39"/>
      <c r="L114" s="23"/>
    </row>
    <row r="115" spans="1:12" x14ac:dyDescent="0.2">
      <c r="A115" s="60"/>
      <c r="B115" s="39"/>
      <c r="L115" s="23"/>
    </row>
    <row r="116" spans="1:12" s="21" customFormat="1" x14ac:dyDescent="0.2">
      <c r="A116" s="24" t="s">
        <v>120</v>
      </c>
      <c r="B116" s="39"/>
      <c r="D116" s="68"/>
      <c r="E116" s="66"/>
      <c r="F116" s="76"/>
      <c r="G116" s="80"/>
    </row>
    <row r="117" spans="1:12" s="21" customFormat="1" x14ac:dyDescent="0.2">
      <c r="A117" s="60" t="s">
        <v>32</v>
      </c>
      <c r="B117" s="44" t="s">
        <v>172</v>
      </c>
      <c r="D117" s="67" t="s">
        <v>110</v>
      </c>
      <c r="E117" s="66"/>
      <c r="F117" s="76"/>
      <c r="G117" s="80"/>
    </row>
    <row r="118" spans="1:12" s="21" customFormat="1" x14ac:dyDescent="0.2">
      <c r="A118" s="60" t="s">
        <v>50</v>
      </c>
      <c r="B118" s="40">
        <v>40000</v>
      </c>
      <c r="D118" s="67" t="s">
        <v>119</v>
      </c>
      <c r="E118" s="66"/>
      <c r="F118" s="76"/>
      <c r="G118" s="80"/>
    </row>
    <row r="119" spans="1:12" s="21" customFormat="1" x14ac:dyDescent="0.2">
      <c r="A119" s="60" t="s">
        <v>6</v>
      </c>
      <c r="B119" s="43">
        <v>2036</v>
      </c>
      <c r="D119" s="68"/>
      <c r="E119" s="66"/>
      <c r="F119" s="76"/>
      <c r="G119" s="80"/>
    </row>
    <row r="120" spans="1:12" s="21" customFormat="1" x14ac:dyDescent="0.2">
      <c r="A120" s="24"/>
      <c r="B120" s="39"/>
      <c r="D120" s="68"/>
      <c r="E120" s="66"/>
      <c r="F120" s="76"/>
      <c r="G120" s="80"/>
    </row>
    <row r="121" spans="1:12" s="21" customFormat="1" x14ac:dyDescent="0.2">
      <c r="A121" s="24" t="s">
        <v>121</v>
      </c>
      <c r="B121" s="39"/>
      <c r="D121" s="68"/>
      <c r="E121" s="66"/>
      <c r="F121" s="76"/>
      <c r="G121" s="80"/>
    </row>
    <row r="122" spans="1:12" s="21" customFormat="1" x14ac:dyDescent="0.2">
      <c r="A122" s="60" t="s">
        <v>32</v>
      </c>
      <c r="B122" s="44" t="s">
        <v>180</v>
      </c>
      <c r="D122" s="67" t="s">
        <v>110</v>
      </c>
      <c r="E122" s="66"/>
      <c r="F122" s="76"/>
      <c r="G122" s="80"/>
    </row>
    <row r="123" spans="1:12" s="21" customFormat="1" x14ac:dyDescent="0.2">
      <c r="A123" s="60" t="s">
        <v>50</v>
      </c>
      <c r="B123" s="40">
        <v>35000</v>
      </c>
      <c r="D123" s="67" t="s">
        <v>119</v>
      </c>
      <c r="E123" s="66"/>
      <c r="F123" s="76"/>
      <c r="G123" s="80"/>
    </row>
    <row r="124" spans="1:12" s="21" customFormat="1" x14ac:dyDescent="0.2">
      <c r="A124" s="60" t="s">
        <v>6</v>
      </c>
      <c r="B124" s="43">
        <v>2029</v>
      </c>
      <c r="D124" s="68"/>
      <c r="E124" s="66"/>
      <c r="F124" s="76"/>
      <c r="G124" s="80"/>
    </row>
    <row r="125" spans="1:12" x14ac:dyDescent="0.2">
      <c r="B125" s="39"/>
      <c r="L125" s="23"/>
    </row>
    <row r="126" spans="1:12" x14ac:dyDescent="0.2">
      <c r="A126" s="24" t="s">
        <v>122</v>
      </c>
      <c r="B126" s="39"/>
      <c r="L126" s="23"/>
    </row>
    <row r="127" spans="1:12" x14ac:dyDescent="0.2">
      <c r="A127" s="60" t="s">
        <v>32</v>
      </c>
      <c r="B127" s="44" t="s">
        <v>181</v>
      </c>
      <c r="D127" s="67" t="s">
        <v>110</v>
      </c>
      <c r="L127" s="23"/>
    </row>
    <row r="128" spans="1:12" x14ac:dyDescent="0.2">
      <c r="A128" s="60" t="s">
        <v>50</v>
      </c>
      <c r="B128" s="40">
        <v>15000</v>
      </c>
      <c r="D128" s="67" t="s">
        <v>119</v>
      </c>
      <c r="L128" s="23"/>
    </row>
    <row r="129" spans="1:12" x14ac:dyDescent="0.2">
      <c r="A129" s="60" t="s">
        <v>6</v>
      </c>
      <c r="B129" s="43">
        <v>2034</v>
      </c>
      <c r="L129" s="23"/>
    </row>
    <row r="130" spans="1:12" x14ac:dyDescent="0.2">
      <c r="A130" s="60"/>
      <c r="D130" s="67"/>
      <c r="L130" s="23"/>
    </row>
    <row r="131" spans="1:12" x14ac:dyDescent="0.2">
      <c r="A131" s="60"/>
      <c r="D131" s="67"/>
      <c r="L131" s="23"/>
    </row>
    <row r="132" spans="1:12" x14ac:dyDescent="0.2">
      <c r="A132" s="58" t="s">
        <v>128</v>
      </c>
      <c r="B132" s="38"/>
      <c r="C132" s="49" t="s">
        <v>157</v>
      </c>
      <c r="D132" s="67"/>
      <c r="E132" s="66" t="s">
        <v>159</v>
      </c>
      <c r="L132" s="23"/>
    </row>
    <row r="133" spans="1:12" x14ac:dyDescent="0.2">
      <c r="D133" s="67"/>
      <c r="L133" s="23"/>
    </row>
    <row r="134" spans="1:12" x14ac:dyDescent="0.2">
      <c r="A134" s="20" t="s">
        <v>43</v>
      </c>
      <c r="B134" s="40">
        <v>85</v>
      </c>
      <c r="C134" s="52">
        <v>85</v>
      </c>
      <c r="L134" s="23"/>
    </row>
    <row r="135" spans="1:12" x14ac:dyDescent="0.2">
      <c r="A135" s="20"/>
      <c r="C135" s="21"/>
      <c r="D135" s="67"/>
      <c r="L135" s="23"/>
    </row>
    <row r="136" spans="1:12" s="21" customFormat="1" x14ac:dyDescent="0.2">
      <c r="A136" s="20" t="s">
        <v>63</v>
      </c>
      <c r="D136" s="68"/>
      <c r="E136" s="66"/>
      <c r="F136" s="76"/>
      <c r="G136" s="80"/>
    </row>
    <row r="137" spans="1:12" s="21" customFormat="1" x14ac:dyDescent="0.2">
      <c r="A137" s="24" t="s">
        <v>83</v>
      </c>
      <c r="B137" s="45">
        <v>0</v>
      </c>
      <c r="C137" s="53">
        <v>0</v>
      </c>
      <c r="D137" s="69" t="s">
        <v>4</v>
      </c>
      <c r="E137" s="66"/>
      <c r="F137" s="76"/>
      <c r="G137" s="80"/>
    </row>
    <row r="138" spans="1:12" s="21" customFormat="1" x14ac:dyDescent="0.2">
      <c r="A138" s="24" t="s">
        <v>61</v>
      </c>
      <c r="B138" s="45">
        <v>-0.1</v>
      </c>
      <c r="C138" s="53">
        <v>-0.1</v>
      </c>
      <c r="D138" s="69" t="s">
        <v>4</v>
      </c>
      <c r="E138" s="66"/>
      <c r="F138" s="76"/>
      <c r="G138" s="80"/>
    </row>
    <row r="139" spans="1:12" s="21" customFormat="1" x14ac:dyDescent="0.2">
      <c r="A139" s="24" t="s">
        <v>62</v>
      </c>
      <c r="B139" s="45">
        <v>-0.2</v>
      </c>
      <c r="C139" s="53">
        <v>-0.2</v>
      </c>
      <c r="D139" s="69" t="s">
        <v>4</v>
      </c>
      <c r="E139" s="66"/>
      <c r="F139" s="76"/>
      <c r="G139" s="80"/>
    </row>
    <row r="140" spans="1:12" x14ac:dyDescent="0.2">
      <c r="C140" s="21"/>
      <c r="L140" s="23"/>
    </row>
    <row r="141" spans="1:12" x14ac:dyDescent="0.2">
      <c r="A141" s="20" t="s">
        <v>52</v>
      </c>
      <c r="B141" s="40">
        <v>12000</v>
      </c>
      <c r="C141" s="52"/>
      <c r="D141" s="67" t="s">
        <v>119</v>
      </c>
      <c r="L141" s="23"/>
    </row>
    <row r="142" spans="1:12" x14ac:dyDescent="0.2">
      <c r="A142" s="24" t="s">
        <v>135</v>
      </c>
      <c r="B142" s="40">
        <v>58</v>
      </c>
      <c r="C142" s="52"/>
      <c r="D142" s="67"/>
      <c r="L142" s="23"/>
    </row>
    <row r="143" spans="1:12" x14ac:dyDescent="0.2">
      <c r="A143" s="24" t="s">
        <v>136</v>
      </c>
      <c r="B143" s="40">
        <v>69</v>
      </c>
      <c r="C143" s="52"/>
      <c r="D143" s="67"/>
      <c r="E143" s="66" t="s">
        <v>169</v>
      </c>
      <c r="L143" s="23"/>
    </row>
    <row r="144" spans="1:12" x14ac:dyDescent="0.2">
      <c r="C144" s="21"/>
      <c r="D144" s="67"/>
      <c r="L144" s="23"/>
    </row>
    <row r="145" spans="1:12" x14ac:dyDescent="0.2">
      <c r="A145" s="20" t="s">
        <v>20</v>
      </c>
      <c r="B145" s="41">
        <v>2.5000000000000001E-2</v>
      </c>
      <c r="C145" s="54">
        <v>2.5000000000000001E-2</v>
      </c>
      <c r="L145" s="23"/>
    </row>
    <row r="146" spans="1:12" x14ac:dyDescent="0.2">
      <c r="C146" s="21"/>
      <c r="D146" s="67"/>
      <c r="L146" s="23"/>
    </row>
    <row r="147" spans="1:12" x14ac:dyDescent="0.2">
      <c r="A147" s="20" t="s">
        <v>133</v>
      </c>
      <c r="B147" s="41">
        <v>0.03</v>
      </c>
      <c r="C147" s="54">
        <v>0.03</v>
      </c>
      <c r="D147" s="67" t="s">
        <v>108</v>
      </c>
      <c r="L147" s="23"/>
    </row>
    <row r="148" spans="1:12" x14ac:dyDescent="0.2">
      <c r="C148" s="21"/>
      <c r="D148" s="67"/>
      <c r="L148" s="23"/>
    </row>
    <row r="149" spans="1:12" x14ac:dyDescent="0.2">
      <c r="A149" s="20" t="s">
        <v>129</v>
      </c>
      <c r="B149" s="46">
        <v>2.5000000000000001E-2</v>
      </c>
      <c r="C149" s="55">
        <v>2.5000000000000001E-2</v>
      </c>
      <c r="D149" s="67" t="s">
        <v>108</v>
      </c>
      <c r="L149" s="23"/>
    </row>
    <row r="150" spans="1:12" x14ac:dyDescent="0.2">
      <c r="C150" s="21"/>
      <c r="D150" s="67"/>
      <c r="L150" s="23"/>
    </row>
    <row r="151" spans="1:12" x14ac:dyDescent="0.2">
      <c r="A151" s="20" t="s">
        <v>130</v>
      </c>
      <c r="B151" s="47">
        <v>0.08</v>
      </c>
      <c r="C151" s="56">
        <v>0.08</v>
      </c>
      <c r="D151" s="67" t="s">
        <v>108</v>
      </c>
      <c r="L151" s="23"/>
    </row>
    <row r="152" spans="1:12" x14ac:dyDescent="0.2">
      <c r="C152" s="21"/>
      <c r="D152" s="67"/>
      <c r="L152" s="23"/>
    </row>
    <row r="153" spans="1:12" x14ac:dyDescent="0.2">
      <c r="A153" s="20" t="s">
        <v>132</v>
      </c>
      <c r="B153" s="45">
        <v>0.03</v>
      </c>
      <c r="C153" s="53">
        <v>0.03</v>
      </c>
      <c r="D153" s="67" t="s">
        <v>108</v>
      </c>
      <c r="L153" s="23"/>
    </row>
    <row r="154" spans="1:12" x14ac:dyDescent="0.2">
      <c r="C154" s="21"/>
      <c r="D154" s="67"/>
      <c r="L154" s="23"/>
    </row>
    <row r="155" spans="1:12" x14ac:dyDescent="0.2">
      <c r="A155" s="20" t="s">
        <v>131</v>
      </c>
      <c r="B155" s="45">
        <v>0.03</v>
      </c>
      <c r="C155" s="53">
        <v>0.03</v>
      </c>
      <c r="L155" s="23"/>
    </row>
    <row r="156" spans="1:12" x14ac:dyDescent="0.2">
      <c r="C156" s="21"/>
      <c r="D156" s="67"/>
      <c r="L156" s="23"/>
    </row>
    <row r="157" spans="1:12" ht="17" x14ac:dyDescent="0.2">
      <c r="A157" s="62" t="s">
        <v>134</v>
      </c>
      <c r="B157" s="40">
        <v>300</v>
      </c>
      <c r="C157" s="52">
        <v>300</v>
      </c>
      <c r="D157" s="67" t="s">
        <v>140</v>
      </c>
      <c r="L157" s="23"/>
    </row>
    <row r="158" spans="1:12" x14ac:dyDescent="0.2">
      <c r="A158" s="20"/>
      <c r="C158" s="21"/>
      <c r="D158" s="67"/>
      <c r="L158" s="23"/>
    </row>
    <row r="159" spans="1:12" x14ac:dyDescent="0.2">
      <c r="A159" s="20" t="s">
        <v>86</v>
      </c>
      <c r="B159" s="40">
        <v>40000</v>
      </c>
      <c r="C159" s="52">
        <v>40000</v>
      </c>
      <c r="D159" s="67" t="s">
        <v>139</v>
      </c>
      <c r="L159" s="23"/>
    </row>
    <row r="160" spans="1:12" x14ac:dyDescent="0.2">
      <c r="C160" s="21"/>
      <c r="D160" s="67"/>
      <c r="L160" s="23"/>
    </row>
    <row r="161" spans="1:13" x14ac:dyDescent="0.2">
      <c r="A161" s="20" t="s">
        <v>142</v>
      </c>
      <c r="B161" s="45">
        <v>0.05</v>
      </c>
      <c r="C161" s="53">
        <v>0.05</v>
      </c>
      <c r="D161" s="67" t="s">
        <v>141</v>
      </c>
      <c r="L161" s="23"/>
    </row>
    <row r="162" spans="1:13" x14ac:dyDescent="0.2">
      <c r="A162" s="60"/>
      <c r="C162" s="21"/>
      <c r="L162" s="23"/>
    </row>
    <row r="163" spans="1:13" x14ac:dyDescent="0.2">
      <c r="A163" s="20" t="s">
        <v>143</v>
      </c>
      <c r="B163" s="45">
        <v>0.15</v>
      </c>
      <c r="C163" s="53">
        <v>0.15</v>
      </c>
      <c r="D163" s="67" t="s">
        <v>144</v>
      </c>
      <c r="L163" s="23"/>
    </row>
    <row r="164" spans="1:13" x14ac:dyDescent="0.2">
      <c r="C164" s="21"/>
      <c r="L164" s="23"/>
      <c r="M164" s="21"/>
    </row>
    <row r="165" spans="1:13" ht="17" x14ac:dyDescent="0.2">
      <c r="A165" s="62" t="s">
        <v>145</v>
      </c>
      <c r="C165" s="21"/>
      <c r="D165" s="70"/>
      <c r="L165" s="23"/>
      <c r="M165" s="21"/>
    </row>
    <row r="166" spans="1:13" x14ac:dyDescent="0.2">
      <c r="A166" s="63" t="str">
        <f>B50</f>
        <v>Sliema</v>
      </c>
      <c r="B166" s="48">
        <v>3</v>
      </c>
      <c r="C166" s="21">
        <f>IF(F166&lt;=0,"",_xlfn.RANK.EQ(F166,$F$166:$F$168,1)-COUNTIF($F$166:$F$168,0))</f>
        <v>3</v>
      </c>
      <c r="D166" s="67" t="s">
        <v>146</v>
      </c>
      <c r="F166" s="80">
        <f>B51</f>
        <v>300000</v>
      </c>
      <c r="L166" s="23"/>
    </row>
    <row r="167" spans="1:13" x14ac:dyDescent="0.2">
      <c r="A167" s="63" t="str">
        <f>B55</f>
        <v>Gzira</v>
      </c>
      <c r="B167" s="48">
        <v>1</v>
      </c>
      <c r="C167" s="21">
        <f>IF(F167&lt;=0,"",_xlfn.RANK.EQ(F167,$F$166:$F$168,1)-COUNTIF($F$166:$F$168,0))</f>
        <v>1</v>
      </c>
      <c r="D167" s="71"/>
      <c r="F167" s="80">
        <f>B56</f>
        <v>150000</v>
      </c>
      <c r="L167" s="23"/>
    </row>
    <row r="168" spans="1:13" x14ac:dyDescent="0.2">
      <c r="A168" s="63" t="str">
        <f>B60</f>
        <v>Qormi</v>
      </c>
      <c r="B168" s="48">
        <v>2</v>
      </c>
      <c r="C168" s="21">
        <f>IF(F168&lt;=0,"",_xlfn.RANK.EQ(F168,$F$166:$F$168,1)-COUNTIF($F$166:$F$168,0))</f>
        <v>2</v>
      </c>
      <c r="D168" s="71"/>
      <c r="F168" s="80">
        <f>B61</f>
        <v>220000</v>
      </c>
      <c r="L168" s="23"/>
    </row>
    <row r="169" spans="1:13" x14ac:dyDescent="0.2">
      <c r="L169" s="23"/>
    </row>
    <row r="170" spans="1:13" x14ac:dyDescent="0.2">
      <c r="L170" s="23"/>
    </row>
    <row r="171" spans="1:13" x14ac:dyDescent="0.2">
      <c r="L171" s="23"/>
    </row>
    <row r="172" spans="1:13" x14ac:dyDescent="0.2">
      <c r="L172" s="23"/>
    </row>
    <row r="173" spans="1:13" x14ac:dyDescent="0.2">
      <c r="L173" s="23"/>
    </row>
    <row r="174" spans="1:13" x14ac:dyDescent="0.2">
      <c r="L174" s="23"/>
    </row>
    <row r="175" spans="1:13" x14ac:dyDescent="0.2">
      <c r="L175" s="23"/>
    </row>
    <row r="176" spans="1:13" x14ac:dyDescent="0.2">
      <c r="L176" s="23"/>
    </row>
  </sheetData>
  <phoneticPr fontId="5" type="noConversion"/>
  <dataValidations count="6">
    <dataValidation type="list" allowBlank="1" showInputMessage="1" showErrorMessage="1" sqref="B166:C168" xr:uid="{1C76E72A-4A74-9342-9CD6-96E686486B37}">
      <formula1>"0,1,2,3"</formula1>
    </dataValidation>
    <dataValidation type="whole" allowBlank="1" showInputMessage="1" showErrorMessage="1" sqref="B4:C4" xr:uid="{CEBCBBEB-61E4-314B-B9D6-B93D3329E6F5}">
      <formula1>18</formula1>
      <formula2>100</formula2>
    </dataValidation>
    <dataValidation type="decimal" allowBlank="1" showInputMessage="1" showErrorMessage="1" sqref="B147:C147" xr:uid="{A76CC167-ADB1-954D-BA8F-57DA6856622B}">
      <formula1>0</formula1>
      <formula2>0.5</formula2>
    </dataValidation>
    <dataValidation type="whole" allowBlank="1" showInputMessage="1" showErrorMessage="1" sqref="B35:C35 B40:C40 B45:C45" xr:uid="{A3B04CD6-6A0C-9D4A-960A-19DFAACFBC84}">
      <formula1>1</formula1>
      <formula2>99</formula2>
    </dataValidation>
    <dataValidation type="custom" allowBlank="1" showInputMessage="1" showErrorMessage="1" sqref="C134" xr:uid="{78711C78-86C7-AC4E-B0D1-FA577F555676}">
      <formula1>AND(C134&gt;I4,C134&lt;=100)</formula1>
    </dataValidation>
    <dataValidation type="custom" allowBlank="1" showInputMessage="1" showErrorMessage="1" sqref="B134" xr:uid="{CFCAF581-183B-7347-97B6-0AC7B0FFD5E6}">
      <formula1>AND(B134&gt;B4,B134&lt;=100)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C8C7B-D167-A641-8E52-8DBE60839A73}">
  <sheetPr codeName="Sheet6">
    <tabColor theme="7" tint="0.79998168889431442"/>
  </sheetPr>
  <dimension ref="J2:AA13"/>
  <sheetViews>
    <sheetView showGridLines="0" zoomScale="111" zoomScaleNormal="110" workbookViewId="0">
      <selection activeCell="D43" sqref="D43"/>
    </sheetView>
  </sheetViews>
  <sheetFormatPr baseColWidth="10" defaultColWidth="11.1640625" defaultRowHeight="16" x14ac:dyDescent="0.2"/>
  <cols>
    <col min="21" max="21" width="11.5" customWidth="1"/>
    <col min="22" max="22" width="8.6640625" customWidth="1"/>
    <col min="23" max="27" width="0" hidden="1" customWidth="1"/>
  </cols>
  <sheetData>
    <row r="2" spans="10:27" ht="19" x14ac:dyDescent="0.25">
      <c r="V2" s="64" t="s">
        <v>167</v>
      </c>
      <c r="AA2" s="2" t="str">
        <f>"Retire at  "&amp;RetEarly_Engine!B3</f>
        <v>Retire at  55</v>
      </c>
    </row>
    <row r="3" spans="10:27" x14ac:dyDescent="0.2">
      <c r="V3" s="81">
        <f>RetEarly_Engine!B3</f>
        <v>55</v>
      </c>
      <c r="AA3" s="2" t="str">
        <f>"Retire at  "&amp;RetAge</f>
        <v>Retire at  65</v>
      </c>
    </row>
    <row r="4" spans="10:27" x14ac:dyDescent="0.2">
      <c r="K4" s="2"/>
      <c r="V4" s="81"/>
    </row>
    <row r="13" spans="10:27" x14ac:dyDescent="0.2">
      <c r="J13" s="15"/>
    </row>
  </sheetData>
  <mergeCells count="1">
    <mergeCell ref="V3:V4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Spinner 1">
              <controlPr defaultSize="0" autoPict="0">
                <anchor moveWithCells="1" sizeWithCells="1">
                  <from>
                    <xdr:col>21</xdr:col>
                    <xdr:colOff>38100</xdr:colOff>
                    <xdr:row>4</xdr:row>
                    <xdr:rowOff>63500</xdr:rowOff>
                  </from>
                  <to>
                    <xdr:col>21</xdr:col>
                    <xdr:colOff>660400</xdr:colOff>
                    <xdr:row>9</xdr:row>
                    <xdr:rowOff>63500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5D27E-B873-BD4B-AD92-1E837389CA3B}">
  <sheetPr codeName="Sheet2"/>
  <dimension ref="A1:AM348"/>
  <sheetViews>
    <sheetView tabSelected="1" zoomScale="110" zoomScaleNormal="110" workbookViewId="0">
      <pane xSplit="1" ySplit="3" topLeftCell="X184" activePane="bottomRight" state="frozen"/>
      <selection activeCell="G122" sqref="G122"/>
      <selection pane="topRight" activeCell="G122" sqref="G122"/>
      <selection pane="bottomLeft" activeCell="G122" sqref="G122"/>
      <selection pane="bottomRight" activeCell="AY40" sqref="AY40"/>
    </sheetView>
  </sheetViews>
  <sheetFormatPr baseColWidth="10" defaultRowHeight="16" x14ac:dyDescent="0.2"/>
  <cols>
    <col min="1" max="1" width="39.33203125" style="2" customWidth="1"/>
    <col min="2" max="2" width="4.33203125" style="7" customWidth="1"/>
    <col min="3" max="39" width="11.83203125" style="2" customWidth="1"/>
    <col min="40" max="2605" width="11.83203125" customWidth="1"/>
  </cols>
  <sheetData>
    <row r="1" spans="1:39" x14ac:dyDescent="0.2">
      <c r="B1" s="6">
        <v>0</v>
      </c>
      <c r="C1" s="2">
        <v>1</v>
      </c>
      <c r="D1" s="2">
        <f>C1+1</f>
        <v>2</v>
      </c>
      <c r="E1" s="2">
        <f t="shared" ref="E1:AM2" si="0">D1+1</f>
        <v>3</v>
      </c>
      <c r="F1" s="2">
        <f t="shared" si="0"/>
        <v>4</v>
      </c>
      <c r="G1" s="2">
        <f t="shared" si="0"/>
        <v>5</v>
      </c>
      <c r="H1" s="2">
        <f t="shared" si="0"/>
        <v>6</v>
      </c>
      <c r="I1" s="2">
        <f t="shared" si="0"/>
        <v>7</v>
      </c>
      <c r="J1" s="2">
        <f t="shared" ref="J1:J3" si="1">I1+1</f>
        <v>8</v>
      </c>
      <c r="K1" s="2">
        <f t="shared" ref="K1:K3" si="2">J1+1</f>
        <v>9</v>
      </c>
      <c r="L1" s="2">
        <f t="shared" ref="L1:L3" si="3">K1+1</f>
        <v>10</v>
      </c>
      <c r="M1" s="2">
        <f t="shared" ref="M1:M3" si="4">L1+1</f>
        <v>11</v>
      </c>
      <c r="N1" s="2">
        <f t="shared" ref="N1:N3" si="5">M1+1</f>
        <v>12</v>
      </c>
      <c r="O1" s="2">
        <f t="shared" ref="O1:O3" si="6">N1+1</f>
        <v>13</v>
      </c>
      <c r="P1" s="2">
        <f t="shared" ref="P1:P3" si="7">O1+1</f>
        <v>14</v>
      </c>
      <c r="Q1" s="2">
        <f t="shared" ref="Q1:Q3" si="8">P1+1</f>
        <v>15</v>
      </c>
      <c r="R1" s="2">
        <f t="shared" ref="R1:R3" si="9">Q1+1</f>
        <v>16</v>
      </c>
      <c r="S1" s="2">
        <f t="shared" ref="S1:S3" si="10">R1+1</f>
        <v>17</v>
      </c>
      <c r="T1" s="2">
        <f t="shared" ref="T1:T3" si="11">S1+1</f>
        <v>18</v>
      </c>
      <c r="U1" s="2">
        <f t="shared" ref="U1:U3" si="12">T1+1</f>
        <v>19</v>
      </c>
      <c r="V1" s="2">
        <f t="shared" ref="V1:V3" si="13">U1+1</f>
        <v>20</v>
      </c>
      <c r="W1" s="2">
        <f t="shared" ref="W1:W3" si="14">V1+1</f>
        <v>21</v>
      </c>
      <c r="X1" s="2">
        <f t="shared" ref="X1:X3" si="15">W1+1</f>
        <v>22</v>
      </c>
      <c r="Y1" s="2">
        <f t="shared" ref="Y1:Y3" si="16">X1+1</f>
        <v>23</v>
      </c>
      <c r="Z1" s="2">
        <f t="shared" ref="Z1:Z3" si="17">Y1+1</f>
        <v>24</v>
      </c>
      <c r="AA1" s="2">
        <f t="shared" ref="AA1:AA3" si="18">Z1+1</f>
        <v>25</v>
      </c>
      <c r="AB1" s="2">
        <f t="shared" ref="AB1:AB3" si="19">AA1+1</f>
        <v>26</v>
      </c>
      <c r="AC1" s="2">
        <f t="shared" ref="AC1:AC3" si="20">AB1+1</f>
        <v>27</v>
      </c>
      <c r="AD1" s="2">
        <f t="shared" ref="AD1:AD3" si="21">AC1+1</f>
        <v>28</v>
      </c>
      <c r="AE1" s="2">
        <f t="shared" ref="AE1:AE3" si="22">AD1+1</f>
        <v>29</v>
      </c>
      <c r="AF1" s="2">
        <f t="shared" ref="AF1:AF3" si="23">AE1+1</f>
        <v>30</v>
      </c>
      <c r="AG1" s="2">
        <f t="shared" ref="AG1:AG3" si="24">AF1+1</f>
        <v>31</v>
      </c>
      <c r="AH1" s="2">
        <f t="shared" ref="AH1:AH3" si="25">AG1+1</f>
        <v>32</v>
      </c>
      <c r="AI1" s="2">
        <f t="shared" ref="AI1:AI3" si="26">AH1+1</f>
        <v>33</v>
      </c>
      <c r="AJ1" s="2">
        <f t="shared" ref="AJ1:AJ3" si="27">AI1+1</f>
        <v>34</v>
      </c>
      <c r="AK1" s="2">
        <f t="shared" ref="AK1:AK3" si="28">AJ1+1</f>
        <v>35</v>
      </c>
      <c r="AL1" s="2">
        <f t="shared" ref="AL1:AL3" si="29">AK1+1</f>
        <v>36</v>
      </c>
      <c r="AM1" s="2">
        <f t="shared" ref="AM1:AM3" si="30">AL1+1</f>
        <v>37</v>
      </c>
    </row>
    <row r="2" spans="1:39" x14ac:dyDescent="0.2">
      <c r="A2" s="12"/>
      <c r="B2" s="6" t="s">
        <v>6</v>
      </c>
      <c r="C2" s="2">
        <f ca="1">YEAR(TODAY())+1</f>
        <v>2027</v>
      </c>
      <c r="D2" s="2">
        <f ca="1">C2+1</f>
        <v>2028</v>
      </c>
      <c r="E2" s="2">
        <f t="shared" ca="1" si="0"/>
        <v>2029</v>
      </c>
      <c r="F2" s="2">
        <f t="shared" ca="1" si="0"/>
        <v>2030</v>
      </c>
      <c r="G2" s="2">
        <f t="shared" ca="1" si="0"/>
        <v>2031</v>
      </c>
      <c r="H2" s="2">
        <f t="shared" ca="1" si="0"/>
        <v>2032</v>
      </c>
      <c r="I2" s="2">
        <f t="shared" ca="1" si="0"/>
        <v>2033</v>
      </c>
      <c r="J2" s="2">
        <f t="shared" ca="1" si="1"/>
        <v>2034</v>
      </c>
      <c r="K2" s="2">
        <f t="shared" ca="1" si="2"/>
        <v>2035</v>
      </c>
      <c r="L2" s="2">
        <f t="shared" ca="1" si="3"/>
        <v>2036</v>
      </c>
      <c r="M2" s="2">
        <f t="shared" ca="1" si="4"/>
        <v>2037</v>
      </c>
      <c r="N2" s="2">
        <f t="shared" ca="1" si="5"/>
        <v>2038</v>
      </c>
      <c r="O2" s="2">
        <f t="shared" ca="1" si="6"/>
        <v>2039</v>
      </c>
      <c r="P2" s="2">
        <f t="shared" ca="1" si="7"/>
        <v>2040</v>
      </c>
      <c r="Q2" s="2">
        <f t="shared" ca="1" si="8"/>
        <v>2041</v>
      </c>
      <c r="R2" s="2">
        <f t="shared" ca="1" si="9"/>
        <v>2042</v>
      </c>
      <c r="S2" s="2">
        <f t="shared" ca="1" si="10"/>
        <v>2043</v>
      </c>
      <c r="T2" s="2">
        <f t="shared" ca="1" si="11"/>
        <v>2044</v>
      </c>
      <c r="U2" s="2">
        <f t="shared" ca="1" si="12"/>
        <v>2045</v>
      </c>
      <c r="V2" s="2">
        <f t="shared" ca="1" si="13"/>
        <v>2046</v>
      </c>
      <c r="W2" s="2">
        <f t="shared" ca="1" si="14"/>
        <v>2047</v>
      </c>
      <c r="X2" s="2">
        <f t="shared" ca="1" si="15"/>
        <v>2048</v>
      </c>
      <c r="Y2" s="2">
        <f t="shared" ca="1" si="16"/>
        <v>2049</v>
      </c>
      <c r="Z2" s="2">
        <f t="shared" ca="1" si="17"/>
        <v>2050</v>
      </c>
      <c r="AA2" s="2">
        <f t="shared" ca="1" si="18"/>
        <v>2051</v>
      </c>
      <c r="AB2" s="2">
        <f t="shared" ca="1" si="19"/>
        <v>2052</v>
      </c>
      <c r="AC2" s="2">
        <f t="shared" ca="1" si="20"/>
        <v>2053</v>
      </c>
      <c r="AD2" s="2">
        <f t="shared" ca="1" si="21"/>
        <v>2054</v>
      </c>
      <c r="AE2" s="2">
        <f t="shared" ca="1" si="22"/>
        <v>2055</v>
      </c>
      <c r="AF2" s="2">
        <f t="shared" ca="1" si="23"/>
        <v>2056</v>
      </c>
      <c r="AG2" s="2">
        <f t="shared" ca="1" si="24"/>
        <v>2057</v>
      </c>
      <c r="AH2" s="2">
        <f t="shared" ca="1" si="25"/>
        <v>2058</v>
      </c>
      <c r="AI2" s="2">
        <f t="shared" ca="1" si="26"/>
        <v>2059</v>
      </c>
      <c r="AJ2" s="2">
        <f t="shared" ca="1" si="27"/>
        <v>2060</v>
      </c>
      <c r="AK2" s="2">
        <f t="shared" ca="1" si="28"/>
        <v>2061</v>
      </c>
      <c r="AL2" s="2">
        <f t="shared" ca="1" si="29"/>
        <v>2062</v>
      </c>
      <c r="AM2" s="2">
        <f t="shared" ca="1" si="30"/>
        <v>2063</v>
      </c>
    </row>
    <row r="3" spans="1:39" x14ac:dyDescent="0.2">
      <c r="A3" s="36"/>
      <c r="B3" s="37">
        <f>Inputs!B19</f>
        <v>65</v>
      </c>
      <c r="C3" s="2">
        <f>Inputs!B4+1</f>
        <v>49</v>
      </c>
      <c r="D3" s="2">
        <f>C3+1</f>
        <v>50</v>
      </c>
      <c r="E3" s="2">
        <f t="shared" ref="E3:AM3" si="31">D3+1</f>
        <v>51</v>
      </c>
      <c r="F3" s="2">
        <f t="shared" si="31"/>
        <v>52</v>
      </c>
      <c r="G3" s="2">
        <f t="shared" si="31"/>
        <v>53</v>
      </c>
      <c r="H3" s="2">
        <f t="shared" si="31"/>
        <v>54</v>
      </c>
      <c r="I3" s="2">
        <f t="shared" si="31"/>
        <v>55</v>
      </c>
      <c r="J3" s="2">
        <f t="shared" si="1"/>
        <v>56</v>
      </c>
      <c r="K3" s="2">
        <f t="shared" si="2"/>
        <v>57</v>
      </c>
      <c r="L3" s="2">
        <f t="shared" si="3"/>
        <v>58</v>
      </c>
      <c r="M3" s="2">
        <f t="shared" si="4"/>
        <v>59</v>
      </c>
      <c r="N3" s="2">
        <f t="shared" si="5"/>
        <v>60</v>
      </c>
      <c r="O3" s="2">
        <f t="shared" si="6"/>
        <v>61</v>
      </c>
      <c r="P3" s="2">
        <f t="shared" si="7"/>
        <v>62</v>
      </c>
      <c r="Q3" s="2">
        <f t="shared" si="8"/>
        <v>63</v>
      </c>
      <c r="R3" s="2">
        <f t="shared" si="9"/>
        <v>64</v>
      </c>
      <c r="S3" s="2">
        <f t="shared" si="10"/>
        <v>65</v>
      </c>
      <c r="T3" s="2">
        <f t="shared" si="11"/>
        <v>66</v>
      </c>
      <c r="U3" s="2">
        <f t="shared" si="12"/>
        <v>67</v>
      </c>
      <c r="V3" s="2">
        <f t="shared" si="13"/>
        <v>68</v>
      </c>
      <c r="W3" s="2">
        <f t="shared" si="14"/>
        <v>69</v>
      </c>
      <c r="X3" s="2">
        <f t="shared" si="15"/>
        <v>70</v>
      </c>
      <c r="Y3" s="2">
        <f t="shared" si="16"/>
        <v>71</v>
      </c>
      <c r="Z3" s="2">
        <f t="shared" si="17"/>
        <v>72</v>
      </c>
      <c r="AA3" s="2">
        <f t="shared" si="18"/>
        <v>73</v>
      </c>
      <c r="AB3" s="2">
        <f t="shared" si="19"/>
        <v>74</v>
      </c>
      <c r="AC3" s="2">
        <f t="shared" si="20"/>
        <v>75</v>
      </c>
      <c r="AD3" s="2">
        <f t="shared" si="21"/>
        <v>76</v>
      </c>
      <c r="AE3" s="2">
        <f t="shared" si="22"/>
        <v>77</v>
      </c>
      <c r="AF3" s="2">
        <f t="shared" si="23"/>
        <v>78</v>
      </c>
      <c r="AG3" s="2">
        <f t="shared" si="24"/>
        <v>79</v>
      </c>
      <c r="AH3" s="2">
        <f t="shared" si="25"/>
        <v>80</v>
      </c>
      <c r="AI3" s="2">
        <f t="shared" si="26"/>
        <v>81</v>
      </c>
      <c r="AJ3" s="2">
        <f t="shared" si="27"/>
        <v>82</v>
      </c>
      <c r="AK3" s="2">
        <f t="shared" si="28"/>
        <v>83</v>
      </c>
      <c r="AL3" s="2">
        <f t="shared" si="29"/>
        <v>84</v>
      </c>
      <c r="AM3" s="2">
        <f t="shared" si="30"/>
        <v>85</v>
      </c>
    </row>
    <row r="4" spans="1:39" ht="19" x14ac:dyDescent="0.25">
      <c r="A4" s="14" t="s">
        <v>17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</row>
    <row r="5" spans="1:39" x14ac:dyDescent="0.2">
      <c r="A5" s="5" t="s">
        <v>51</v>
      </c>
      <c r="B5" s="9"/>
      <c r="C5" s="8">
        <f>IF(AND(Inputs!$B$19&gt;C3,$B$3&gt;C3),Inputs!$B$6*(1+sincr)^B1,0)</f>
        <v>80000</v>
      </c>
      <c r="D5" s="8">
        <f>IF(AND(Inputs!$B$19&gt;D3,$B$3&gt;D3),Inputs!$B$6*(1+sincr)^C1,0)</f>
        <v>82400</v>
      </c>
      <c r="E5" s="8">
        <f>IF(AND(Inputs!$B$19&gt;E3,$B$3&gt;E3),Inputs!$B$6*(1+sincr)^D1,0)</f>
        <v>84872</v>
      </c>
      <c r="F5" s="8">
        <f>IF(AND(Inputs!$B$19&gt;F3,$B$3&gt;F3),Inputs!$B$6*(1+sincr)^E1,0)</f>
        <v>87418.16</v>
      </c>
      <c r="G5" s="8">
        <f>IF(AND(Inputs!$B$19&gt;G3,$B$3&gt;G3),Inputs!$B$6*(1+sincr)^F1,0)</f>
        <v>90040.704799999992</v>
      </c>
      <c r="H5" s="8">
        <f>IF(AND(Inputs!$B$19&gt;H3,$B$3&gt;H3),Inputs!$B$6*(1+sincr)^G1,0)</f>
        <v>92741.925943999988</v>
      </c>
      <c r="I5" s="8">
        <f>IF(AND(Inputs!$B$19&gt;I3,$B$3&gt;I3),Inputs!$B$6*(1+sincr)^H1,0)</f>
        <v>95524.183722319998</v>
      </c>
      <c r="J5" s="8">
        <f>IF(AND(Inputs!$B$19&gt;J3,$B$3&gt;J3),Inputs!$B$6*(1+sincr)^I1,0)</f>
        <v>98389.909233989601</v>
      </c>
      <c r="K5" s="8">
        <f>IF(AND(Inputs!$B$19&gt;K3,$B$3&gt;K3),Inputs!$B$6*(1+sincr)^J1,0)</f>
        <v>101341.60651100927</v>
      </c>
      <c r="L5" s="8">
        <f>IF(AND(Inputs!$B$19&gt;L3,$B$3&gt;L3),Inputs!$B$6*(1+sincr)^K1,0)</f>
        <v>104381.85470633955</v>
      </c>
      <c r="M5" s="8">
        <f>IF(AND(Inputs!$B$19&gt;M3,$B$3&gt;M3),Inputs!$B$6*(1+sincr)^L1,0)</f>
        <v>107513.31034752974</v>
      </c>
      <c r="N5" s="8">
        <f>IF(AND(Inputs!$B$19&gt;N3,$B$3&gt;N3),Inputs!$B$6*(1+sincr)^M1,0)</f>
        <v>110738.70965795564</v>
      </c>
      <c r="O5" s="8">
        <f>IF(AND(Inputs!$B$19&gt;O3,$B$3&gt;O3),Inputs!$B$6*(1+sincr)^N1,0)</f>
        <v>114060.87094769429</v>
      </c>
      <c r="P5" s="8">
        <f>IF(AND(Inputs!$B$19&gt;P3,$B$3&gt;P3),Inputs!$B$6*(1+sincr)^O1,0)</f>
        <v>117482.69707612511</v>
      </c>
      <c r="Q5" s="8">
        <f>IF(AND(Inputs!$B$19&gt;Q3,$B$3&gt;Q3),Inputs!$B$6*(1+sincr)^P1,0)</f>
        <v>121007.17798840888</v>
      </c>
      <c r="R5" s="8">
        <f>IF(AND(Inputs!$B$19&gt;R3,$B$3&gt;R3),Inputs!$B$6*(1+sincr)^Q1,0)</f>
        <v>124637.39332806115</v>
      </c>
      <c r="S5" s="8">
        <f>IF(AND(Inputs!$B$19&gt;S3,$B$3&gt;S3),Inputs!$B$6*(1+sincr)^R1,0)</f>
        <v>0</v>
      </c>
      <c r="T5" s="8">
        <f>IF(AND(Inputs!$B$19&gt;T3,$B$3&gt;T3),Inputs!$B$6*(1+sincr)^S1,0)</f>
        <v>0</v>
      </c>
      <c r="U5" s="8">
        <f>IF(AND(Inputs!$B$19&gt;U3,$B$3&gt;U3),Inputs!$B$6*(1+sincr)^T1,0)</f>
        <v>0</v>
      </c>
      <c r="V5" s="8">
        <f>IF(AND(Inputs!$B$19&gt;V3,$B$3&gt;V3),Inputs!$B$6*(1+sincr)^U1,0)</f>
        <v>0</v>
      </c>
      <c r="W5" s="8">
        <f>IF(AND(Inputs!$B$19&gt;W3,$B$3&gt;W3),Inputs!$B$6*(1+sincr)^V1,0)</f>
        <v>0</v>
      </c>
      <c r="X5" s="8">
        <f>IF(AND(Inputs!$B$19&gt;X3,$B$3&gt;X3),Inputs!$B$6*(1+sincr)^W1,0)</f>
        <v>0</v>
      </c>
      <c r="Y5" s="8">
        <f>IF(AND(Inputs!$B$19&gt;Y3,$B$3&gt;Y3),Inputs!$B$6*(1+sincr)^X1,0)</f>
        <v>0</v>
      </c>
      <c r="Z5" s="8">
        <f>IF(AND(Inputs!$B$19&gt;Z3,$B$3&gt;Z3),Inputs!$B$6*(1+sincr)^Y1,0)</f>
        <v>0</v>
      </c>
      <c r="AA5" s="8">
        <f>IF(AND(Inputs!$B$19&gt;AA3,$B$3&gt;AA3),Inputs!$B$6*(1+sincr)^Z1,0)</f>
        <v>0</v>
      </c>
      <c r="AB5" s="8">
        <f>IF(AND(Inputs!$B$19&gt;AB3,$B$3&gt;AB3),Inputs!$B$6*(1+sincr)^AA1,0)</f>
        <v>0</v>
      </c>
      <c r="AC5" s="8">
        <f>IF(AND(Inputs!$B$19&gt;AC3,$B$3&gt;AC3),Inputs!$B$6*(1+sincr)^AB1,0)</f>
        <v>0</v>
      </c>
      <c r="AD5" s="8">
        <f>IF(AND(Inputs!$B$19&gt;AD3,$B$3&gt;AD3),Inputs!$B$6*(1+sincr)^AC1,0)</f>
        <v>0</v>
      </c>
      <c r="AE5" s="8">
        <f>IF(AND(Inputs!$B$19&gt;AE3,$B$3&gt;AE3),Inputs!$B$6*(1+sincr)^AD1,0)</f>
        <v>0</v>
      </c>
      <c r="AF5" s="8">
        <f>IF(AND(Inputs!$B$19&gt;AF3,$B$3&gt;AF3),Inputs!$B$6*(1+sincr)^AE1,0)</f>
        <v>0</v>
      </c>
      <c r="AG5" s="8">
        <f>IF(AND(Inputs!$B$19&gt;AG3,$B$3&gt;AG3),Inputs!$B$6*(1+sincr)^AF1,0)</f>
        <v>0</v>
      </c>
      <c r="AH5" s="8">
        <f>IF(AND(Inputs!$B$19&gt;AH3,$B$3&gt;AH3),Inputs!$B$6*(1+sincr)^AG1,0)</f>
        <v>0</v>
      </c>
      <c r="AI5" s="8">
        <f>IF(AND(Inputs!$B$19&gt;AI3,$B$3&gt;AI3),Inputs!$B$6*(1+sincr)^AH1,0)</f>
        <v>0</v>
      </c>
      <c r="AJ5" s="8">
        <f>IF(AND(Inputs!$B$19&gt;AJ3,$B$3&gt;AJ3),Inputs!$B$6*(1+sincr)^AI1,0)</f>
        <v>0</v>
      </c>
      <c r="AK5" s="8">
        <f>IF(AND(Inputs!$B$19&gt;AK3,$B$3&gt;AK3),Inputs!$B$6*(1+sincr)^AJ1,0)</f>
        <v>0</v>
      </c>
      <c r="AL5" s="8">
        <f>IF(AND(Inputs!$B$19&gt;AL3,$B$3&gt;AL3),Inputs!$B$6*(1+sincr)^AK1,0)</f>
        <v>0</v>
      </c>
      <c r="AM5" s="8">
        <f>IF(AND(Inputs!$B$19&gt;AM3,$B$3&gt;AM3),Inputs!$B$6*(1+sincr)^AL1,0)</f>
        <v>0</v>
      </c>
    </row>
    <row r="6" spans="1:39" x14ac:dyDescent="0.2">
      <c r="A6" s="5" t="s">
        <v>14</v>
      </c>
      <c r="B6" s="9"/>
      <c r="C6" s="8">
        <f>IF(C$3&lt;=Inputs!$B$71,Inputs!$B$70,0)*(1+inf)^B$1</f>
        <v>2000</v>
      </c>
      <c r="D6" s="8">
        <f>IF(D$3&lt;=Inputs!$B$71,Inputs!$B$70,0)*(1+inf)^C$1</f>
        <v>2050</v>
      </c>
      <c r="E6" s="8">
        <f>IF(E$3&lt;=Inputs!$B$71,Inputs!$B$70,0)*(1+inf)^D$1</f>
        <v>2101.25</v>
      </c>
      <c r="F6" s="8">
        <f>IF(F$3&lt;=Inputs!$B$71,Inputs!$B$70,0)*(1+inf)^E$1</f>
        <v>2153.7812499999995</v>
      </c>
      <c r="G6" s="8">
        <f>IF(G$3&lt;=Inputs!$B$71,Inputs!$B$70,0)*(1+inf)^F$1</f>
        <v>2207.6257812499994</v>
      </c>
      <c r="H6" s="8">
        <f>IF(H$3&lt;=Inputs!$B$71,Inputs!$B$70,0)*(1+inf)^G$1</f>
        <v>2262.8164257812491</v>
      </c>
      <c r="I6" s="8">
        <f>IF(I$3&lt;=Inputs!$B$71,Inputs!$B$70,0)*(1+inf)^H$1</f>
        <v>2319.3868364257805</v>
      </c>
      <c r="J6" s="8">
        <f>IF(J$3&lt;=Inputs!$B$71,Inputs!$B$70,0)*(1+inf)^I$1</f>
        <v>2377.3715073364251</v>
      </c>
      <c r="K6" s="8">
        <f>IF(K$3&lt;=Inputs!$B$71,Inputs!$B$70,0)*(1+inf)^J$1</f>
        <v>2436.8057950198354</v>
      </c>
      <c r="L6" s="8">
        <f>IF(L$3&lt;=Inputs!$B$71,Inputs!$B$70,0)*(1+inf)^K$1</f>
        <v>2497.7259398953311</v>
      </c>
      <c r="M6" s="8">
        <f>IF(M$3&lt;=Inputs!$B$71,Inputs!$B$70,0)*(1+inf)^L$1</f>
        <v>0</v>
      </c>
      <c r="N6" s="8">
        <f>IF(N$3&lt;=Inputs!$B$71,Inputs!$B$70,0)*(1+inf)^M$1</f>
        <v>0</v>
      </c>
      <c r="O6" s="8">
        <f>IF(O$3&lt;=Inputs!$B$71,Inputs!$B$70,0)*(1+inf)^N$1</f>
        <v>0</v>
      </c>
      <c r="P6" s="8">
        <f>IF(P$3&lt;=Inputs!$B$71,Inputs!$B$70,0)*(1+inf)^O$1</f>
        <v>0</v>
      </c>
      <c r="Q6" s="8">
        <f>IF(Q$3&lt;=Inputs!$B$71,Inputs!$B$70,0)*(1+inf)^P$1</f>
        <v>0</v>
      </c>
      <c r="R6" s="8">
        <f>IF(R$3&lt;=Inputs!$B$71,Inputs!$B$70,0)*(1+inf)^Q$1</f>
        <v>0</v>
      </c>
      <c r="S6" s="8">
        <f>IF(S$3&lt;=Inputs!$B$71,Inputs!$B$70,0)*(1+inf)^R$1</f>
        <v>0</v>
      </c>
      <c r="T6" s="8">
        <f>IF(T$3&lt;=Inputs!$B$71,Inputs!$B$70,0)*(1+inf)^S$1</f>
        <v>0</v>
      </c>
      <c r="U6" s="8">
        <f>IF(U$3&lt;=Inputs!$B$71,Inputs!$B$70,0)*(1+inf)^T$1</f>
        <v>0</v>
      </c>
      <c r="V6" s="8">
        <f>IF(V$3&lt;=Inputs!$B$71,Inputs!$B$70,0)*(1+inf)^U$1</f>
        <v>0</v>
      </c>
      <c r="W6" s="8">
        <f>IF(W$3&lt;=Inputs!$B$71,Inputs!$B$70,0)*(1+inf)^V$1</f>
        <v>0</v>
      </c>
      <c r="X6" s="8">
        <f>IF(X$3&lt;=Inputs!$B$71,Inputs!$B$70,0)*(1+inf)^W$1</f>
        <v>0</v>
      </c>
      <c r="Y6" s="8">
        <f>IF(Y$3&lt;=Inputs!$B$71,Inputs!$B$70,0)*(1+inf)^X$1</f>
        <v>0</v>
      </c>
      <c r="Z6" s="8">
        <f>IF(Z$3&lt;=Inputs!$B$71,Inputs!$B$70,0)*(1+inf)^Y$1</f>
        <v>0</v>
      </c>
      <c r="AA6" s="8">
        <f>IF(AA$3&lt;=Inputs!$B$71,Inputs!$B$70,0)*(1+inf)^Z$1</f>
        <v>0</v>
      </c>
      <c r="AB6" s="8">
        <f>IF(AB$3&lt;=Inputs!$B$71,Inputs!$B$70,0)*(1+inf)^AA$1</f>
        <v>0</v>
      </c>
      <c r="AC6" s="8">
        <f>IF(AC$3&lt;=Inputs!$B$71,Inputs!$B$70,0)*(1+inf)^AB$1</f>
        <v>0</v>
      </c>
      <c r="AD6" s="8">
        <f>IF(AD$3&lt;=Inputs!$B$71,Inputs!$B$70,0)*(1+inf)^AC$1</f>
        <v>0</v>
      </c>
      <c r="AE6" s="8">
        <f>IF(AE$3&lt;=Inputs!$B$71,Inputs!$B$70,0)*(1+inf)^AD$1</f>
        <v>0</v>
      </c>
      <c r="AF6" s="8">
        <f>IF(AF$3&lt;=Inputs!$B$71,Inputs!$B$70,0)*(1+inf)^AE$1</f>
        <v>0</v>
      </c>
      <c r="AG6" s="8">
        <f>IF(AG$3&lt;=Inputs!$B$71,Inputs!$B$70,0)*(1+inf)^AF$1</f>
        <v>0</v>
      </c>
      <c r="AH6" s="8">
        <f>IF(AH$3&lt;=Inputs!$B$71,Inputs!$B$70,0)*(1+inf)^AG$1</f>
        <v>0</v>
      </c>
      <c r="AI6" s="8">
        <f>IF(AI$3&lt;=Inputs!$B$71,Inputs!$B$70,0)*(1+inf)^AH$1</f>
        <v>0</v>
      </c>
      <c r="AJ6" s="8">
        <f>IF(AJ$3&lt;=Inputs!$B$71,Inputs!$B$70,0)*(1+inf)^AI$1</f>
        <v>0</v>
      </c>
      <c r="AK6" s="8">
        <f>IF(AK$3&lt;=Inputs!$B$71,Inputs!$B$70,0)*(1+inf)^AJ$1</f>
        <v>0</v>
      </c>
      <c r="AL6" s="8">
        <f>IF(AL$3&lt;=Inputs!$B$71,Inputs!$B$70,0)*(1+inf)^AK$1</f>
        <v>0</v>
      </c>
      <c r="AM6" s="8">
        <f>IF(AM$3&lt;=Inputs!$B$71,Inputs!$B$70,0)*(1+inf)^AL$1</f>
        <v>0</v>
      </c>
    </row>
    <row r="7" spans="1:39" x14ac:dyDescent="0.2">
      <c r="A7" s="5" t="s">
        <v>79</v>
      </c>
      <c r="B7" s="9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</row>
    <row r="8" spans="1:39" x14ac:dyDescent="0.2">
      <c r="A8" s="4" t="str">
        <f>TEXT(Inputs!$B$50,"")</f>
        <v>Sliema</v>
      </c>
      <c r="C8" s="8">
        <f>Inputs!B66</f>
        <v>12000</v>
      </c>
      <c r="D8" s="8">
        <f t="shared" ref="D8:AM8" si="32">C8*(1+rinc)</f>
        <v>12360</v>
      </c>
      <c r="E8" s="8">
        <f t="shared" si="32"/>
        <v>12730.800000000001</v>
      </c>
      <c r="F8" s="8">
        <f t="shared" si="32"/>
        <v>13112.724000000002</v>
      </c>
      <c r="G8" s="8">
        <f t="shared" si="32"/>
        <v>13506.105720000003</v>
      </c>
      <c r="H8" s="8">
        <f t="shared" si="32"/>
        <v>13911.288891600003</v>
      </c>
      <c r="I8" s="8">
        <f t="shared" si="32"/>
        <v>14328.627558348004</v>
      </c>
      <c r="J8" s="8">
        <f t="shared" ref="J8:J10" si="33">I8*(1+rinc)</f>
        <v>14758.486385098444</v>
      </c>
      <c r="K8" s="8">
        <f t="shared" ref="K8:K10" si="34">J8*(1+rinc)</f>
        <v>15201.240976651397</v>
      </c>
      <c r="L8" s="8">
        <f t="shared" ref="L8:L10" si="35">K8*(1+rinc)</f>
        <v>15657.278205950939</v>
      </c>
      <c r="M8" s="8">
        <f t="shared" ref="M8:M10" si="36">L8*(1+rinc)</f>
        <v>16126.996552129467</v>
      </c>
      <c r="N8" s="8">
        <f t="shared" ref="N8:N10" si="37">M8*(1+rinc)</f>
        <v>16610.806448693351</v>
      </c>
      <c r="O8" s="8">
        <f t="shared" ref="O8:O10" si="38">N8*(1+rinc)</f>
        <v>17109.130642154152</v>
      </c>
      <c r="P8" s="8">
        <f t="shared" ref="P8:P10" si="39">O8*(1+rinc)</f>
        <v>17622.404561418778</v>
      </c>
      <c r="Q8" s="8">
        <f t="shared" ref="Q8:Q10" si="40">P8*(1+rinc)</f>
        <v>18151.076698261342</v>
      </c>
      <c r="R8" s="8">
        <f t="shared" ref="R8:R10" si="41">Q8*(1+rinc)</f>
        <v>18695.608999209184</v>
      </c>
      <c r="S8" s="8">
        <f t="shared" ref="S8:S10" si="42">R8*(1+rinc)</f>
        <v>19256.47726918546</v>
      </c>
      <c r="T8" s="8">
        <f t="shared" ref="T8:T10" si="43">S8*(1+rinc)</f>
        <v>19834.171587261026</v>
      </c>
      <c r="U8" s="8">
        <f t="shared" ref="U8:U10" si="44">T8*(1+rinc)</f>
        <v>20429.196734878857</v>
      </c>
      <c r="V8" s="8">
        <f t="shared" ref="V8:V10" si="45">U8*(1+rinc)</f>
        <v>21042.072636925222</v>
      </c>
      <c r="W8" s="8">
        <f t="shared" ref="W8:W10" si="46">V8*(1+rinc)</f>
        <v>21673.334816032981</v>
      </c>
      <c r="X8" s="8">
        <f t="shared" ref="X8:X10" si="47">W8*(1+rinc)</f>
        <v>22323.53486051397</v>
      </c>
      <c r="Y8" s="8">
        <f t="shared" ref="Y8:Y10" si="48">X8*(1+rinc)</f>
        <v>22993.240906329389</v>
      </c>
      <c r="Z8" s="8">
        <f t="shared" ref="Z8:Z10" si="49">Y8*(1+rinc)</f>
        <v>23683.038133519272</v>
      </c>
      <c r="AA8" s="8">
        <f t="shared" ref="AA8:AA10" si="50">Z8*(1+rinc)</f>
        <v>24393.529277524853</v>
      </c>
      <c r="AB8" s="8">
        <f t="shared" ref="AB8:AB10" si="51">AA8*(1+rinc)</f>
        <v>25125.3351558506</v>
      </c>
      <c r="AC8" s="8">
        <f t="shared" ref="AC8:AC10" si="52">AB8*(1+rinc)</f>
        <v>25879.09521052612</v>
      </c>
      <c r="AD8" s="8">
        <f t="shared" ref="AD8:AD10" si="53">AC8*(1+rinc)</f>
        <v>26655.468066841906</v>
      </c>
      <c r="AE8" s="8">
        <f t="shared" ref="AE8:AE10" si="54">AD8*(1+rinc)</f>
        <v>27455.132108847163</v>
      </c>
      <c r="AF8" s="8">
        <f t="shared" ref="AF8:AF10" si="55">AE8*(1+rinc)</f>
        <v>28278.78607211258</v>
      </c>
      <c r="AG8" s="8">
        <f t="shared" ref="AG8:AG10" si="56">AF8*(1+rinc)</f>
        <v>29127.14965427596</v>
      </c>
      <c r="AH8" s="8">
        <f t="shared" ref="AH8:AH10" si="57">AG8*(1+rinc)</f>
        <v>30000.964143904239</v>
      </c>
      <c r="AI8" s="8">
        <f t="shared" ref="AI8:AI10" si="58">AH8*(1+rinc)</f>
        <v>30900.993068221367</v>
      </c>
      <c r="AJ8" s="8">
        <f t="shared" ref="AJ8:AJ10" si="59">AI8*(1+rinc)</f>
        <v>31828.022860268007</v>
      </c>
      <c r="AK8" s="8">
        <f t="shared" ref="AK8:AK10" si="60">AJ8*(1+rinc)</f>
        <v>32782.863546076049</v>
      </c>
      <c r="AL8" s="8">
        <f t="shared" ref="AL8:AL10" si="61">AK8*(1+rinc)</f>
        <v>33766.349452458329</v>
      </c>
      <c r="AM8" s="8">
        <f t="shared" ref="AM8:AM10" si="62">AL8*(1+rinc)</f>
        <v>34779.339936032084</v>
      </c>
    </row>
    <row r="9" spans="1:39" x14ac:dyDescent="0.2">
      <c r="A9" s="4" t="str">
        <f>TEXT(Inputs!$B$55,"")</f>
        <v>Gzira</v>
      </c>
      <c r="C9" s="8">
        <f>Inputs!B67</f>
        <v>10000</v>
      </c>
      <c r="D9" s="8">
        <f t="shared" ref="D9:AM9" si="63">C9*(1+rinc)</f>
        <v>10300</v>
      </c>
      <c r="E9" s="8">
        <f t="shared" si="63"/>
        <v>10609</v>
      </c>
      <c r="F9" s="8">
        <f t="shared" si="63"/>
        <v>10927.27</v>
      </c>
      <c r="G9" s="8">
        <f t="shared" si="63"/>
        <v>11255.088100000001</v>
      </c>
      <c r="H9" s="8">
        <f t="shared" si="63"/>
        <v>11592.740743</v>
      </c>
      <c r="I9" s="8">
        <f t="shared" si="63"/>
        <v>11940.52296529</v>
      </c>
      <c r="J9" s="8">
        <f t="shared" si="33"/>
        <v>12298.7386542487</v>
      </c>
      <c r="K9" s="8">
        <f t="shared" si="34"/>
        <v>12667.700813876161</v>
      </c>
      <c r="L9" s="8">
        <f t="shared" si="35"/>
        <v>13047.731838292446</v>
      </c>
      <c r="M9" s="8">
        <f t="shared" si="36"/>
        <v>13439.163793441219</v>
      </c>
      <c r="N9" s="8">
        <f t="shared" si="37"/>
        <v>13842.338707244457</v>
      </c>
      <c r="O9" s="8">
        <f t="shared" si="38"/>
        <v>14257.60886846179</v>
      </c>
      <c r="P9" s="8">
        <f t="shared" si="39"/>
        <v>14685.337134515645</v>
      </c>
      <c r="Q9" s="8">
        <f t="shared" si="40"/>
        <v>15125.897248551115</v>
      </c>
      <c r="R9" s="8">
        <f t="shared" si="41"/>
        <v>15579.67416600765</v>
      </c>
      <c r="S9" s="8">
        <f t="shared" si="42"/>
        <v>16047.06439098788</v>
      </c>
      <c r="T9" s="8">
        <f t="shared" si="43"/>
        <v>16528.476322717517</v>
      </c>
      <c r="U9" s="8">
        <f t="shared" si="44"/>
        <v>17024.330612399044</v>
      </c>
      <c r="V9" s="8">
        <f t="shared" si="45"/>
        <v>17535.060530771018</v>
      </c>
      <c r="W9" s="8">
        <f t="shared" si="46"/>
        <v>18061.11234669415</v>
      </c>
      <c r="X9" s="8">
        <f t="shared" si="47"/>
        <v>18602.945717094975</v>
      </c>
      <c r="Y9" s="8">
        <f t="shared" si="48"/>
        <v>19161.034088607827</v>
      </c>
      <c r="Z9" s="8">
        <f t="shared" si="49"/>
        <v>19735.865111266063</v>
      </c>
      <c r="AA9" s="8">
        <f t="shared" si="50"/>
        <v>20327.941064604045</v>
      </c>
      <c r="AB9" s="8">
        <f t="shared" si="51"/>
        <v>20937.779296542169</v>
      </c>
      <c r="AC9" s="8">
        <f t="shared" si="52"/>
        <v>21565.912675438434</v>
      </c>
      <c r="AD9" s="8">
        <f t="shared" si="53"/>
        <v>22212.890055701588</v>
      </c>
      <c r="AE9" s="8">
        <f t="shared" si="54"/>
        <v>22879.276757372634</v>
      </c>
      <c r="AF9" s="8">
        <f t="shared" si="55"/>
        <v>23565.655060093814</v>
      </c>
      <c r="AG9" s="8">
        <f t="shared" si="56"/>
        <v>24272.624711896628</v>
      </c>
      <c r="AH9" s="8">
        <f t="shared" si="57"/>
        <v>25000.803453253528</v>
      </c>
      <c r="AI9" s="8">
        <f t="shared" si="58"/>
        <v>25750.827556851134</v>
      </c>
      <c r="AJ9" s="8">
        <f t="shared" si="59"/>
        <v>26523.35238355667</v>
      </c>
      <c r="AK9" s="8">
        <f t="shared" si="60"/>
        <v>27319.052955063373</v>
      </c>
      <c r="AL9" s="8">
        <f t="shared" si="61"/>
        <v>28138.624543715276</v>
      </c>
      <c r="AM9" s="8">
        <f t="shared" si="62"/>
        <v>28982.783280026735</v>
      </c>
    </row>
    <row r="10" spans="1:39" x14ac:dyDescent="0.2">
      <c r="A10" s="4" t="str">
        <f>TEXT(Inputs!$B$60,"")</f>
        <v>Qormi</v>
      </c>
      <c r="C10" s="8">
        <f>Inputs!B68</f>
        <v>8000</v>
      </c>
      <c r="D10" s="8">
        <f t="shared" ref="D10:AM10" si="64">C10*(1+rinc)</f>
        <v>8240</v>
      </c>
      <c r="E10" s="8">
        <f t="shared" si="64"/>
        <v>8487.2000000000007</v>
      </c>
      <c r="F10" s="8">
        <f t="shared" si="64"/>
        <v>8741.8160000000007</v>
      </c>
      <c r="G10" s="8">
        <f t="shared" si="64"/>
        <v>9004.0704800000003</v>
      </c>
      <c r="H10" s="8">
        <f t="shared" si="64"/>
        <v>9274.1925944000013</v>
      </c>
      <c r="I10" s="8">
        <f t="shared" si="64"/>
        <v>9552.4183722320013</v>
      </c>
      <c r="J10" s="8">
        <f t="shared" si="33"/>
        <v>9838.990923398962</v>
      </c>
      <c r="K10" s="8">
        <f t="shared" si="34"/>
        <v>10134.16065110093</v>
      </c>
      <c r="L10" s="8">
        <f t="shared" si="35"/>
        <v>10438.185470633958</v>
      </c>
      <c r="M10" s="8">
        <f t="shared" si="36"/>
        <v>10751.331034752977</v>
      </c>
      <c r="N10" s="8">
        <f t="shared" si="37"/>
        <v>11073.870965795566</v>
      </c>
      <c r="O10" s="8">
        <f t="shared" si="38"/>
        <v>11406.087094769433</v>
      </c>
      <c r="P10" s="8">
        <f t="shared" si="39"/>
        <v>11748.269707612517</v>
      </c>
      <c r="Q10" s="8">
        <f t="shared" si="40"/>
        <v>12100.717798840893</v>
      </c>
      <c r="R10" s="8">
        <f t="shared" si="41"/>
        <v>12463.739332806121</v>
      </c>
      <c r="S10" s="8">
        <f t="shared" si="42"/>
        <v>12837.651512790304</v>
      </c>
      <c r="T10" s="8">
        <f t="shared" si="43"/>
        <v>13222.781058174014</v>
      </c>
      <c r="U10" s="8">
        <f t="shared" si="44"/>
        <v>13619.464489919235</v>
      </c>
      <c r="V10" s="8">
        <f t="shared" si="45"/>
        <v>14028.048424616813</v>
      </c>
      <c r="W10" s="8">
        <f t="shared" si="46"/>
        <v>14448.889877355317</v>
      </c>
      <c r="X10" s="8">
        <f t="shared" si="47"/>
        <v>14882.356573675977</v>
      </c>
      <c r="Y10" s="8">
        <f t="shared" si="48"/>
        <v>15328.827270886257</v>
      </c>
      <c r="Z10" s="8">
        <f t="shared" si="49"/>
        <v>15788.692089012846</v>
      </c>
      <c r="AA10" s="8">
        <f t="shared" si="50"/>
        <v>16262.352851683232</v>
      </c>
      <c r="AB10" s="8">
        <f t="shared" si="51"/>
        <v>16750.22343723373</v>
      </c>
      <c r="AC10" s="8">
        <f t="shared" si="52"/>
        <v>17252.730140350741</v>
      </c>
      <c r="AD10" s="8">
        <f t="shared" si="53"/>
        <v>17770.312044561262</v>
      </c>
      <c r="AE10" s="8">
        <f t="shared" si="54"/>
        <v>18303.421405898102</v>
      </c>
      <c r="AF10" s="8">
        <f t="shared" si="55"/>
        <v>18852.524048075044</v>
      </c>
      <c r="AG10" s="8">
        <f t="shared" si="56"/>
        <v>19418.099769517295</v>
      </c>
      <c r="AH10" s="8">
        <f t="shared" si="57"/>
        <v>20000.642762602816</v>
      </c>
      <c r="AI10" s="8">
        <f t="shared" si="58"/>
        <v>20600.662045480902</v>
      </c>
      <c r="AJ10" s="8">
        <f t="shared" si="59"/>
        <v>21218.68190684533</v>
      </c>
      <c r="AK10" s="8">
        <f t="shared" si="60"/>
        <v>21855.24236405069</v>
      </c>
      <c r="AL10" s="8">
        <f t="shared" si="61"/>
        <v>22510.899634972211</v>
      </c>
      <c r="AM10" s="8">
        <f t="shared" si="62"/>
        <v>23186.226624021379</v>
      </c>
    </row>
    <row r="11" spans="1:39" x14ac:dyDescent="0.2">
      <c r="A11" s="5" t="s">
        <v>89</v>
      </c>
      <c r="B11" s="9"/>
      <c r="C11" s="8">
        <f>IF(C$3&lt;Inputs!$B$19,0,Inputs!$B$21)*(1+inf)^B$1</f>
        <v>0</v>
      </c>
      <c r="D11" s="8">
        <f>IF(D$3&lt;Inputs!$B$19,0,Inputs!$B$21)*(1+inf)^C$1</f>
        <v>0</v>
      </c>
      <c r="E11" s="8">
        <f>IF(E$3&lt;Inputs!$B$19,0,Inputs!$B$21)*(1+inf)^D$1</f>
        <v>0</v>
      </c>
      <c r="F11" s="8">
        <f>IF(F$3&lt;Inputs!$B$19,0,Inputs!$B$21)*(1+inf)^E$1</f>
        <v>0</v>
      </c>
      <c r="G11" s="8">
        <f>IF(G$3&lt;Inputs!$B$19,0,Inputs!$B$21)*(1+inf)^F$1</f>
        <v>0</v>
      </c>
      <c r="H11" s="8">
        <f>IF(H$3&lt;Inputs!$B$19,0,Inputs!$B$21)*(1+inf)^G$1</f>
        <v>0</v>
      </c>
      <c r="I11" s="8">
        <f>IF(I$3&lt;Inputs!$B$19,0,Inputs!$B$21)*(1+inf)^H$1</f>
        <v>0</v>
      </c>
      <c r="J11" s="8">
        <f>IF(J$3&lt;Inputs!$B$19,0,Inputs!$B$21)*(1+inf)^I$1</f>
        <v>0</v>
      </c>
      <c r="K11" s="8">
        <f>IF(K$3&lt;Inputs!$B$19,0,Inputs!$B$21)*(1+inf)^J$1</f>
        <v>0</v>
      </c>
      <c r="L11" s="8">
        <f>IF(L$3&lt;Inputs!$B$19,0,Inputs!$B$21)*(1+inf)^K$1</f>
        <v>0</v>
      </c>
      <c r="M11" s="8">
        <f>IF(M$3&lt;Inputs!$B$19,0,Inputs!$B$21)*(1+inf)^L$1</f>
        <v>0</v>
      </c>
      <c r="N11" s="8">
        <f>IF(N$3&lt;Inputs!$B$19,0,Inputs!$B$21)*(1+inf)^M$1</f>
        <v>0</v>
      </c>
      <c r="O11" s="8">
        <f>IF(O$3&lt;Inputs!$B$19,0,Inputs!$B$21)*(1+inf)^N$1</f>
        <v>0</v>
      </c>
      <c r="P11" s="8">
        <f>IF(P$3&lt;Inputs!$B$19,0,Inputs!$B$21)*(1+inf)^O$1</f>
        <v>0</v>
      </c>
      <c r="Q11" s="8">
        <f>IF(Q$3&lt;Inputs!$B$19,0,Inputs!$B$21)*(1+inf)^P$1</f>
        <v>0</v>
      </c>
      <c r="R11" s="8">
        <f>IF(R$3&lt;Inputs!$B$19,0,Inputs!$B$21)*(1+inf)^Q$1</f>
        <v>0</v>
      </c>
      <c r="S11" s="8">
        <f>IF(S$3&lt;Inputs!$B$19,0,Inputs!$B$21)*(1+inf)^R$1</f>
        <v>23752.089930569011</v>
      </c>
      <c r="T11" s="8">
        <f>IF(T$3&lt;Inputs!$B$19,0,Inputs!$B$21)*(1+inf)^S$1</f>
        <v>24345.892178833234</v>
      </c>
      <c r="U11" s="8">
        <f>IF(U$3&lt;Inputs!$B$19,0,Inputs!$B$21)*(1+inf)^T$1</f>
        <v>24954.539483304063</v>
      </c>
      <c r="V11" s="8">
        <f>IF(V$3&lt;Inputs!$B$19,0,Inputs!$B$21)*(1+inf)^U$1</f>
        <v>25578.402970386665</v>
      </c>
      <c r="W11" s="8">
        <f>IF(W$3&lt;Inputs!$B$19,0,Inputs!$B$21)*(1+inf)^V$1</f>
        <v>26217.863044646328</v>
      </c>
      <c r="X11" s="8">
        <f>IF(X$3&lt;Inputs!$B$19,0,Inputs!$B$21)*(1+inf)^W$1</f>
        <v>26873.309620762484</v>
      </c>
      <c r="Y11" s="8">
        <f>IF(Y$3&lt;Inputs!$B$19,0,Inputs!$B$21)*(1+inf)^X$1</f>
        <v>27545.142361281545</v>
      </c>
      <c r="Z11" s="8">
        <f>IF(Z$3&lt;Inputs!$B$19,0,Inputs!$B$21)*(1+inf)^Y$1</f>
        <v>28233.770920313586</v>
      </c>
      <c r="AA11" s="8">
        <f>IF(AA$3&lt;Inputs!$B$19,0,Inputs!$B$21)*(1+inf)^Z$1</f>
        <v>28939.615193321424</v>
      </c>
      <c r="AB11" s="8">
        <f>IF(AB$3&lt;Inputs!$B$19,0,Inputs!$B$21)*(1+inf)^AA$1</f>
        <v>29663.105573154455</v>
      </c>
      <c r="AC11" s="8">
        <f>IF(AC$3&lt;Inputs!$B$19,0,Inputs!$B$21)*(1+inf)^AB$1</f>
        <v>30404.683212483313</v>
      </c>
      <c r="AD11" s="8">
        <f>IF(AD$3&lt;Inputs!$B$19,0,Inputs!$B$21)*(1+inf)^AC$1</f>
        <v>31164.800292795393</v>
      </c>
      <c r="AE11" s="8">
        <f>IF(AE$3&lt;Inputs!$B$19,0,Inputs!$B$21)*(1+inf)^AD$1</f>
        <v>31943.920300115278</v>
      </c>
      <c r="AF11" s="8">
        <f>IF(AF$3&lt;Inputs!$B$19,0,Inputs!$B$21)*(1+inf)^AE$1</f>
        <v>32742.518307618164</v>
      </c>
      <c r="AG11" s="8">
        <f>IF(AG$3&lt;Inputs!$B$19,0,Inputs!$B$21)*(1+inf)^AF$1</f>
        <v>33561.08126530861</v>
      </c>
      <c r="AH11" s="8">
        <f>IF(AH$3&lt;Inputs!$B$19,0,Inputs!$B$21)*(1+inf)^AG$1</f>
        <v>34400.108296941333</v>
      </c>
      <c r="AI11" s="8">
        <f>IF(AI$3&lt;Inputs!$B$19,0,Inputs!$B$21)*(1+inf)^AH$1</f>
        <v>35260.111004364859</v>
      </c>
      <c r="AJ11" s="8">
        <f>IF(AJ$3&lt;Inputs!$B$19,0,Inputs!$B$21)*(1+inf)^AI$1</f>
        <v>36141.613779473977</v>
      </c>
      <c r="AK11" s="8">
        <f>IF(AK$3&lt;Inputs!$B$19,0,Inputs!$B$21)*(1+inf)^AJ$1</f>
        <v>37045.154123960827</v>
      </c>
      <c r="AL11" s="8">
        <f>IF(AL$3&lt;Inputs!$B$19,0,Inputs!$B$21)*(1+inf)^AK$1</f>
        <v>37971.28297705984</v>
      </c>
      <c r="AM11" s="8">
        <f>IF(AM$3&lt;Inputs!$B$19,0,Inputs!$B$21)*(1+inf)^AL$1</f>
        <v>38920.565051486345</v>
      </c>
    </row>
    <row r="12" spans="1:39" x14ac:dyDescent="0.2">
      <c r="A12" s="5" t="s">
        <v>90</v>
      </c>
      <c r="B12" s="9"/>
      <c r="C12" s="8">
        <f>MIN(0,MAX(-IF(C11=0,0,(Inputs!$B$19-INDEX(3:3,MATCH(0,5:5,0))))*Inputs!$B$157*(1+inf)^B$1,-C11))</f>
        <v>0</v>
      </c>
      <c r="D12" s="8">
        <f>MIN(0,MAX(-IF(D11=0,0,(Inputs!$B$19-INDEX(3:3,MATCH(0,5:5,0))))*Inputs!$B$157*(1+inf)^C$1,-D11))</f>
        <v>0</v>
      </c>
      <c r="E12" s="8">
        <f>MIN(0,MAX(-IF(E11=0,0,(Inputs!$B$19-INDEX(3:3,MATCH(0,5:5,0))))*Inputs!$B$157*(1+inf)^D$1,-E11))</f>
        <v>0</v>
      </c>
      <c r="F12" s="8">
        <f>MIN(0,MAX(-IF(F11=0,0,(Inputs!$B$19-INDEX(3:3,MATCH(0,5:5,0))))*Inputs!$B$157*(1+inf)^E$1,-F11))</f>
        <v>0</v>
      </c>
      <c r="G12" s="8">
        <f>MIN(0,MAX(-IF(G11=0,0,(Inputs!$B$19-INDEX(3:3,MATCH(0,5:5,0))))*Inputs!$B$157*(1+inf)^F$1,-G11))</f>
        <v>0</v>
      </c>
      <c r="H12" s="8">
        <f>MIN(0,MAX(-IF(H11=0,0,(Inputs!$B$19-INDEX(3:3,MATCH(0,5:5,0))))*Inputs!$B$157*(1+inf)^G$1,-H11))</f>
        <v>0</v>
      </c>
      <c r="I12" s="8">
        <f>MIN(0,MAX(-IF(I11=0,0,(Inputs!$B$19-INDEX(3:3,MATCH(0,5:5,0))))*Inputs!$B$157*(1+inf)^H$1,-I11))</f>
        <v>0</v>
      </c>
      <c r="J12" s="8">
        <f>MIN(0,MAX(-IF(J11=0,0,(Inputs!$B$19-INDEX(3:3,MATCH(0,5:5,0))))*Inputs!$B$157*(1+inf)^I$1,-J11))</f>
        <v>0</v>
      </c>
      <c r="K12" s="8">
        <f>MIN(0,MAX(-IF(K11=0,0,(Inputs!$B$19-INDEX(3:3,MATCH(0,5:5,0))))*Inputs!$B$157*(1+inf)^J$1,-K11))</f>
        <v>0</v>
      </c>
      <c r="L12" s="8">
        <f>MIN(0,MAX(-IF(L11=0,0,(Inputs!$B$19-INDEX(3:3,MATCH(0,5:5,0))))*Inputs!$B$157*(1+inf)^K$1,-L11))</f>
        <v>0</v>
      </c>
      <c r="M12" s="8">
        <f>MIN(0,MAX(-IF(M11=0,0,(Inputs!$B$19-INDEX(3:3,MATCH(0,5:5,0))))*Inputs!$B$157*(1+inf)^L$1,-M11))</f>
        <v>0</v>
      </c>
      <c r="N12" s="8">
        <f>MIN(0,MAX(-IF(N11=0,0,(Inputs!$B$19-INDEX(3:3,MATCH(0,5:5,0))))*Inputs!$B$157*(1+inf)^M$1,-N11))</f>
        <v>0</v>
      </c>
      <c r="O12" s="8">
        <f>MIN(0,MAX(-IF(O11=0,0,(Inputs!$B$19-INDEX(3:3,MATCH(0,5:5,0))))*Inputs!$B$157*(1+inf)^N$1,-O11))</f>
        <v>0</v>
      </c>
      <c r="P12" s="8">
        <f>MIN(0,MAX(-IF(P11=0,0,(Inputs!$B$19-INDEX(3:3,MATCH(0,5:5,0))))*Inputs!$B$157*(1+inf)^O$1,-P11))</f>
        <v>0</v>
      </c>
      <c r="Q12" s="8">
        <f>MIN(0,MAX(-IF(Q11=0,0,(Inputs!$B$19-INDEX(3:3,MATCH(0,5:5,0))))*Inputs!$B$157*(1+inf)^P$1,-Q11))</f>
        <v>0</v>
      </c>
      <c r="R12" s="8">
        <f>MIN(0,MAX(-IF(R11=0,0,(Inputs!$B$19-INDEX(3:3,MATCH(0,5:5,0))))*Inputs!$B$157*(1+inf)^Q$1,-R11))</f>
        <v>0</v>
      </c>
      <c r="S12" s="8">
        <f>MIN(0,MAX(-IF(S11=0,0,(Inputs!$B$19-INDEX(3:3,MATCH(0,5:5,0))))*Inputs!$B$157*(1+inf)^R$1,-S11))</f>
        <v>0</v>
      </c>
      <c r="T12" s="8">
        <f>MIN(0,MAX(-IF(T11=0,0,(Inputs!$B$19-INDEX(3:3,MATCH(0,5:5,0))))*Inputs!$B$157*(1+inf)^S$1,-T11))</f>
        <v>0</v>
      </c>
      <c r="U12" s="8">
        <f>MIN(0,MAX(-IF(U11=0,0,(Inputs!$B$19-INDEX(3:3,MATCH(0,5:5,0))))*Inputs!$B$157*(1+inf)^T$1,-U11))</f>
        <v>0</v>
      </c>
      <c r="V12" s="8">
        <f>MIN(0,MAX(-IF(V11=0,0,(Inputs!$B$19-INDEX(3:3,MATCH(0,5:5,0))))*Inputs!$B$157*(1+inf)^U$1,-V11))</f>
        <v>0</v>
      </c>
      <c r="W12" s="8">
        <f>MIN(0,MAX(-IF(W11=0,0,(Inputs!$B$19-INDEX(3:3,MATCH(0,5:5,0))))*Inputs!$B$157*(1+inf)^V$1,-W11))</f>
        <v>0</v>
      </c>
      <c r="X12" s="8">
        <f>MIN(0,MAX(-IF(X11=0,0,(Inputs!$B$19-INDEX(3:3,MATCH(0,5:5,0))))*Inputs!$B$157*(1+inf)^W$1,-X11))</f>
        <v>0</v>
      </c>
      <c r="Y12" s="8">
        <f>MIN(0,MAX(-IF(Y11=0,0,(Inputs!$B$19-INDEX(3:3,MATCH(0,5:5,0))))*Inputs!$B$157*(1+inf)^X$1,-Y11))</f>
        <v>0</v>
      </c>
      <c r="Z12" s="8">
        <f>MIN(0,MAX(-IF(Z11=0,0,(Inputs!$B$19-INDEX(3:3,MATCH(0,5:5,0))))*Inputs!$B$157*(1+inf)^Y$1,-Z11))</f>
        <v>0</v>
      </c>
      <c r="AA12" s="8">
        <f>MIN(0,MAX(-IF(AA11=0,0,(Inputs!$B$19-INDEX(3:3,MATCH(0,5:5,0))))*Inputs!$B$157*(1+inf)^Z$1,-AA11))</f>
        <v>0</v>
      </c>
      <c r="AB12" s="8">
        <f>MIN(0,MAX(-IF(AB11=0,0,(Inputs!$B$19-INDEX(3:3,MATCH(0,5:5,0))))*Inputs!$B$157*(1+inf)^AA$1,-AB11))</f>
        <v>0</v>
      </c>
      <c r="AC12" s="8">
        <f>MIN(0,MAX(-IF(AC11=0,0,(Inputs!$B$19-INDEX(3:3,MATCH(0,5:5,0))))*Inputs!$B$157*(1+inf)^AB$1,-AC11))</f>
        <v>0</v>
      </c>
      <c r="AD12" s="8">
        <f>MIN(0,MAX(-IF(AD11=0,0,(Inputs!$B$19-INDEX(3:3,MATCH(0,5:5,0))))*Inputs!$B$157*(1+inf)^AC$1,-AD11))</f>
        <v>0</v>
      </c>
      <c r="AE12" s="8">
        <f>MIN(0,MAX(-IF(AE11=0,0,(Inputs!$B$19-INDEX(3:3,MATCH(0,5:5,0))))*Inputs!$B$157*(1+inf)^AD$1,-AE11))</f>
        <v>0</v>
      </c>
      <c r="AF12" s="8">
        <f>MIN(0,MAX(-IF(AF11=0,0,(Inputs!$B$19-INDEX(3:3,MATCH(0,5:5,0))))*Inputs!$B$157*(1+inf)^AE$1,-AF11))</f>
        <v>0</v>
      </c>
      <c r="AG12" s="8">
        <f>MIN(0,MAX(-IF(AG11=0,0,(Inputs!$B$19-INDEX(3:3,MATCH(0,5:5,0))))*Inputs!$B$157*(1+inf)^AF$1,-AG11))</f>
        <v>0</v>
      </c>
      <c r="AH12" s="8">
        <f>MIN(0,MAX(-IF(AH11=0,0,(Inputs!$B$19-INDEX(3:3,MATCH(0,5:5,0))))*Inputs!$B$157*(1+inf)^AG$1,-AH11))</f>
        <v>0</v>
      </c>
      <c r="AI12" s="8">
        <f>MIN(0,MAX(-IF(AI11=0,0,(Inputs!$B$19-INDEX(3:3,MATCH(0,5:5,0))))*Inputs!$B$157*(1+inf)^AH$1,-AI11))</f>
        <v>0</v>
      </c>
      <c r="AJ12" s="8">
        <f>MIN(0,MAX(-IF(AJ11=0,0,(Inputs!$B$19-INDEX(3:3,MATCH(0,5:5,0))))*Inputs!$B$157*(1+inf)^AI$1,-AJ11))</f>
        <v>0</v>
      </c>
      <c r="AK12" s="8">
        <f>MIN(0,MAX(-IF(AK11=0,0,(Inputs!$B$19-INDEX(3:3,MATCH(0,5:5,0))))*Inputs!$B$157*(1+inf)^AJ$1,-AK11))</f>
        <v>0</v>
      </c>
      <c r="AL12" s="8">
        <f>MIN(0,MAX(-IF(AL11=0,0,(Inputs!$B$19-INDEX(3:3,MATCH(0,5:5,0))))*Inputs!$B$157*(1+inf)^AK$1,-AL11))</f>
        <v>0</v>
      </c>
      <c r="AM12" s="8">
        <f>MIN(0,MAX(-IF(AM11=0,0,(Inputs!$B$19-INDEX(3:3,MATCH(0,5:5,0))))*Inputs!$B$157*(1+inf)^AL$1,-AM11))</f>
        <v>0</v>
      </c>
    </row>
    <row r="13" spans="1:39" x14ac:dyDescent="0.2">
      <c r="A13" s="5" t="s">
        <v>52</v>
      </c>
      <c r="B13" s="9"/>
      <c r="C13" s="8">
        <f>IF(AND(C$3&gt;=Inputs!$B$142,C$3&lt;=Inputs!$B$143),Inputs!$B$141*(1+inf)^B$1,0)</f>
        <v>0</v>
      </c>
      <c r="D13" s="8">
        <f>IF(AND(D$3&gt;=Inputs!$B$142,D$3&lt;=Inputs!$B$143),Inputs!$B$141*(1+inf)^C$1,0)</f>
        <v>0</v>
      </c>
      <c r="E13" s="8">
        <f>IF(AND(E$3&gt;=Inputs!$B$142,E$3&lt;=Inputs!$B$143),Inputs!$B$141*(1+inf)^D$1,0)</f>
        <v>0</v>
      </c>
      <c r="F13" s="8">
        <f>IF(AND(F$3&gt;=Inputs!$B$142,F$3&lt;=Inputs!$B$143),Inputs!$B$141*(1+inf)^E$1,0)</f>
        <v>0</v>
      </c>
      <c r="G13" s="8">
        <f>IF(AND(G$3&gt;=Inputs!$B$142,G$3&lt;=Inputs!$B$143),Inputs!$B$141*(1+inf)^F$1,0)</f>
        <v>0</v>
      </c>
      <c r="H13" s="8">
        <f>IF(AND(H$3&gt;=Inputs!$B$142,H$3&lt;=Inputs!$B$143),Inputs!$B$141*(1+inf)^G$1,0)</f>
        <v>0</v>
      </c>
      <c r="I13" s="8">
        <f>IF(AND(I$3&gt;=Inputs!$B$142,I$3&lt;=Inputs!$B$143),Inputs!$B$141*(1+inf)^H$1,0)</f>
        <v>0</v>
      </c>
      <c r="J13" s="8">
        <f>IF(AND(J$3&gt;=Inputs!$B$142,J$3&lt;=Inputs!$B$143),Inputs!$B$141*(1+inf)^I$1,0)</f>
        <v>0</v>
      </c>
      <c r="K13" s="8">
        <f>IF(AND(K$3&gt;=Inputs!$B$142,K$3&lt;=Inputs!$B$143),Inputs!$B$141*(1+inf)^J$1,0)</f>
        <v>0</v>
      </c>
      <c r="L13" s="8">
        <f>IF(AND(L$3&gt;=Inputs!$B$142,L$3&lt;=Inputs!$B$143),Inputs!$B$141*(1+inf)^K$1,0)</f>
        <v>14986.355639371985</v>
      </c>
      <c r="M13" s="8">
        <f>IF(AND(M$3&gt;=Inputs!$B$142,M$3&lt;=Inputs!$B$143),Inputs!$B$141*(1+inf)^L$1,0)</f>
        <v>15361.014530356286</v>
      </c>
      <c r="N13" s="8">
        <f>IF(AND(N$3&gt;=Inputs!$B$142,N$3&lt;=Inputs!$B$143),Inputs!$B$141*(1+inf)^M$1,0)</f>
        <v>15745.039893615192</v>
      </c>
      <c r="O13" s="8">
        <f>IF(AND(O$3&gt;=Inputs!$B$142,O$3&lt;=Inputs!$B$143),Inputs!$B$141*(1+inf)^N$1,0)</f>
        <v>16138.66589095557</v>
      </c>
      <c r="P13" s="8">
        <f>IF(AND(P$3&gt;=Inputs!$B$142,P$3&lt;=Inputs!$B$143),Inputs!$B$141*(1+inf)^O$1,0)</f>
        <v>16542.13253822946</v>
      </c>
      <c r="Q13" s="8">
        <f>IF(AND(Q$3&gt;=Inputs!$B$142,Q$3&lt;=Inputs!$B$143),Inputs!$B$141*(1+inf)^P$1,0)</f>
        <v>16955.685851685193</v>
      </c>
      <c r="R13" s="8">
        <f>IF(AND(R$3&gt;=Inputs!$B$142,R$3&lt;=Inputs!$B$143),Inputs!$B$141*(1+inf)^Q$1,0)</f>
        <v>17379.577997977325</v>
      </c>
      <c r="S13" s="8">
        <f>IF(AND(S$3&gt;=Inputs!$B$142,S$3&lt;=Inputs!$B$143),Inputs!$B$141*(1+inf)^R$1,0)</f>
        <v>17814.067447926758</v>
      </c>
      <c r="T13" s="8">
        <f>IF(AND(T$3&gt;=Inputs!$B$142,T$3&lt;=Inputs!$B$143),Inputs!$B$141*(1+inf)^S$1,0)</f>
        <v>18259.419134124924</v>
      </c>
      <c r="U13" s="8">
        <f>IF(AND(U$3&gt;=Inputs!$B$142,U$3&lt;=Inputs!$B$143),Inputs!$B$141*(1+inf)^T$1,0)</f>
        <v>18715.904612478047</v>
      </c>
      <c r="V13" s="8">
        <f>IF(AND(V$3&gt;=Inputs!$B$142,V$3&lt;=Inputs!$B$143),Inputs!$B$141*(1+inf)^U$1,0)</f>
        <v>19183.802227789998</v>
      </c>
      <c r="W13" s="8">
        <f>IF(AND(W$3&gt;=Inputs!$B$142,W$3&lt;=Inputs!$B$143),Inputs!$B$141*(1+inf)^V$1,0)</f>
        <v>19663.397283484748</v>
      </c>
      <c r="X13" s="8">
        <f>IF(AND(X$3&gt;=Inputs!$B$142,X$3&lt;=Inputs!$B$143),Inputs!$B$141*(1+inf)^W$1,0)</f>
        <v>0</v>
      </c>
      <c r="Y13" s="8">
        <f>IF(AND(Y$3&gt;=Inputs!$B$142,Y$3&lt;=Inputs!$B$143),Inputs!$B$141*(1+inf)^X$1,0)</f>
        <v>0</v>
      </c>
      <c r="Z13" s="8">
        <f>IF(AND(Z$3&gt;=Inputs!$B$142,Z$3&lt;=Inputs!$B$143),Inputs!$B$141*(1+inf)^Y$1,0)</f>
        <v>0</v>
      </c>
      <c r="AA13" s="8">
        <f>IF(AND(AA$3&gt;=Inputs!$B$142,AA$3&lt;=Inputs!$B$143),Inputs!$B$141*(1+inf)^Z$1,0)</f>
        <v>0</v>
      </c>
      <c r="AB13" s="8">
        <f>IF(AND(AB$3&gt;=Inputs!$B$142,AB$3&lt;=Inputs!$B$143),Inputs!$B$141*(1+inf)^AA$1,0)</f>
        <v>0</v>
      </c>
      <c r="AC13" s="8">
        <f>IF(AND(AC$3&gt;=Inputs!$B$142,AC$3&lt;=Inputs!$B$143),Inputs!$B$141*(1+inf)^AB$1,0)</f>
        <v>0</v>
      </c>
      <c r="AD13" s="8">
        <f>IF(AND(AD$3&gt;=Inputs!$B$142,AD$3&lt;=Inputs!$B$143),Inputs!$B$141*(1+inf)^AC$1,0)</f>
        <v>0</v>
      </c>
      <c r="AE13" s="8">
        <f>IF(AND(AE$3&gt;=Inputs!$B$142,AE$3&lt;=Inputs!$B$143),Inputs!$B$141*(1+inf)^AD$1,0)</f>
        <v>0</v>
      </c>
      <c r="AF13" s="8">
        <f>IF(AND(AF$3&gt;=Inputs!$B$142,AF$3&lt;=Inputs!$B$143),Inputs!$B$141*(1+inf)^AE$1,0)</f>
        <v>0</v>
      </c>
      <c r="AG13" s="8">
        <f>IF(AND(AG$3&gt;=Inputs!$B$142,AG$3&lt;=Inputs!$B$143),Inputs!$B$141*(1+inf)^AF$1,0)</f>
        <v>0</v>
      </c>
      <c r="AH13" s="8">
        <f>IF(AND(AH$3&gt;=Inputs!$B$142,AH$3&lt;=Inputs!$B$143),Inputs!$B$141*(1+inf)^AG$1,0)</f>
        <v>0</v>
      </c>
      <c r="AI13" s="8">
        <f>IF(AND(AI$3&gt;=Inputs!$B$142,AI$3&lt;=Inputs!$B$143),Inputs!$B$141*(1+inf)^AH$1,0)</f>
        <v>0</v>
      </c>
      <c r="AJ13" s="8">
        <f>IF(AND(AJ$3&gt;=Inputs!$B$142,AJ$3&lt;=Inputs!$B$143),Inputs!$B$141*(1+inf)^AI$1,0)</f>
        <v>0</v>
      </c>
      <c r="AK13" s="8">
        <f>IF(AND(AK$3&gt;=Inputs!$B$142,AK$3&lt;=Inputs!$B$143),Inputs!$B$141*(1+inf)^AJ$1,0)</f>
        <v>0</v>
      </c>
      <c r="AL13" s="8">
        <f>IF(AND(AL$3&gt;=Inputs!$B$142,AL$3&lt;=Inputs!$B$143),Inputs!$B$141*(1+inf)^AK$1,0)</f>
        <v>0</v>
      </c>
      <c r="AM13" s="8">
        <f>IF(AND(AM$3&gt;=Inputs!$B$142,AM$3&lt;=Inputs!$B$143),Inputs!$B$141*(1+inf)^AL$1,0)</f>
        <v>0</v>
      </c>
    </row>
    <row r="14" spans="1:39" x14ac:dyDescent="0.2">
      <c r="A14" s="5" t="s">
        <v>149</v>
      </c>
      <c r="B14" s="9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</row>
    <row r="15" spans="1:39" x14ac:dyDescent="0.2">
      <c r="A15" s="4" t="str">
        <f>TEXT(Inputs!B100,"")</f>
        <v>Inheritance</v>
      </c>
      <c r="B15" s="9"/>
      <c r="C15" s="8">
        <f ca="1">IF(C$2=Inputs!$B102,Inputs!$B101,0)*(1+inf)^B$1</f>
        <v>0</v>
      </c>
      <c r="D15" s="8">
        <f ca="1">IF(D$2=Inputs!$B102,Inputs!$B101,0)*(1+inf)^C$1</f>
        <v>0</v>
      </c>
      <c r="E15" s="8">
        <f ca="1">IF(E$2=Inputs!$B102,Inputs!$B101,0)*(1+inf)^D$1</f>
        <v>0</v>
      </c>
      <c r="F15" s="8">
        <f ca="1">IF(F$2=Inputs!$B102,Inputs!$B101,0)*(1+inf)^E$1</f>
        <v>0</v>
      </c>
      <c r="G15" s="8">
        <f ca="1">IF(G$2=Inputs!$B102,Inputs!$B101,0)*(1+inf)^F$1</f>
        <v>0</v>
      </c>
      <c r="H15" s="8">
        <f ca="1">IF(H$2=Inputs!$B102,Inputs!$B101,0)*(1+inf)^G$1</f>
        <v>0</v>
      </c>
      <c r="I15" s="8">
        <f ca="1">IF(I$2=Inputs!$B102,Inputs!$B101,0)*(1+inf)^H$1</f>
        <v>0</v>
      </c>
      <c r="J15" s="8">
        <f ca="1">IF(J$2=Inputs!$B102,Inputs!$B101,0)*(1+inf)^I$1</f>
        <v>0</v>
      </c>
      <c r="K15" s="8">
        <f ca="1">IF(K$2=Inputs!$B102,Inputs!$B101,0)*(1+inf)^J$1</f>
        <v>60920.144875495884</v>
      </c>
      <c r="L15" s="8">
        <f ca="1">IF(L$2=Inputs!$B102,Inputs!$B101,0)*(1+inf)^K$1</f>
        <v>0</v>
      </c>
      <c r="M15" s="8">
        <f ca="1">IF(M$2=Inputs!$B102,Inputs!$B101,0)*(1+inf)^L$1</f>
        <v>0</v>
      </c>
      <c r="N15" s="8">
        <f ca="1">IF(N$2=Inputs!$B102,Inputs!$B101,0)*(1+inf)^M$1</f>
        <v>0</v>
      </c>
      <c r="O15" s="8">
        <f ca="1">IF(O$2=Inputs!$B102,Inputs!$B101,0)*(1+inf)^N$1</f>
        <v>0</v>
      </c>
      <c r="P15" s="8">
        <f ca="1">IF(P$2=Inputs!$B102,Inputs!$B101,0)*(1+inf)^O$1</f>
        <v>0</v>
      </c>
      <c r="Q15" s="8">
        <f ca="1">IF(Q$2=Inputs!$B102,Inputs!$B101,0)*(1+inf)^P$1</f>
        <v>0</v>
      </c>
      <c r="R15" s="8">
        <f ca="1">IF(R$2=Inputs!$B102,Inputs!$B101,0)*(1+inf)^Q$1</f>
        <v>0</v>
      </c>
      <c r="S15" s="8">
        <f ca="1">IF(S$2=Inputs!$B102,Inputs!$B101,0)*(1+inf)^R$1</f>
        <v>0</v>
      </c>
      <c r="T15" s="8">
        <f ca="1">IF(T$2=Inputs!$B102,Inputs!$B101,0)*(1+inf)^S$1</f>
        <v>0</v>
      </c>
      <c r="U15" s="8">
        <f ca="1">IF(U$2=Inputs!$B102,Inputs!$B101,0)*(1+inf)^T$1</f>
        <v>0</v>
      </c>
      <c r="V15" s="8">
        <f ca="1">IF(V$2=Inputs!$B102,Inputs!$B101,0)*(1+inf)^U$1</f>
        <v>0</v>
      </c>
      <c r="W15" s="8">
        <f ca="1">IF(W$2=Inputs!$B102,Inputs!$B101,0)*(1+inf)^V$1</f>
        <v>0</v>
      </c>
      <c r="X15" s="8">
        <f ca="1">IF(X$2=Inputs!$B102,Inputs!$B101,0)*(1+inf)^W$1</f>
        <v>0</v>
      </c>
      <c r="Y15" s="8">
        <f ca="1">IF(Y$2=Inputs!$B102,Inputs!$B101,0)*(1+inf)^X$1</f>
        <v>0</v>
      </c>
      <c r="Z15" s="8">
        <f ca="1">IF(Z$2=Inputs!$B102,Inputs!$B101,0)*(1+inf)^Y$1</f>
        <v>0</v>
      </c>
      <c r="AA15" s="8">
        <f ca="1">IF(AA$2=Inputs!$B102,Inputs!$B101,0)*(1+inf)^Z$1</f>
        <v>0</v>
      </c>
      <c r="AB15" s="8">
        <f ca="1">IF(AB$2=Inputs!$B102,Inputs!$B101,0)*(1+inf)^AA$1</f>
        <v>0</v>
      </c>
      <c r="AC15" s="8">
        <f ca="1">IF(AC$2=Inputs!$B102,Inputs!$B101,0)*(1+inf)^AB$1</f>
        <v>0</v>
      </c>
      <c r="AD15" s="8">
        <f ca="1">IF(AD$2=Inputs!$B102,Inputs!$B101,0)*(1+inf)^AC$1</f>
        <v>0</v>
      </c>
      <c r="AE15" s="8">
        <f ca="1">IF(AE$2=Inputs!$B102,Inputs!$B101,0)*(1+inf)^AD$1</f>
        <v>0</v>
      </c>
      <c r="AF15" s="8">
        <f ca="1">IF(AF$2=Inputs!$B102,Inputs!$B101,0)*(1+inf)^AE$1</f>
        <v>0</v>
      </c>
      <c r="AG15" s="8">
        <f ca="1">IF(AG$2=Inputs!$B102,Inputs!$B101,0)*(1+inf)^AF$1</f>
        <v>0</v>
      </c>
      <c r="AH15" s="8">
        <f ca="1">IF(AH$2=Inputs!$B102,Inputs!$B101,0)*(1+inf)^AG$1</f>
        <v>0</v>
      </c>
      <c r="AI15" s="8">
        <f ca="1">IF(AI$2=Inputs!$B102,Inputs!$B101,0)*(1+inf)^AH$1</f>
        <v>0</v>
      </c>
      <c r="AJ15" s="8">
        <f ca="1">IF(AJ$2=Inputs!$B102,Inputs!$B101,0)*(1+inf)^AI$1</f>
        <v>0</v>
      </c>
      <c r="AK15" s="8">
        <f ca="1">IF(AK$2=Inputs!$B102,Inputs!$B101,0)*(1+inf)^AJ$1</f>
        <v>0</v>
      </c>
      <c r="AL15" s="8">
        <f ca="1">IF(AL$2=Inputs!$B102,Inputs!$B101,0)*(1+inf)^AK$1</f>
        <v>0</v>
      </c>
      <c r="AM15" s="8">
        <f ca="1">IF(AM$2=Inputs!$B102,Inputs!$B101,0)*(1+inf)^AL$1</f>
        <v>0</v>
      </c>
    </row>
    <row r="16" spans="1:39" x14ac:dyDescent="0.2">
      <c r="A16" s="4" t="str">
        <f>TEXT(Inputs!B105,"")</f>
        <v>Sell Painting</v>
      </c>
      <c r="B16" s="9"/>
      <c r="C16" s="8">
        <f ca="1">IF(C$2=Inputs!$B107,Inputs!$B106,0)*(1+inf)^B$1</f>
        <v>0</v>
      </c>
      <c r="D16" s="8">
        <f ca="1">IF(D$2=Inputs!$B107,Inputs!$B106,0)*(1+inf)^C$1</f>
        <v>0</v>
      </c>
      <c r="E16" s="8">
        <f ca="1">IF(E$2=Inputs!$B107,Inputs!$B106,0)*(1+inf)^D$1</f>
        <v>10506.25</v>
      </c>
      <c r="F16" s="8">
        <f ca="1">IF(F$2=Inputs!$B107,Inputs!$B106,0)*(1+inf)^E$1</f>
        <v>0</v>
      </c>
      <c r="G16" s="8">
        <f ca="1">IF(G$2=Inputs!$B107,Inputs!$B106,0)*(1+inf)^F$1</f>
        <v>0</v>
      </c>
      <c r="H16" s="8">
        <f ca="1">IF(H$2=Inputs!$B107,Inputs!$B106,0)*(1+inf)^G$1</f>
        <v>0</v>
      </c>
      <c r="I16" s="8">
        <f ca="1">IF(I$2=Inputs!$B107,Inputs!$B106,0)*(1+inf)^H$1</f>
        <v>0</v>
      </c>
      <c r="J16" s="8">
        <f ca="1">IF(J$2=Inputs!$B107,Inputs!$B106,0)*(1+inf)^I$1</f>
        <v>0</v>
      </c>
      <c r="K16" s="8">
        <f ca="1">IF(K$2=Inputs!$B107,Inputs!$B106,0)*(1+inf)^J$1</f>
        <v>0</v>
      </c>
      <c r="L16" s="8">
        <f ca="1">IF(L$2=Inputs!$B107,Inputs!$B106,0)*(1+inf)^K$1</f>
        <v>0</v>
      </c>
      <c r="M16" s="8">
        <f ca="1">IF(M$2=Inputs!$B107,Inputs!$B106,0)*(1+inf)^L$1</f>
        <v>0</v>
      </c>
      <c r="N16" s="8">
        <f ca="1">IF(N$2=Inputs!$B107,Inputs!$B106,0)*(1+inf)^M$1</f>
        <v>0</v>
      </c>
      <c r="O16" s="8">
        <f ca="1">IF(O$2=Inputs!$B107,Inputs!$B106,0)*(1+inf)^N$1</f>
        <v>0</v>
      </c>
      <c r="P16" s="8">
        <f ca="1">IF(P$2=Inputs!$B107,Inputs!$B106,0)*(1+inf)^O$1</f>
        <v>0</v>
      </c>
      <c r="Q16" s="8">
        <f ca="1">IF(Q$2=Inputs!$B107,Inputs!$B106,0)*(1+inf)^P$1</f>
        <v>0</v>
      </c>
      <c r="R16" s="8">
        <f ca="1">IF(R$2=Inputs!$B107,Inputs!$B106,0)*(1+inf)^Q$1</f>
        <v>0</v>
      </c>
      <c r="S16" s="8">
        <f ca="1">IF(S$2=Inputs!$B107,Inputs!$B106,0)*(1+inf)^R$1</f>
        <v>0</v>
      </c>
      <c r="T16" s="8">
        <f ca="1">IF(T$2=Inputs!$B107,Inputs!$B106,0)*(1+inf)^S$1</f>
        <v>0</v>
      </c>
      <c r="U16" s="8">
        <f ca="1">IF(U$2=Inputs!$B107,Inputs!$B106,0)*(1+inf)^T$1</f>
        <v>0</v>
      </c>
      <c r="V16" s="8">
        <f ca="1">IF(V$2=Inputs!$B107,Inputs!$B106,0)*(1+inf)^U$1</f>
        <v>0</v>
      </c>
      <c r="W16" s="8">
        <f ca="1">IF(W$2=Inputs!$B107,Inputs!$B106,0)*(1+inf)^V$1</f>
        <v>0</v>
      </c>
      <c r="X16" s="8">
        <f ca="1">IF(X$2=Inputs!$B107,Inputs!$B106,0)*(1+inf)^W$1</f>
        <v>0</v>
      </c>
      <c r="Y16" s="8">
        <f ca="1">IF(Y$2=Inputs!$B107,Inputs!$B106,0)*(1+inf)^X$1</f>
        <v>0</v>
      </c>
      <c r="Z16" s="8">
        <f ca="1">IF(Z$2=Inputs!$B107,Inputs!$B106,0)*(1+inf)^Y$1</f>
        <v>0</v>
      </c>
      <c r="AA16" s="8">
        <f ca="1">IF(AA$2=Inputs!$B107,Inputs!$B106,0)*(1+inf)^Z$1</f>
        <v>0</v>
      </c>
      <c r="AB16" s="8">
        <f ca="1">IF(AB$2=Inputs!$B107,Inputs!$B106,0)*(1+inf)^AA$1</f>
        <v>0</v>
      </c>
      <c r="AC16" s="8">
        <f ca="1">IF(AC$2=Inputs!$B107,Inputs!$B106,0)*(1+inf)^AB$1</f>
        <v>0</v>
      </c>
      <c r="AD16" s="8">
        <f ca="1">IF(AD$2=Inputs!$B107,Inputs!$B106,0)*(1+inf)^AC$1</f>
        <v>0</v>
      </c>
      <c r="AE16" s="8">
        <f ca="1">IF(AE$2=Inputs!$B107,Inputs!$B106,0)*(1+inf)^AD$1</f>
        <v>0</v>
      </c>
      <c r="AF16" s="8">
        <f ca="1">IF(AF$2=Inputs!$B107,Inputs!$B106,0)*(1+inf)^AE$1</f>
        <v>0</v>
      </c>
      <c r="AG16" s="8">
        <f ca="1">IF(AG$2=Inputs!$B107,Inputs!$B106,0)*(1+inf)^AF$1</f>
        <v>0</v>
      </c>
      <c r="AH16" s="8">
        <f ca="1">IF(AH$2=Inputs!$B107,Inputs!$B106,0)*(1+inf)^AG$1</f>
        <v>0</v>
      </c>
      <c r="AI16" s="8">
        <f ca="1">IF(AI$2=Inputs!$B107,Inputs!$B106,0)*(1+inf)^AH$1</f>
        <v>0</v>
      </c>
      <c r="AJ16" s="8">
        <f ca="1">IF(AJ$2=Inputs!$B107,Inputs!$B106,0)*(1+inf)^AI$1</f>
        <v>0</v>
      </c>
      <c r="AK16" s="8">
        <f ca="1">IF(AK$2=Inputs!$B107,Inputs!$B106,0)*(1+inf)^AJ$1</f>
        <v>0</v>
      </c>
      <c r="AL16" s="8">
        <f ca="1">IF(AL$2=Inputs!$B107,Inputs!$B106,0)*(1+inf)^AK$1</f>
        <v>0</v>
      </c>
      <c r="AM16" s="8">
        <f ca="1">IF(AM$2=Inputs!$B107,Inputs!$B106,0)*(1+inf)^AL$1</f>
        <v>0</v>
      </c>
    </row>
    <row r="17" spans="1:39" x14ac:dyDescent="0.2">
      <c r="A17" s="4" t="str">
        <f>TEXT(Inputs!B110,"")</f>
        <v>Sell Jewels</v>
      </c>
      <c r="B17" s="9"/>
      <c r="C17" s="8">
        <f ca="1">IF(C$2=Inputs!$B112,Inputs!$B111,0)*(1+inf)^B$1</f>
        <v>0</v>
      </c>
      <c r="D17" s="8">
        <f ca="1">IF(D$2=Inputs!$B112,Inputs!$B111,0)*(1+inf)^C$1</f>
        <v>0</v>
      </c>
      <c r="E17" s="8">
        <f ca="1">IF(E$2=Inputs!$B112,Inputs!$B111,0)*(1+inf)^D$1</f>
        <v>0</v>
      </c>
      <c r="F17" s="8">
        <f ca="1">IF(F$2=Inputs!$B112,Inputs!$B111,0)*(1+inf)^E$1</f>
        <v>0</v>
      </c>
      <c r="G17" s="8">
        <f ca="1">IF(G$2=Inputs!$B112,Inputs!$B111,0)*(1+inf)^F$1</f>
        <v>0</v>
      </c>
      <c r="H17" s="8">
        <f ca="1">IF(H$2=Inputs!$B112,Inputs!$B111,0)*(1+inf)^G$1</f>
        <v>5657.041064453123</v>
      </c>
      <c r="I17" s="8">
        <f ca="1">IF(I$2=Inputs!$B112,Inputs!$B111,0)*(1+inf)^H$1</f>
        <v>0</v>
      </c>
      <c r="J17" s="8">
        <f ca="1">IF(J$2=Inputs!$B112,Inputs!$B111,0)*(1+inf)^I$1</f>
        <v>0</v>
      </c>
      <c r="K17" s="8">
        <f ca="1">IF(K$2=Inputs!$B112,Inputs!$B111,0)*(1+inf)^J$1</f>
        <v>0</v>
      </c>
      <c r="L17" s="8">
        <f ca="1">IF(L$2=Inputs!$B112,Inputs!$B111,0)*(1+inf)^K$1</f>
        <v>0</v>
      </c>
      <c r="M17" s="8">
        <f ca="1">IF(M$2=Inputs!$B112,Inputs!$B111,0)*(1+inf)^L$1</f>
        <v>0</v>
      </c>
      <c r="N17" s="8">
        <f ca="1">IF(N$2=Inputs!$B112,Inputs!$B111,0)*(1+inf)^M$1</f>
        <v>0</v>
      </c>
      <c r="O17" s="8">
        <f ca="1">IF(O$2=Inputs!$B112,Inputs!$B111,0)*(1+inf)^N$1</f>
        <v>0</v>
      </c>
      <c r="P17" s="8">
        <f ca="1">IF(P$2=Inputs!$B112,Inputs!$B111,0)*(1+inf)^O$1</f>
        <v>0</v>
      </c>
      <c r="Q17" s="8">
        <f ca="1">IF(Q$2=Inputs!$B112,Inputs!$B111,0)*(1+inf)^P$1</f>
        <v>0</v>
      </c>
      <c r="R17" s="8">
        <f ca="1">IF(R$2=Inputs!$B112,Inputs!$B111,0)*(1+inf)^Q$1</f>
        <v>0</v>
      </c>
      <c r="S17" s="8">
        <f ca="1">IF(S$2=Inputs!$B112,Inputs!$B111,0)*(1+inf)^R$1</f>
        <v>0</v>
      </c>
      <c r="T17" s="8">
        <f ca="1">IF(T$2=Inputs!$B112,Inputs!$B111,0)*(1+inf)^S$1</f>
        <v>0</v>
      </c>
      <c r="U17" s="8">
        <f ca="1">IF(U$2=Inputs!$B112,Inputs!$B111,0)*(1+inf)^T$1</f>
        <v>0</v>
      </c>
      <c r="V17" s="8">
        <f ca="1">IF(V$2=Inputs!$B112,Inputs!$B111,0)*(1+inf)^U$1</f>
        <v>0</v>
      </c>
      <c r="W17" s="8">
        <f ca="1">IF(W$2=Inputs!$B112,Inputs!$B111,0)*(1+inf)^V$1</f>
        <v>0</v>
      </c>
      <c r="X17" s="8">
        <f ca="1">IF(X$2=Inputs!$B112,Inputs!$B111,0)*(1+inf)^W$1</f>
        <v>0</v>
      </c>
      <c r="Y17" s="8">
        <f ca="1">IF(Y$2=Inputs!$B112,Inputs!$B111,0)*(1+inf)^X$1</f>
        <v>0</v>
      </c>
      <c r="Z17" s="8">
        <f ca="1">IF(Z$2=Inputs!$B112,Inputs!$B111,0)*(1+inf)^Y$1</f>
        <v>0</v>
      </c>
      <c r="AA17" s="8">
        <f ca="1">IF(AA$2=Inputs!$B112,Inputs!$B111,0)*(1+inf)^Z$1</f>
        <v>0</v>
      </c>
      <c r="AB17" s="8">
        <f ca="1">IF(AB$2=Inputs!$B112,Inputs!$B111,0)*(1+inf)^AA$1</f>
        <v>0</v>
      </c>
      <c r="AC17" s="8">
        <f ca="1">IF(AC$2=Inputs!$B112,Inputs!$B111,0)*(1+inf)^AB$1</f>
        <v>0</v>
      </c>
      <c r="AD17" s="8">
        <f ca="1">IF(AD$2=Inputs!$B112,Inputs!$B111,0)*(1+inf)^AC$1</f>
        <v>0</v>
      </c>
      <c r="AE17" s="8">
        <f ca="1">IF(AE$2=Inputs!$B112,Inputs!$B111,0)*(1+inf)^AD$1</f>
        <v>0</v>
      </c>
      <c r="AF17" s="8">
        <f ca="1">IF(AF$2=Inputs!$B112,Inputs!$B111,0)*(1+inf)^AE$1</f>
        <v>0</v>
      </c>
      <c r="AG17" s="8">
        <f ca="1">IF(AG$2=Inputs!$B112,Inputs!$B111,0)*(1+inf)^AF$1</f>
        <v>0</v>
      </c>
      <c r="AH17" s="8">
        <f ca="1">IF(AH$2=Inputs!$B112,Inputs!$B111,0)*(1+inf)^AG$1</f>
        <v>0</v>
      </c>
      <c r="AI17" s="8">
        <f ca="1">IF(AI$2=Inputs!$B112,Inputs!$B111,0)*(1+inf)^AH$1</f>
        <v>0</v>
      </c>
      <c r="AJ17" s="8">
        <f ca="1">IF(AJ$2=Inputs!$B112,Inputs!$B111,0)*(1+inf)^AI$1</f>
        <v>0</v>
      </c>
      <c r="AK17" s="8">
        <f ca="1">IF(AK$2=Inputs!$B112,Inputs!$B111,0)*(1+inf)^AJ$1</f>
        <v>0</v>
      </c>
      <c r="AL17" s="8">
        <f ca="1">IF(AL$2=Inputs!$B112,Inputs!$B111,0)*(1+inf)^AK$1</f>
        <v>0</v>
      </c>
      <c r="AM17" s="8">
        <f ca="1">IF(AM$2=Inputs!$B112,Inputs!$B111,0)*(1+inf)^AL$1</f>
        <v>0</v>
      </c>
    </row>
    <row r="18" spans="1:39" x14ac:dyDescent="0.2">
      <c r="A18" s="5" t="s">
        <v>8</v>
      </c>
      <c r="C18" s="8">
        <f ca="1">MAX(AVERAGE(C49,C49+SUM(C5:C17)-C46)*Inputs!$B$149,0)</f>
        <v>1552.5</v>
      </c>
      <c r="D18" s="8">
        <f ca="1">MAX(AVERAGE(D49,D49+SUM(D5:D17)-D46)*Inputs!$B$149,0)</f>
        <v>2230.3125</v>
      </c>
      <c r="E18" s="8">
        <f ca="1">MAX(AVERAGE(E49,E49+SUM(E5:E17)-E46)*Inputs!$B$149,0)</f>
        <v>2705.5250000000001</v>
      </c>
      <c r="F18" s="8">
        <f ca="1">MAX(AVERAGE(F49,F49+SUM(F5:F17)-F46)*Inputs!$B$149,0)</f>
        <v>3328.348104350534</v>
      </c>
      <c r="G18" s="8">
        <f ca="1">MAX(AVERAGE(G49,G49+SUM(G5:G17)-G46)*Inputs!$B$149,0)</f>
        <v>4402.1354957629565</v>
      </c>
      <c r="H18" s="8">
        <f ca="1">MAX(AVERAGE(H49,H49+SUM(H5:H17)-H46)*Inputs!$B$149,0)</f>
        <v>5708.7818411010267</v>
      </c>
      <c r="I18" s="8">
        <f ca="1">MAX(AVERAGE(I49,I49+SUM(I5:I17)-I46)*Inputs!$B$149,0)</f>
        <v>7274.3832295522434</v>
      </c>
      <c r="J18" s="8">
        <f ca="1">MAX(AVERAGE(J49,J49+SUM(J5:J17)-J46)*Inputs!$B$149,0)</f>
        <v>8751.5263359183573</v>
      </c>
      <c r="K18" s="8">
        <f ca="1">MAX(AVERAGE(K49,K49+SUM(K5:K17)-K46)*Inputs!$B$149,0)</f>
        <v>11089.330672579566</v>
      </c>
      <c r="L18" s="8">
        <f ca="1">MAX(AVERAGE(L49,L49+SUM(L5:L17)-L46)*Inputs!$B$149,0)</f>
        <v>13369.464911870775</v>
      </c>
      <c r="M18" s="8">
        <f ca="1">MAX(AVERAGE(M49,M49+SUM(M5:M17)-M46)*Inputs!$B$149,0)</f>
        <v>15246.868770400266</v>
      </c>
      <c r="N18" s="8">
        <f ca="1">MAX(AVERAGE(N49,N49+SUM(N5:N17)-N46)*Inputs!$B$149,0)</f>
        <v>17882.268214350926</v>
      </c>
      <c r="O18" s="8">
        <f ca="1">MAX(AVERAGE(O49,O49+SUM(O5:O17)-O46)*Inputs!$B$149,0)</f>
        <v>20658.664370486844</v>
      </c>
      <c r="P18" s="8">
        <f ca="1">MAX(AVERAGE(P49,P49+SUM(P5:P17)-P46)*Inputs!$B$149,0)</f>
        <v>23582.022630753883</v>
      </c>
      <c r="Q18" s="8">
        <f ca="1">MAX(AVERAGE(Q49,Q49+SUM(Q5:Q17)-Q46)*Inputs!$B$149,0)</f>
        <v>26658.535414179765</v>
      </c>
      <c r="R18" s="8">
        <f ca="1">MAX(AVERAGE(R49,R49+SUM(R5:R17)-R46)*Inputs!$B$149,0)</f>
        <v>29894.630296271076</v>
      </c>
      <c r="S18" s="8">
        <f ca="1">MAX(AVERAGE(S49,S49+SUM(S5:S17)-S46)*Inputs!$B$149,0)</f>
        <v>31989.173103213929</v>
      </c>
      <c r="T18" s="8">
        <f ca="1">MAX(AVERAGE(T49,T49+SUM(T5:T17)-T46)*Inputs!$B$149,0)</f>
        <v>32970.774583488084</v>
      </c>
      <c r="U18" s="8">
        <f ca="1">MAX(AVERAGE(U49,U49+SUM(U5:U17)-U46)*Inputs!$B$149,0)</f>
        <v>34082.671959793828</v>
      </c>
      <c r="V18" s="8">
        <f ca="1">MAX(AVERAGE(V49,V49+SUM(V5:V17)-V46)*Inputs!$B$149,0)</f>
        <v>35235.848622100522</v>
      </c>
      <c r="W18" s="8">
        <f ca="1">MAX(AVERAGE(W49,W49+SUM(W5:W17)-W46)*Inputs!$B$149,0)</f>
        <v>36431.862333387013</v>
      </c>
      <c r="X18" s="8">
        <f ca="1">MAX(AVERAGE(X49,X49+SUM(X5:X17)-X46)*Inputs!$B$149,0)</f>
        <v>37420.391329568891</v>
      </c>
      <c r="Y18" s="8">
        <f ca="1">MAX(AVERAGE(Y49,Y49+SUM(Y5:Y17)-Y46)*Inputs!$B$149,0)</f>
        <v>38190.514094793813</v>
      </c>
      <c r="Z18" s="8">
        <f ca="1">MAX(AVERAGE(Z49,Z49+SUM(Z5:Z17)-Z46)*Inputs!$B$149,0)</f>
        <v>38982.835999912575</v>
      </c>
      <c r="AA18" s="8">
        <f ca="1">MAX(AVERAGE(AA49,AA49+SUM(AA5:AA17)-AA46)*Inputs!$B$149,0)</f>
        <v>39798.198097578002</v>
      </c>
      <c r="AB18" s="8">
        <f ca="1">MAX(AVERAGE(AB49,AB49+SUM(AB5:AB17)-AB46)*Inputs!$B$149,0)</f>
        <v>40637.475991284722</v>
      </c>
      <c r="AC18" s="8">
        <f ca="1">MAX(AVERAGE(AC49,AC49+SUM(AC5:AC17)-AC46)*Inputs!$B$149,0)</f>
        <v>41501.581228433526</v>
      </c>
      <c r="AD18" s="8">
        <f ca="1">MAX(AVERAGE(AD49,AD49+SUM(AD5:AD17)-AD46)*Inputs!$B$149,0)</f>
        <v>42513.200248333684</v>
      </c>
      <c r="AE18" s="8">
        <f ca="1">MAX(AVERAGE(AE49,AE49+SUM(AE5:AE17)-AE46)*Inputs!$B$149,0)</f>
        <v>43679.407757616893</v>
      </c>
      <c r="AF18" s="8">
        <f ca="1">MAX(AVERAGE(AF49,AF49+SUM(AF5:AF17)-AF46)*Inputs!$B$149,0)</f>
        <v>44885.80967348651</v>
      </c>
      <c r="AG18" s="8">
        <f ca="1">MAX(AVERAGE(AG49,AG49+SUM(AG5:AG17)-AG46)*Inputs!$B$149,0)</f>
        <v>46133.94048001687</v>
      </c>
      <c r="AH18" s="8">
        <f ca="1">MAX(AVERAGE(AH49,AH49+SUM(AH5:AH17)-AH46)*Inputs!$B$149,0)</f>
        <v>47425.393873285087</v>
      </c>
      <c r="AI18" s="8">
        <f ca="1">MAX(AVERAGE(AI49,AI49+SUM(AI5:AI17)-AI46)*Inputs!$B$149,0)</f>
        <v>48761.824991197645</v>
      </c>
      <c r="AJ18" s="8">
        <f ca="1">MAX(AVERAGE(AJ49,AJ49+SUM(AJ5:AJ17)-AJ46)*Inputs!$B$149,0)</f>
        <v>50144.952724649433</v>
      </c>
      <c r="AK18" s="8">
        <f ca="1">MAX(AVERAGE(AK49,AK49+SUM(AK5:AK17)-AK46)*Inputs!$B$149,0)</f>
        <v>51576.562112893145</v>
      </c>
      <c r="AL18" s="8">
        <f ca="1">MAX(AVERAGE(AL49,AL49+SUM(AL5:AL17)-AL46)*Inputs!$B$149,0)</f>
        <v>53058.506826097124</v>
      </c>
      <c r="AM18" s="8">
        <f ca="1">MAX(AVERAGE(AM49,AM49+SUM(AM5:AM17)-AM46)*Inputs!$B$149,0)</f>
        <v>54592.711738171754</v>
      </c>
    </row>
    <row r="19" spans="1:39" x14ac:dyDescent="0.2">
      <c r="C19" s="10">
        <f ca="1">SUM(C4:C18)</f>
        <v>113552.5</v>
      </c>
      <c r="D19" s="10">
        <f t="shared" ref="D19:G19" ca="1" si="65">SUM(D4:D18)</f>
        <v>117580.3125</v>
      </c>
      <c r="E19" s="10">
        <f t="shared" ca="1" si="65"/>
        <v>132012.02499999999</v>
      </c>
      <c r="F19" s="10">
        <f t="shared" ca="1" si="65"/>
        <v>125682.09935435055</v>
      </c>
      <c r="G19" s="10">
        <f t="shared" ca="1" si="65"/>
        <v>130415.73037701295</v>
      </c>
      <c r="H19" s="10">
        <f t="shared" ref="H19:AM19" ca="1" si="66">SUM(H4:H18)</f>
        <v>141148.7875043354</v>
      </c>
      <c r="I19" s="10">
        <f t="shared" ca="1" si="66"/>
        <v>140939.52268416801</v>
      </c>
      <c r="J19" s="10">
        <f t="shared" ref="J19:AM19" ca="1" si="67">SUM(J4:J18)</f>
        <v>146415.02303999048</v>
      </c>
      <c r="K19" s="10">
        <f t="shared" ca="1" si="67"/>
        <v>213790.99029573306</v>
      </c>
      <c r="L19" s="10">
        <f t="shared" ca="1" si="67"/>
        <v>174378.59671235501</v>
      </c>
      <c r="M19" s="10">
        <f t="shared" ca="1" si="67"/>
        <v>178438.68502860994</v>
      </c>
      <c r="N19" s="10">
        <f t="shared" ca="1" si="67"/>
        <v>185893.03388765512</v>
      </c>
      <c r="O19" s="10">
        <f t="shared" ca="1" si="67"/>
        <v>193631.02781452207</v>
      </c>
      <c r="P19" s="10">
        <f t="shared" ca="1" si="67"/>
        <v>201662.86364865536</v>
      </c>
      <c r="Q19" s="10">
        <f t="shared" ca="1" si="67"/>
        <v>209999.09099992717</v>
      </c>
      <c r="R19" s="10">
        <f t="shared" ca="1" si="67"/>
        <v>218650.62412033248</v>
      </c>
      <c r="S19" s="10">
        <f t="shared" ca="1" si="67"/>
        <v>121696.52365467334</v>
      </c>
      <c r="T19" s="10">
        <f t="shared" ca="1" si="67"/>
        <v>125161.51486459881</v>
      </c>
      <c r="U19" s="10">
        <f t="shared" ca="1" si="67"/>
        <v>128826.10789277309</v>
      </c>
      <c r="V19" s="10">
        <f t="shared" ca="1" si="67"/>
        <v>132603.23541259023</v>
      </c>
      <c r="W19" s="10">
        <f t="shared" ca="1" si="67"/>
        <v>136496.45970160054</v>
      </c>
      <c r="X19" s="10">
        <f t="shared" ca="1" si="67"/>
        <v>120102.53810161632</v>
      </c>
      <c r="Y19" s="10">
        <f t="shared" ca="1" si="67"/>
        <v>123218.75872189883</v>
      </c>
      <c r="Z19" s="10">
        <f t="shared" ca="1" si="67"/>
        <v>126424.20225402433</v>
      </c>
      <c r="AA19" s="10">
        <f t="shared" ca="1" si="67"/>
        <v>129721.63648471156</v>
      </c>
      <c r="AB19" s="10">
        <f t="shared" ca="1" si="67"/>
        <v>133113.91945406568</v>
      </c>
      <c r="AC19" s="10">
        <f t="shared" ca="1" si="67"/>
        <v>136604.00246723215</v>
      </c>
      <c r="AD19" s="10">
        <f t="shared" ca="1" si="67"/>
        <v>140316.67070823384</v>
      </c>
      <c r="AE19" s="10">
        <f t="shared" ca="1" si="67"/>
        <v>144261.15832985006</v>
      </c>
      <c r="AF19" s="10">
        <f t="shared" ca="1" si="67"/>
        <v>148325.2931613861</v>
      </c>
      <c r="AG19" s="10">
        <f t="shared" ca="1" si="67"/>
        <v>152512.89588101537</v>
      </c>
      <c r="AH19" s="10">
        <f t="shared" ca="1" si="67"/>
        <v>156827.91252998702</v>
      </c>
      <c r="AI19" s="10">
        <f t="shared" ca="1" si="67"/>
        <v>161274.4186661159</v>
      </c>
      <c r="AJ19" s="10">
        <f t="shared" ca="1" si="67"/>
        <v>165856.62365479342</v>
      </c>
      <c r="AK19" s="10">
        <f t="shared" ca="1" si="67"/>
        <v>170578.87510204408</v>
      </c>
      <c r="AL19" s="10">
        <f t="shared" ca="1" si="67"/>
        <v>175445.66343430278</v>
      </c>
      <c r="AM19" s="10">
        <f t="shared" ca="1" si="67"/>
        <v>180461.62662973828</v>
      </c>
    </row>
    <row r="20" spans="1:39" ht="19" x14ac:dyDescent="0.25">
      <c r="A20" s="14" t="s">
        <v>18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</row>
    <row r="21" spans="1:39" x14ac:dyDescent="0.2">
      <c r="A21" s="5" t="s">
        <v>80</v>
      </c>
      <c r="C21" s="8">
        <f>Inputs!B75</f>
        <v>1000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</row>
    <row r="22" spans="1:39" x14ac:dyDescent="0.2">
      <c r="A22" s="5" t="s">
        <v>13</v>
      </c>
      <c r="C22" s="8">
        <f>MAX(IF(C$1*12&lt;=Inputs!$G$15,12,(Inputs!$G$15-B$1*12)),0)*Inputs!$B$17</f>
        <v>9600</v>
      </c>
      <c r="D22" s="8">
        <f>MAX(IF(D$1*12&lt;=Inputs!$G$15,12,(Inputs!$G$15-C$1*12)),0)*Inputs!$B$17</f>
        <v>9600</v>
      </c>
      <c r="E22" s="8">
        <f>MAX(IF(E$1*12&lt;=Inputs!$G$15,12,(Inputs!$G$15-D$1*12)),0)*Inputs!$B$17</f>
        <v>9600</v>
      </c>
      <c r="F22" s="8">
        <f>MAX(IF(F$1*12&lt;=Inputs!$G$15,12,(Inputs!$G$15-E$1*12)),0)*Inputs!$B$17</f>
        <v>9600</v>
      </c>
      <c r="G22" s="8">
        <f>MAX(IF(G$1*12&lt;=Inputs!$G$15,12,(Inputs!$G$15-F$1*12)),0)*Inputs!$B$17</f>
        <v>9600</v>
      </c>
      <c r="H22" s="8">
        <f>MAX(IF(H$1*12&lt;=Inputs!$G$15,12,(Inputs!$G$15-G$1*12)),0)*Inputs!$B$17</f>
        <v>6435.6231080800517</v>
      </c>
      <c r="I22" s="8">
        <f>MAX(IF(I$1*12&lt;=Inputs!$G$15,12,(Inputs!$G$15-H$1*12)),0)*Inputs!$B$17</f>
        <v>0</v>
      </c>
      <c r="J22" s="8">
        <f>MAX(IF(J$1*12&lt;=Inputs!$G$15,12,(Inputs!$G$15-I$1*12)),0)*Inputs!$B$17</f>
        <v>0</v>
      </c>
      <c r="K22" s="8">
        <f>MAX(IF(K$1*12&lt;=Inputs!$G$15,12,(Inputs!$G$15-J$1*12)),0)*Inputs!$B$17</f>
        <v>0</v>
      </c>
      <c r="L22" s="8">
        <f>MAX(IF(L$1*12&lt;=Inputs!$G$15,12,(Inputs!$G$15-K$1*12)),0)*Inputs!$B$17</f>
        <v>0</v>
      </c>
      <c r="M22" s="8">
        <f>MAX(IF(M$1*12&lt;=Inputs!$G$15,12,(Inputs!$G$15-L$1*12)),0)*Inputs!$B$17</f>
        <v>0</v>
      </c>
      <c r="N22" s="8">
        <f>MAX(IF(N$1*12&lt;=Inputs!$G$15,12,(Inputs!$G$15-M$1*12)),0)*Inputs!$B$17</f>
        <v>0</v>
      </c>
      <c r="O22" s="8">
        <f>MAX(IF(O$1*12&lt;=Inputs!$G$15,12,(Inputs!$G$15-N$1*12)),0)*Inputs!$B$17</f>
        <v>0</v>
      </c>
      <c r="P22" s="8">
        <f>MAX(IF(P$1*12&lt;=Inputs!$G$15,12,(Inputs!$G$15-O$1*12)),0)*Inputs!$B$17</f>
        <v>0</v>
      </c>
      <c r="Q22" s="8">
        <f>MAX(IF(Q$1*12&lt;=Inputs!$G$15,12,(Inputs!$G$15-P$1*12)),0)*Inputs!$B$17</f>
        <v>0</v>
      </c>
      <c r="R22" s="8">
        <f>MAX(IF(R$1*12&lt;=Inputs!$G$15,12,(Inputs!$G$15-Q$1*12)),0)*Inputs!$B$17</f>
        <v>0</v>
      </c>
      <c r="S22" s="8">
        <f>MAX(IF(S$1*12&lt;=Inputs!$G$15,12,(Inputs!$G$15-R$1*12)),0)*Inputs!$B$17</f>
        <v>0</v>
      </c>
      <c r="T22" s="8">
        <f>MAX(IF(T$1*12&lt;=Inputs!$G$15,12,(Inputs!$G$15-S$1*12)),0)*Inputs!$B$17</f>
        <v>0</v>
      </c>
      <c r="U22" s="8">
        <f>MAX(IF(U$1*12&lt;=Inputs!$G$15,12,(Inputs!$G$15-T$1*12)),0)*Inputs!$B$17</f>
        <v>0</v>
      </c>
      <c r="V22" s="8">
        <f>MAX(IF(V$1*12&lt;=Inputs!$G$15,12,(Inputs!$G$15-U$1*12)),0)*Inputs!$B$17</f>
        <v>0</v>
      </c>
      <c r="W22" s="8">
        <f>MAX(IF(W$1*12&lt;=Inputs!$G$15,12,(Inputs!$G$15-V$1*12)),0)*Inputs!$B$17</f>
        <v>0</v>
      </c>
      <c r="X22" s="8">
        <f>MAX(IF(X$1*12&lt;=Inputs!$G$15,12,(Inputs!$G$15-W$1*12)),0)*Inputs!$B$17</f>
        <v>0</v>
      </c>
      <c r="Y22" s="8">
        <f>MAX(IF(Y$1*12&lt;=Inputs!$G$15,12,(Inputs!$G$15-X$1*12)),0)*Inputs!$B$17</f>
        <v>0</v>
      </c>
      <c r="Z22" s="8">
        <f>MAX(IF(Z$1*12&lt;=Inputs!$G$15,12,(Inputs!$G$15-Y$1*12)),0)*Inputs!$B$17</f>
        <v>0</v>
      </c>
      <c r="AA22" s="8">
        <f>MAX(IF(AA$1*12&lt;=Inputs!$G$15,12,(Inputs!$G$15-Z$1*12)),0)*Inputs!$B$17</f>
        <v>0</v>
      </c>
      <c r="AB22" s="8">
        <f>MAX(IF(AB$1*12&lt;=Inputs!$G$15,12,(Inputs!$G$15-AA$1*12)),0)*Inputs!$B$17</f>
        <v>0</v>
      </c>
      <c r="AC22" s="8">
        <f>MAX(IF(AC$1*12&lt;=Inputs!$G$15,12,(Inputs!$G$15-AB$1*12)),0)*Inputs!$B$17</f>
        <v>0</v>
      </c>
      <c r="AD22" s="8">
        <f>MAX(IF(AD$1*12&lt;=Inputs!$G$15,12,(Inputs!$G$15-AC$1*12)),0)*Inputs!$B$17</f>
        <v>0</v>
      </c>
      <c r="AE22" s="8">
        <f>MAX(IF(AE$1*12&lt;=Inputs!$G$15,12,(Inputs!$G$15-AD$1*12)),0)*Inputs!$B$17</f>
        <v>0</v>
      </c>
      <c r="AF22" s="8">
        <f>MAX(IF(AF$1*12&lt;=Inputs!$G$15,12,(Inputs!$G$15-AE$1*12)),0)*Inputs!$B$17</f>
        <v>0</v>
      </c>
      <c r="AG22" s="8">
        <f>MAX(IF(AG$1*12&lt;=Inputs!$G$15,12,(Inputs!$G$15-AF$1*12)),0)*Inputs!$B$17</f>
        <v>0</v>
      </c>
      <c r="AH22" s="8">
        <f>MAX(IF(AH$1*12&lt;=Inputs!$G$15,12,(Inputs!$G$15-AG$1*12)),0)*Inputs!$B$17</f>
        <v>0</v>
      </c>
      <c r="AI22" s="8">
        <f>MAX(IF(AI$1*12&lt;=Inputs!$G$15,12,(Inputs!$G$15-AH$1*12)),0)*Inputs!$B$17</f>
        <v>0</v>
      </c>
      <c r="AJ22" s="8">
        <f>MAX(IF(AJ$1*12&lt;=Inputs!$G$15,12,(Inputs!$G$15-AI$1*12)),0)*Inputs!$B$17</f>
        <v>0</v>
      </c>
      <c r="AK22" s="8">
        <f>MAX(IF(AK$1*12&lt;=Inputs!$G$15,12,(Inputs!$G$15-AJ$1*12)),0)*Inputs!$B$17</f>
        <v>0</v>
      </c>
      <c r="AL22" s="8">
        <f>MAX(IF(AL$1*12&lt;=Inputs!$G$15,12,(Inputs!$G$15-AK$1*12)),0)*Inputs!$B$17</f>
        <v>0</v>
      </c>
      <c r="AM22" s="8">
        <f>MAX(IF(AM$1*12&lt;=Inputs!$G$15,12,(Inputs!$G$15-AL$1*12)),0)*Inputs!$B$17</f>
        <v>0</v>
      </c>
    </row>
    <row r="23" spans="1:39" x14ac:dyDescent="0.2">
      <c r="A23" s="5" t="s">
        <v>57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</row>
    <row r="24" spans="1:39" x14ac:dyDescent="0.2">
      <c r="A24" s="4" t="str">
        <f>TEXT(Inputs!$B$50,"")</f>
        <v>Sliema</v>
      </c>
      <c r="C24" s="8">
        <f>MAX(IF(C$1*12&lt;=Inputs!$G$78,12,(Inputs!$G$78-B$1*12)),0)*Inputs!$B$80</f>
        <v>6000</v>
      </c>
      <c r="D24" s="8">
        <f>MAX(IF(D$1*12&lt;=Inputs!$G$78,12,(Inputs!$G$78-C$1*12)),0)*Inputs!$B$80</f>
        <v>6000</v>
      </c>
      <c r="E24" s="8">
        <f>MAX(IF(E$1*12&lt;=Inputs!$G$78,12,(Inputs!$G$78-D$1*12)),0)*Inputs!$B$80</f>
        <v>6000</v>
      </c>
      <c r="F24" s="8">
        <f>MAX(IF(F$1*12&lt;=Inputs!$G$78,12,(Inputs!$G$78-E$1*12)),0)*Inputs!$B$80</f>
        <v>6000</v>
      </c>
      <c r="G24" s="8">
        <f>MAX(IF(G$1*12&lt;=Inputs!$G$78,12,(Inputs!$G$78-F$1*12)),0)*Inputs!$B$80</f>
        <v>6000</v>
      </c>
      <c r="H24" s="8">
        <f>MAX(IF(H$1*12&lt;=Inputs!$G$78,12,(Inputs!$G$78-G$1*12)),0)*Inputs!$B$80</f>
        <v>6000</v>
      </c>
      <c r="I24" s="8">
        <f>MAX(IF(I$1*12&lt;=Inputs!$G$78,12,(Inputs!$G$78-H$1*12)),0)*Inputs!$B$80</f>
        <v>6000</v>
      </c>
      <c r="J24" s="8">
        <f>MAX(IF(J$1*12&lt;=Inputs!$G$78,12,(Inputs!$G$78-I$1*12)),0)*Inputs!$B$80</f>
        <v>6000</v>
      </c>
      <c r="K24" s="8">
        <f>MAX(IF(K$1*12&lt;=Inputs!$G$78,12,(Inputs!$G$78-J$1*12)),0)*Inputs!$B$80</f>
        <v>6000</v>
      </c>
      <c r="L24" s="8">
        <f>MAX(IF(L$1*12&lt;=Inputs!$G$78,12,(Inputs!$G$78-K$1*12)),0)*Inputs!$B$80</f>
        <v>3608.3050789871932</v>
      </c>
      <c r="M24" s="8">
        <f>MAX(IF(M$1*12&lt;=Inputs!$G$78,12,(Inputs!$G$78-L$1*12)),0)*Inputs!$B$80</f>
        <v>0</v>
      </c>
      <c r="N24" s="8">
        <f>MAX(IF(N$1*12&lt;=Inputs!$G$78,12,(Inputs!$G$78-M$1*12)),0)*Inputs!$B$80</f>
        <v>0</v>
      </c>
      <c r="O24" s="8">
        <f>MAX(IF(O$1*12&lt;=Inputs!$G$78,12,(Inputs!$G$78-N$1*12)),0)*Inputs!$B$80</f>
        <v>0</v>
      </c>
      <c r="P24" s="8">
        <f>MAX(IF(P$1*12&lt;=Inputs!$G$78,12,(Inputs!$G$78-O$1*12)),0)*Inputs!$B$80</f>
        <v>0</v>
      </c>
      <c r="Q24" s="8">
        <f>MAX(IF(Q$1*12&lt;=Inputs!$G$78,12,(Inputs!$G$78-P$1*12)),0)*Inputs!$B$80</f>
        <v>0</v>
      </c>
      <c r="R24" s="8">
        <f>MAX(IF(R$1*12&lt;=Inputs!$G$78,12,(Inputs!$G$78-Q$1*12)),0)*Inputs!$B$80</f>
        <v>0</v>
      </c>
      <c r="S24" s="8">
        <f>MAX(IF(S$1*12&lt;=Inputs!$G$78,12,(Inputs!$G$78-R$1*12)),0)*Inputs!$B$80</f>
        <v>0</v>
      </c>
      <c r="T24" s="8">
        <f>MAX(IF(T$1*12&lt;=Inputs!$G$78,12,(Inputs!$G$78-S$1*12)),0)*Inputs!$B$80</f>
        <v>0</v>
      </c>
      <c r="U24" s="8">
        <f>MAX(IF(U$1*12&lt;=Inputs!$G$78,12,(Inputs!$G$78-T$1*12)),0)*Inputs!$B$80</f>
        <v>0</v>
      </c>
      <c r="V24" s="8">
        <f>MAX(IF(V$1*12&lt;=Inputs!$G$78,12,(Inputs!$G$78-U$1*12)),0)*Inputs!$B$80</f>
        <v>0</v>
      </c>
      <c r="W24" s="8">
        <f>MAX(IF(W$1*12&lt;=Inputs!$G$78,12,(Inputs!$G$78-V$1*12)),0)*Inputs!$B$80</f>
        <v>0</v>
      </c>
      <c r="X24" s="8">
        <f>MAX(IF(X$1*12&lt;=Inputs!$G$78,12,(Inputs!$G$78-W$1*12)),0)*Inputs!$B$80</f>
        <v>0</v>
      </c>
      <c r="Y24" s="8">
        <f>MAX(IF(Y$1*12&lt;=Inputs!$G$78,12,(Inputs!$G$78-X$1*12)),0)*Inputs!$B$80</f>
        <v>0</v>
      </c>
      <c r="Z24" s="8">
        <f>MAX(IF(Z$1*12&lt;=Inputs!$G$78,12,(Inputs!$G$78-Y$1*12)),0)*Inputs!$B$80</f>
        <v>0</v>
      </c>
      <c r="AA24" s="8">
        <f>MAX(IF(AA$1*12&lt;=Inputs!$G$78,12,(Inputs!$G$78-Z$1*12)),0)*Inputs!$B$80</f>
        <v>0</v>
      </c>
      <c r="AB24" s="8">
        <f>MAX(IF(AB$1*12&lt;=Inputs!$G$78,12,(Inputs!$G$78-AA$1*12)),0)*Inputs!$B$80</f>
        <v>0</v>
      </c>
      <c r="AC24" s="8">
        <f>MAX(IF(AC$1*12&lt;=Inputs!$G$78,12,(Inputs!$G$78-AB$1*12)),0)*Inputs!$B$80</f>
        <v>0</v>
      </c>
      <c r="AD24" s="8">
        <f>MAX(IF(AD$1*12&lt;=Inputs!$G$78,12,(Inputs!$G$78-AC$1*12)),0)*Inputs!$B$80</f>
        <v>0</v>
      </c>
      <c r="AE24" s="8">
        <f>MAX(IF(AE$1*12&lt;=Inputs!$G$78,12,(Inputs!$G$78-AD$1*12)),0)*Inputs!$B$80</f>
        <v>0</v>
      </c>
      <c r="AF24" s="8">
        <f>MAX(IF(AF$1*12&lt;=Inputs!$G$78,12,(Inputs!$G$78-AE$1*12)),0)*Inputs!$B$80</f>
        <v>0</v>
      </c>
      <c r="AG24" s="8">
        <f>MAX(IF(AG$1*12&lt;=Inputs!$G$78,12,(Inputs!$G$78-AF$1*12)),0)*Inputs!$B$80</f>
        <v>0</v>
      </c>
      <c r="AH24" s="8">
        <f>MAX(IF(AH$1*12&lt;=Inputs!$G$78,12,(Inputs!$G$78-AG$1*12)),0)*Inputs!$B$80</f>
        <v>0</v>
      </c>
      <c r="AI24" s="8">
        <f>MAX(IF(AI$1*12&lt;=Inputs!$G$78,12,(Inputs!$G$78-AH$1*12)),0)*Inputs!$B$80</f>
        <v>0</v>
      </c>
      <c r="AJ24" s="8">
        <f>MAX(IF(AJ$1*12&lt;=Inputs!$G$78,12,(Inputs!$G$78-AI$1*12)),0)*Inputs!$B$80</f>
        <v>0</v>
      </c>
      <c r="AK24" s="8">
        <f>MAX(IF(AK$1*12&lt;=Inputs!$G$78,12,(Inputs!$G$78-AJ$1*12)),0)*Inputs!$B$80</f>
        <v>0</v>
      </c>
      <c r="AL24" s="8">
        <f>MAX(IF(AL$1*12&lt;=Inputs!$G$78,12,(Inputs!$G$78-AK$1*12)),0)*Inputs!$B$80</f>
        <v>0</v>
      </c>
      <c r="AM24" s="8">
        <f>MAX(IF(AM$1*12&lt;=Inputs!$G$78,12,(Inputs!$G$78-AL$1*12)),0)*Inputs!$B$80</f>
        <v>0</v>
      </c>
    </row>
    <row r="25" spans="1:39" x14ac:dyDescent="0.2">
      <c r="A25" s="4" t="str">
        <f>TEXT(Inputs!$B$55,"")</f>
        <v>Gzira</v>
      </c>
      <c r="C25" s="8">
        <f>MAX(IF(C$1*12&lt;=Inputs!$G$83,12,(Inputs!$G$83-B$1*12)),0)*Inputs!$B$85</f>
        <v>2400</v>
      </c>
      <c r="D25" s="8">
        <f>MAX(IF(D$1*12&lt;=Inputs!$G$83,12,(Inputs!$G$83-C$1*12)),0)*Inputs!$B$85</f>
        <v>2400</v>
      </c>
      <c r="E25" s="8">
        <f>MAX(IF(E$1*12&lt;=Inputs!$G$83,12,(Inputs!$G$83-D$1*12)),0)*Inputs!$B$85</f>
        <v>2400</v>
      </c>
      <c r="F25" s="8">
        <f>MAX(IF(F$1*12&lt;=Inputs!$G$83,12,(Inputs!$G$83-E$1*12)),0)*Inputs!$B$85</f>
        <v>1623.4029019573059</v>
      </c>
      <c r="G25" s="8">
        <f>MAX(IF(G$1*12&lt;=Inputs!$G$83,12,(Inputs!$G$83-F$1*12)),0)*Inputs!$B$85</f>
        <v>0</v>
      </c>
      <c r="H25" s="8">
        <f>MAX(IF(H$1*12&lt;=Inputs!$G$83,12,(Inputs!$G$83-G$1*12)),0)*Inputs!$B$85</f>
        <v>0</v>
      </c>
      <c r="I25" s="8">
        <f>MAX(IF(I$1*12&lt;=Inputs!$G$83,12,(Inputs!$G$83-H$1*12)),0)*Inputs!$B$85</f>
        <v>0</v>
      </c>
      <c r="J25" s="8">
        <f>MAX(IF(J$1*12&lt;=Inputs!$G$83,12,(Inputs!$G$83-I$1*12)),0)*Inputs!$B$85</f>
        <v>0</v>
      </c>
      <c r="K25" s="8">
        <f>MAX(IF(K$1*12&lt;=Inputs!$G$83,12,(Inputs!$G$83-J$1*12)),0)*Inputs!$B$85</f>
        <v>0</v>
      </c>
      <c r="L25" s="8">
        <f>MAX(IF(L$1*12&lt;=Inputs!$G$83,12,(Inputs!$G$83-K$1*12)),0)*Inputs!$B$85</f>
        <v>0</v>
      </c>
      <c r="M25" s="8">
        <f>MAX(IF(M$1*12&lt;=Inputs!$G$83,12,(Inputs!$G$83-L$1*12)),0)*Inputs!$B$85</f>
        <v>0</v>
      </c>
      <c r="N25" s="8">
        <f>MAX(IF(N$1*12&lt;=Inputs!$G$83,12,(Inputs!$G$83-M$1*12)),0)*Inputs!$B$85</f>
        <v>0</v>
      </c>
      <c r="O25" s="8">
        <f>MAX(IF(O$1*12&lt;=Inputs!$G$83,12,(Inputs!$G$83-N$1*12)),0)*Inputs!$B$85</f>
        <v>0</v>
      </c>
      <c r="P25" s="8">
        <f>MAX(IF(P$1*12&lt;=Inputs!$G$83,12,(Inputs!$G$83-O$1*12)),0)*Inputs!$B$85</f>
        <v>0</v>
      </c>
      <c r="Q25" s="8">
        <f>MAX(IF(Q$1*12&lt;=Inputs!$G$83,12,(Inputs!$G$83-P$1*12)),0)*Inputs!$B$85</f>
        <v>0</v>
      </c>
      <c r="R25" s="8">
        <f>MAX(IF(R$1*12&lt;=Inputs!$G$83,12,(Inputs!$G$83-Q$1*12)),0)*Inputs!$B$85</f>
        <v>0</v>
      </c>
      <c r="S25" s="8">
        <f>MAX(IF(S$1*12&lt;=Inputs!$G$83,12,(Inputs!$G$83-R$1*12)),0)*Inputs!$B$85</f>
        <v>0</v>
      </c>
      <c r="T25" s="8">
        <f>MAX(IF(T$1*12&lt;=Inputs!$G$83,12,(Inputs!$G$83-S$1*12)),0)*Inputs!$B$85</f>
        <v>0</v>
      </c>
      <c r="U25" s="8">
        <f>MAX(IF(U$1*12&lt;=Inputs!$G$83,12,(Inputs!$G$83-T$1*12)),0)*Inputs!$B$85</f>
        <v>0</v>
      </c>
      <c r="V25" s="8">
        <f>MAX(IF(V$1*12&lt;=Inputs!$G$83,12,(Inputs!$G$83-U$1*12)),0)*Inputs!$B$85</f>
        <v>0</v>
      </c>
      <c r="W25" s="8">
        <f>MAX(IF(W$1*12&lt;=Inputs!$G$83,12,(Inputs!$G$83-V$1*12)),0)*Inputs!$B$85</f>
        <v>0</v>
      </c>
      <c r="X25" s="8">
        <f>MAX(IF(X$1*12&lt;=Inputs!$G$83,12,(Inputs!$G$83-W$1*12)),0)*Inputs!$B$85</f>
        <v>0</v>
      </c>
      <c r="Y25" s="8">
        <f>MAX(IF(Y$1*12&lt;=Inputs!$G$83,12,(Inputs!$G$83-X$1*12)),0)*Inputs!$B$85</f>
        <v>0</v>
      </c>
      <c r="Z25" s="8">
        <f>MAX(IF(Z$1*12&lt;=Inputs!$G$83,12,(Inputs!$G$83-Y$1*12)),0)*Inputs!$B$85</f>
        <v>0</v>
      </c>
      <c r="AA25" s="8">
        <f>MAX(IF(AA$1*12&lt;=Inputs!$G$83,12,(Inputs!$G$83-Z$1*12)),0)*Inputs!$B$85</f>
        <v>0</v>
      </c>
      <c r="AB25" s="8">
        <f>MAX(IF(AB$1*12&lt;=Inputs!$G$83,12,(Inputs!$G$83-AA$1*12)),0)*Inputs!$B$85</f>
        <v>0</v>
      </c>
      <c r="AC25" s="8">
        <f>MAX(IF(AC$1*12&lt;=Inputs!$G$83,12,(Inputs!$G$83-AB$1*12)),0)*Inputs!$B$85</f>
        <v>0</v>
      </c>
      <c r="AD25" s="8">
        <f>MAX(IF(AD$1*12&lt;=Inputs!$G$83,12,(Inputs!$G$83-AC$1*12)),0)*Inputs!$B$85</f>
        <v>0</v>
      </c>
      <c r="AE25" s="8">
        <f>MAX(IF(AE$1*12&lt;=Inputs!$G$83,12,(Inputs!$G$83-AD$1*12)),0)*Inputs!$B$85</f>
        <v>0</v>
      </c>
      <c r="AF25" s="8">
        <f>MAX(IF(AF$1*12&lt;=Inputs!$G$83,12,(Inputs!$G$83-AE$1*12)),0)*Inputs!$B$85</f>
        <v>0</v>
      </c>
      <c r="AG25" s="8">
        <f>MAX(IF(AG$1*12&lt;=Inputs!$G$83,12,(Inputs!$G$83-AF$1*12)),0)*Inputs!$B$85</f>
        <v>0</v>
      </c>
      <c r="AH25" s="8">
        <f>MAX(IF(AH$1*12&lt;=Inputs!$G$83,12,(Inputs!$G$83-AG$1*12)),0)*Inputs!$B$85</f>
        <v>0</v>
      </c>
      <c r="AI25" s="8">
        <f>MAX(IF(AI$1*12&lt;=Inputs!$G$83,12,(Inputs!$G$83-AH$1*12)),0)*Inputs!$B$85</f>
        <v>0</v>
      </c>
      <c r="AJ25" s="8">
        <f>MAX(IF(AJ$1*12&lt;=Inputs!$G$83,12,(Inputs!$G$83-AI$1*12)),0)*Inputs!$B$85</f>
        <v>0</v>
      </c>
      <c r="AK25" s="8">
        <f>MAX(IF(AK$1*12&lt;=Inputs!$G$83,12,(Inputs!$G$83-AJ$1*12)),0)*Inputs!$B$85</f>
        <v>0</v>
      </c>
      <c r="AL25" s="8">
        <f>MAX(IF(AL$1*12&lt;=Inputs!$G$83,12,(Inputs!$G$83-AK$1*12)),0)*Inputs!$B$85</f>
        <v>0</v>
      </c>
      <c r="AM25" s="8">
        <f>MAX(IF(AM$1*12&lt;=Inputs!$G$83,12,(Inputs!$G$83-AL$1*12)),0)*Inputs!$B$85</f>
        <v>0</v>
      </c>
    </row>
    <row r="26" spans="1:39" x14ac:dyDescent="0.2">
      <c r="A26" s="4" t="str">
        <f>TEXT(Inputs!$B$60,"")</f>
        <v>Qormi</v>
      </c>
      <c r="C26" s="8">
        <f>MAX(IF(C$1*12&lt;=Inputs!$G$88,12,(Inputs!$G$88-B$1*12)),0)*Inputs!$B$90</f>
        <v>3000</v>
      </c>
      <c r="D26" s="8">
        <f>MAX(IF(D$1*12&lt;=Inputs!$G$88,12,(Inputs!$G$88-C$1*12)),0)*Inputs!$B$90</f>
        <v>3000</v>
      </c>
      <c r="E26" s="8">
        <f>MAX(IF(E$1*12&lt;=Inputs!$G$88,12,(Inputs!$G$88-D$1*12)),0)*Inputs!$B$90</f>
        <v>3000</v>
      </c>
      <c r="F26" s="8">
        <f>MAX(IF(F$1*12&lt;=Inputs!$G$88,12,(Inputs!$G$88-E$1*12)),0)*Inputs!$B$90</f>
        <v>3000</v>
      </c>
      <c r="G26" s="8">
        <f>MAX(IF(G$1*12&lt;=Inputs!$G$88,12,(Inputs!$G$88-F$1*12)),0)*Inputs!$B$90</f>
        <v>3000</v>
      </c>
      <c r="H26" s="8">
        <f>MAX(IF(H$1*12&lt;=Inputs!$G$88,12,(Inputs!$G$88-G$1*12)),0)*Inputs!$B$90</f>
        <v>2296.8596856502154</v>
      </c>
      <c r="I26" s="8">
        <f>MAX(IF(I$1*12&lt;=Inputs!$G$88,12,(Inputs!$G$88-H$1*12)),0)*Inputs!$B$90</f>
        <v>0</v>
      </c>
      <c r="J26" s="8">
        <f>MAX(IF(J$1*12&lt;=Inputs!$G$88,12,(Inputs!$G$88-I$1*12)),0)*Inputs!$B$90</f>
        <v>0</v>
      </c>
      <c r="K26" s="8">
        <f>MAX(IF(K$1*12&lt;=Inputs!$G$88,12,(Inputs!$G$88-J$1*12)),0)*Inputs!$B$90</f>
        <v>0</v>
      </c>
      <c r="L26" s="8">
        <f>MAX(IF(L$1*12&lt;=Inputs!$G$88,12,(Inputs!$G$88-K$1*12)),0)*Inputs!$B$90</f>
        <v>0</v>
      </c>
      <c r="M26" s="8">
        <f>MAX(IF(M$1*12&lt;=Inputs!$G$88,12,(Inputs!$G$88-L$1*12)),0)*Inputs!$B$90</f>
        <v>0</v>
      </c>
      <c r="N26" s="8">
        <f>MAX(IF(N$1*12&lt;=Inputs!$G$88,12,(Inputs!$G$88-M$1*12)),0)*Inputs!$B$90</f>
        <v>0</v>
      </c>
      <c r="O26" s="8">
        <f>MAX(IF(O$1*12&lt;=Inputs!$G$88,12,(Inputs!$G$88-N$1*12)),0)*Inputs!$B$90</f>
        <v>0</v>
      </c>
      <c r="P26" s="8">
        <f>MAX(IF(P$1*12&lt;=Inputs!$G$88,12,(Inputs!$G$88-O$1*12)),0)*Inputs!$B$90</f>
        <v>0</v>
      </c>
      <c r="Q26" s="8">
        <f>MAX(IF(Q$1*12&lt;=Inputs!$G$88,12,(Inputs!$G$88-P$1*12)),0)*Inputs!$B$90</f>
        <v>0</v>
      </c>
      <c r="R26" s="8">
        <f>MAX(IF(R$1*12&lt;=Inputs!$G$88,12,(Inputs!$G$88-Q$1*12)),0)*Inputs!$B$90</f>
        <v>0</v>
      </c>
      <c r="S26" s="8">
        <f>MAX(IF(S$1*12&lt;=Inputs!$G$88,12,(Inputs!$G$88-R$1*12)),0)*Inputs!$B$90</f>
        <v>0</v>
      </c>
      <c r="T26" s="8">
        <f>MAX(IF(T$1*12&lt;=Inputs!$G$88,12,(Inputs!$G$88-S$1*12)),0)*Inputs!$B$90</f>
        <v>0</v>
      </c>
      <c r="U26" s="8">
        <f>MAX(IF(U$1*12&lt;=Inputs!$G$88,12,(Inputs!$G$88-T$1*12)),0)*Inputs!$B$90</f>
        <v>0</v>
      </c>
      <c r="V26" s="8">
        <f>MAX(IF(V$1*12&lt;=Inputs!$G$88,12,(Inputs!$G$88-U$1*12)),0)*Inputs!$B$90</f>
        <v>0</v>
      </c>
      <c r="W26" s="8">
        <f>MAX(IF(W$1*12&lt;=Inputs!$G$88,12,(Inputs!$G$88-V$1*12)),0)*Inputs!$B$90</f>
        <v>0</v>
      </c>
      <c r="X26" s="8">
        <f>MAX(IF(X$1*12&lt;=Inputs!$G$88,12,(Inputs!$G$88-W$1*12)),0)*Inputs!$B$90</f>
        <v>0</v>
      </c>
      <c r="Y26" s="8">
        <f>MAX(IF(Y$1*12&lt;=Inputs!$G$88,12,(Inputs!$G$88-X$1*12)),0)*Inputs!$B$90</f>
        <v>0</v>
      </c>
      <c r="Z26" s="8">
        <f>MAX(IF(Z$1*12&lt;=Inputs!$G$88,12,(Inputs!$G$88-Y$1*12)),0)*Inputs!$B$90</f>
        <v>0</v>
      </c>
      <c r="AA26" s="8">
        <f>MAX(IF(AA$1*12&lt;=Inputs!$G$88,12,(Inputs!$G$88-Z$1*12)),0)*Inputs!$B$90</f>
        <v>0</v>
      </c>
      <c r="AB26" s="8">
        <f>MAX(IF(AB$1*12&lt;=Inputs!$G$88,12,(Inputs!$G$88-AA$1*12)),0)*Inputs!$B$90</f>
        <v>0</v>
      </c>
      <c r="AC26" s="8">
        <f>MAX(IF(AC$1*12&lt;=Inputs!$G$88,12,(Inputs!$G$88-AB$1*12)),0)*Inputs!$B$90</f>
        <v>0</v>
      </c>
      <c r="AD26" s="8">
        <f>MAX(IF(AD$1*12&lt;=Inputs!$G$88,12,(Inputs!$G$88-AC$1*12)),0)*Inputs!$B$90</f>
        <v>0</v>
      </c>
      <c r="AE26" s="8">
        <f>MAX(IF(AE$1*12&lt;=Inputs!$G$88,12,(Inputs!$G$88-AD$1*12)),0)*Inputs!$B$90</f>
        <v>0</v>
      </c>
      <c r="AF26" s="8">
        <f>MAX(IF(AF$1*12&lt;=Inputs!$G$88,12,(Inputs!$G$88-AE$1*12)),0)*Inputs!$B$90</f>
        <v>0</v>
      </c>
      <c r="AG26" s="8">
        <f>MAX(IF(AG$1*12&lt;=Inputs!$G$88,12,(Inputs!$G$88-AF$1*12)),0)*Inputs!$B$90</f>
        <v>0</v>
      </c>
      <c r="AH26" s="8">
        <f>MAX(IF(AH$1*12&lt;=Inputs!$G$88,12,(Inputs!$G$88-AG$1*12)),0)*Inputs!$B$90</f>
        <v>0</v>
      </c>
      <c r="AI26" s="8">
        <f>MAX(IF(AI$1*12&lt;=Inputs!$G$88,12,(Inputs!$G$88-AH$1*12)),0)*Inputs!$B$90</f>
        <v>0</v>
      </c>
      <c r="AJ26" s="8">
        <f>MAX(IF(AJ$1*12&lt;=Inputs!$G$88,12,(Inputs!$G$88-AI$1*12)),0)*Inputs!$B$90</f>
        <v>0</v>
      </c>
      <c r="AK26" s="8">
        <f>MAX(IF(AK$1*12&lt;=Inputs!$G$88,12,(Inputs!$G$88-AJ$1*12)),0)*Inputs!$B$90</f>
        <v>0</v>
      </c>
      <c r="AL26" s="8">
        <f>MAX(IF(AL$1*12&lt;=Inputs!$G$88,12,(Inputs!$G$88-AK$1*12)),0)*Inputs!$B$90</f>
        <v>0</v>
      </c>
      <c r="AM26" s="8">
        <f>MAX(IF(AM$1*12&lt;=Inputs!$G$88,12,(Inputs!$G$88-AL$1*12)),0)*Inputs!$B$90</f>
        <v>0</v>
      </c>
    </row>
    <row r="27" spans="1:39" x14ac:dyDescent="0.2">
      <c r="A27" s="5" t="s">
        <v>39</v>
      </c>
      <c r="C27" s="8">
        <f>MAX(IF(C$1*12&lt;=Inputs!$G$93,12,(Inputs!$G$93-B$1*12)),0)*Inputs!$B$95</f>
        <v>600</v>
      </c>
      <c r="D27" s="8">
        <f>MAX(IF(D$1*12&lt;=Inputs!$G$93,12,(Inputs!$G$93-C$1*12)),0)*Inputs!$B$95</f>
        <v>600</v>
      </c>
      <c r="E27" s="8">
        <f>MAX(IF(E$1*12&lt;=Inputs!$G$93,12,(Inputs!$G$93-D$1*12)),0)*Inputs!$B$95</f>
        <v>600</v>
      </c>
      <c r="F27" s="8">
        <f>MAX(IF(F$1*12&lt;=Inputs!$G$93,12,(Inputs!$G$93-E$1*12)),0)*Inputs!$B$95</f>
        <v>600</v>
      </c>
      <c r="G27" s="8">
        <f>MAX(IF(G$1*12&lt;=Inputs!$G$93,12,(Inputs!$G$93-F$1*12)),0)*Inputs!$B$95</f>
        <v>600</v>
      </c>
      <c r="H27" s="8">
        <f>MAX(IF(H$1*12&lt;=Inputs!$G$93,12,(Inputs!$G$93-G$1*12)),0)*Inputs!$B$95</f>
        <v>600</v>
      </c>
      <c r="I27" s="8">
        <f>MAX(IF(I$1*12&lt;=Inputs!$G$93,12,(Inputs!$G$93-H$1*12)),0)*Inputs!$B$95</f>
        <v>600</v>
      </c>
      <c r="J27" s="8">
        <f>MAX(IF(J$1*12&lt;=Inputs!$G$93,12,(Inputs!$G$93-I$1*12)),0)*Inputs!$B$95</f>
        <v>600</v>
      </c>
      <c r="K27" s="8">
        <f>MAX(IF(K$1*12&lt;=Inputs!$G$93,12,(Inputs!$G$93-J$1*12)),0)*Inputs!$B$95</f>
        <v>321.016262575219</v>
      </c>
      <c r="L27" s="8">
        <f>MAX(IF(L$1*12&lt;=Inputs!$G$93,12,(Inputs!$G$93-K$1*12)),0)*Inputs!$B$95</f>
        <v>0</v>
      </c>
      <c r="M27" s="8">
        <f>MAX(IF(M$1*12&lt;=Inputs!$G$93,12,(Inputs!$G$93-L$1*12)),0)*Inputs!$B$95</f>
        <v>0</v>
      </c>
      <c r="N27" s="8">
        <f>MAX(IF(N$1*12&lt;=Inputs!$G$93,12,(Inputs!$G$93-M$1*12)),0)*Inputs!$B$95</f>
        <v>0</v>
      </c>
      <c r="O27" s="8">
        <f>MAX(IF(O$1*12&lt;=Inputs!$G$93,12,(Inputs!$G$93-N$1*12)),0)*Inputs!$B$95</f>
        <v>0</v>
      </c>
      <c r="P27" s="8">
        <f>MAX(IF(P$1*12&lt;=Inputs!$G$93,12,(Inputs!$G$93-O$1*12)),0)*Inputs!$B$95</f>
        <v>0</v>
      </c>
      <c r="Q27" s="8">
        <f>MAX(IF(Q$1*12&lt;=Inputs!$G$93,12,(Inputs!$G$93-P$1*12)),0)*Inputs!$B$95</f>
        <v>0</v>
      </c>
      <c r="R27" s="8">
        <f>MAX(IF(R$1*12&lt;=Inputs!$G$93,12,(Inputs!$G$93-Q$1*12)),0)*Inputs!$B$95</f>
        <v>0</v>
      </c>
      <c r="S27" s="8">
        <f>MAX(IF(S$1*12&lt;=Inputs!$G$93,12,(Inputs!$G$93-R$1*12)),0)*Inputs!$B$95</f>
        <v>0</v>
      </c>
      <c r="T27" s="8">
        <f>MAX(IF(T$1*12&lt;=Inputs!$G$93,12,(Inputs!$G$93-S$1*12)),0)*Inputs!$B$95</f>
        <v>0</v>
      </c>
      <c r="U27" s="8">
        <f>MAX(IF(U$1*12&lt;=Inputs!$G$93,12,(Inputs!$G$93-T$1*12)),0)*Inputs!$B$95</f>
        <v>0</v>
      </c>
      <c r="V27" s="8">
        <f>MAX(IF(V$1*12&lt;=Inputs!$G$93,12,(Inputs!$G$93-U$1*12)),0)*Inputs!$B$95</f>
        <v>0</v>
      </c>
      <c r="W27" s="8">
        <f>MAX(IF(W$1*12&lt;=Inputs!$G$93,12,(Inputs!$G$93-V$1*12)),0)*Inputs!$B$95</f>
        <v>0</v>
      </c>
      <c r="X27" s="8">
        <f>MAX(IF(X$1*12&lt;=Inputs!$G$93,12,(Inputs!$G$93-W$1*12)),0)*Inputs!$B$95</f>
        <v>0</v>
      </c>
      <c r="Y27" s="8">
        <f>MAX(IF(Y$1*12&lt;=Inputs!$G$93,12,(Inputs!$G$93-X$1*12)),0)*Inputs!$B$95</f>
        <v>0</v>
      </c>
      <c r="Z27" s="8">
        <f>MAX(IF(Z$1*12&lt;=Inputs!$G$93,12,(Inputs!$G$93-Y$1*12)),0)*Inputs!$B$95</f>
        <v>0</v>
      </c>
      <c r="AA27" s="8">
        <f>MAX(IF(AA$1*12&lt;=Inputs!$G$93,12,(Inputs!$G$93-Z$1*12)),0)*Inputs!$B$95</f>
        <v>0</v>
      </c>
      <c r="AB27" s="8">
        <f>MAX(IF(AB$1*12&lt;=Inputs!$G$93,12,(Inputs!$G$93-AA$1*12)),0)*Inputs!$B$95</f>
        <v>0</v>
      </c>
      <c r="AC27" s="8">
        <f>MAX(IF(AC$1*12&lt;=Inputs!$G$93,12,(Inputs!$G$93-AB$1*12)),0)*Inputs!$B$95</f>
        <v>0</v>
      </c>
      <c r="AD27" s="8">
        <f>MAX(IF(AD$1*12&lt;=Inputs!$G$93,12,(Inputs!$G$93-AC$1*12)),0)*Inputs!$B$95</f>
        <v>0</v>
      </c>
      <c r="AE27" s="8">
        <f>MAX(IF(AE$1*12&lt;=Inputs!$G$93,12,(Inputs!$G$93-AD$1*12)),0)*Inputs!$B$95</f>
        <v>0</v>
      </c>
      <c r="AF27" s="8">
        <f>MAX(IF(AF$1*12&lt;=Inputs!$G$93,12,(Inputs!$G$93-AE$1*12)),0)*Inputs!$B$95</f>
        <v>0</v>
      </c>
      <c r="AG27" s="8">
        <f>MAX(IF(AG$1*12&lt;=Inputs!$G$93,12,(Inputs!$G$93-AF$1*12)),0)*Inputs!$B$95</f>
        <v>0</v>
      </c>
      <c r="AH27" s="8">
        <f>MAX(IF(AH$1*12&lt;=Inputs!$G$93,12,(Inputs!$G$93-AG$1*12)),0)*Inputs!$B$95</f>
        <v>0</v>
      </c>
      <c r="AI27" s="8">
        <f>MAX(IF(AI$1*12&lt;=Inputs!$G$93,12,(Inputs!$G$93-AH$1*12)),0)*Inputs!$B$95</f>
        <v>0</v>
      </c>
      <c r="AJ27" s="8">
        <f>MAX(IF(AJ$1*12&lt;=Inputs!$G$93,12,(Inputs!$G$93-AI$1*12)),0)*Inputs!$B$95</f>
        <v>0</v>
      </c>
      <c r="AK27" s="8">
        <f>MAX(IF(AK$1*12&lt;=Inputs!$G$93,12,(Inputs!$G$93-AJ$1*12)),0)*Inputs!$B$95</f>
        <v>0</v>
      </c>
      <c r="AL27" s="8">
        <f>MAX(IF(AL$1*12&lt;=Inputs!$G$93,12,(Inputs!$G$93-AK$1*12)),0)*Inputs!$B$95</f>
        <v>0</v>
      </c>
      <c r="AM27" s="8">
        <f>MAX(IF(AM$1*12&lt;=Inputs!$G$93,12,(Inputs!$G$93-AL$1*12)),0)*Inputs!$B$95</f>
        <v>0</v>
      </c>
    </row>
    <row r="28" spans="1:39" x14ac:dyDescent="0.2">
      <c r="A28" s="5" t="s">
        <v>58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</row>
    <row r="29" spans="1:39" x14ac:dyDescent="0.2">
      <c r="A29" s="4" t="str">
        <f>TEXT(Inputs!B33,"")</f>
        <v>John</v>
      </c>
      <c r="B29" s="9"/>
      <c r="C29" s="8">
        <f>IF(Inputs!$B$35&gt;=C$1,Inputs!$B$34,0)*(1+inf)^B$1</f>
        <v>2000</v>
      </c>
      <c r="D29" s="8">
        <f>IF(Inputs!$B$35&gt;=D$1,Inputs!$B$34,0)*(1+inf)^C$1</f>
        <v>2050</v>
      </c>
      <c r="E29" s="8">
        <f>IF(Inputs!$B$35&gt;=E$1,Inputs!$B$34,0)*(1+inf)^D$1</f>
        <v>2101.25</v>
      </c>
      <c r="F29" s="8">
        <f>IF(Inputs!$B$35&gt;=F$1,Inputs!$B$34,0)*(1+inf)^E$1</f>
        <v>0</v>
      </c>
      <c r="G29" s="8">
        <f>IF(Inputs!$B$35&gt;=G$1,Inputs!$B$34,0)*(1+inf)^F$1</f>
        <v>0</v>
      </c>
      <c r="H29" s="8">
        <f>IF(Inputs!$B$35&gt;=H$1,Inputs!$B$34,0)*(1+inf)^G$1</f>
        <v>0</v>
      </c>
      <c r="I29" s="8">
        <f>IF(Inputs!$B$35&gt;=I$1,Inputs!$B$34,0)*(1+inf)^H$1</f>
        <v>0</v>
      </c>
      <c r="J29" s="8">
        <f>IF(Inputs!$B$35&gt;=J$1,Inputs!$B$34,0)*(1+inf)^I$1</f>
        <v>0</v>
      </c>
      <c r="K29" s="8">
        <f>IF(Inputs!$B$35&gt;=K$1,Inputs!$B$34,0)*(1+inf)^J$1</f>
        <v>0</v>
      </c>
      <c r="L29" s="8">
        <f>IF(Inputs!$B$35&gt;=L$1,Inputs!$B$34,0)*(1+inf)^K$1</f>
        <v>0</v>
      </c>
      <c r="M29" s="8">
        <f>IF(Inputs!$B$35&gt;=M$1,Inputs!$B$34,0)*(1+inf)^L$1</f>
        <v>0</v>
      </c>
      <c r="N29" s="8">
        <f>IF(Inputs!$B$35&gt;=N$1,Inputs!$B$34,0)*(1+inf)^M$1</f>
        <v>0</v>
      </c>
      <c r="O29" s="8">
        <f>IF(Inputs!$B$35&gt;=O$1,Inputs!$B$34,0)*(1+inf)^N$1</f>
        <v>0</v>
      </c>
      <c r="P29" s="8">
        <f>IF(Inputs!$B$35&gt;=P$1,Inputs!$B$34,0)*(1+inf)^O$1</f>
        <v>0</v>
      </c>
      <c r="Q29" s="8">
        <f>IF(Inputs!$B$35&gt;=Q$1,Inputs!$B$34,0)*(1+inf)^P$1</f>
        <v>0</v>
      </c>
      <c r="R29" s="8">
        <f>IF(Inputs!$B$35&gt;=R$1,Inputs!$B$34,0)*(1+inf)^Q$1</f>
        <v>0</v>
      </c>
      <c r="S29" s="8">
        <f>IF(Inputs!$B$35&gt;=S$1,Inputs!$B$34,0)*(1+inf)^R$1</f>
        <v>0</v>
      </c>
      <c r="T29" s="8">
        <f>IF(Inputs!$B$35&gt;=T$1,Inputs!$B$34,0)*(1+inf)^S$1</f>
        <v>0</v>
      </c>
      <c r="U29" s="8">
        <f>IF(Inputs!$B$35&gt;=U$1,Inputs!$B$34,0)*(1+inf)^T$1</f>
        <v>0</v>
      </c>
      <c r="V29" s="8">
        <f>IF(Inputs!$B$35&gt;=V$1,Inputs!$B$34,0)*(1+inf)^U$1</f>
        <v>0</v>
      </c>
      <c r="W29" s="8">
        <f>IF(Inputs!$B$35&gt;=W$1,Inputs!$B$34,0)*(1+inf)^V$1</f>
        <v>0</v>
      </c>
      <c r="X29" s="8">
        <f>IF(Inputs!$B$35&gt;=X$1,Inputs!$B$34,0)*(1+inf)^W$1</f>
        <v>0</v>
      </c>
      <c r="Y29" s="8">
        <f>IF(Inputs!$B$35&gt;=Y$1,Inputs!$B$34,0)*(1+inf)^X$1</f>
        <v>0</v>
      </c>
      <c r="Z29" s="8">
        <f>IF(Inputs!$B$35&gt;=Z$1,Inputs!$B$34,0)*(1+inf)^Y$1</f>
        <v>0</v>
      </c>
      <c r="AA29" s="8">
        <f>IF(Inputs!$B$35&gt;=AA$1,Inputs!$B$34,0)*(1+inf)^Z$1</f>
        <v>0</v>
      </c>
      <c r="AB29" s="8">
        <f>IF(Inputs!$B$35&gt;=AB$1,Inputs!$B$34,0)*(1+inf)^AA$1</f>
        <v>0</v>
      </c>
      <c r="AC29" s="8">
        <f>IF(Inputs!$B$35&gt;=AC$1,Inputs!$B$34,0)*(1+inf)^AB$1</f>
        <v>0</v>
      </c>
      <c r="AD29" s="8">
        <f>IF(Inputs!$B$35&gt;=AD$1,Inputs!$B$34,0)*(1+inf)^AC$1</f>
        <v>0</v>
      </c>
      <c r="AE29" s="8">
        <f>IF(Inputs!$B$35&gt;=AE$1,Inputs!$B$34,0)*(1+inf)^AD$1</f>
        <v>0</v>
      </c>
      <c r="AF29" s="8">
        <f>IF(Inputs!$B$35&gt;=AF$1,Inputs!$B$34,0)*(1+inf)^AE$1</f>
        <v>0</v>
      </c>
      <c r="AG29" s="8">
        <f>IF(Inputs!$B$35&gt;=AG$1,Inputs!$B$34,0)*(1+inf)^AF$1</f>
        <v>0</v>
      </c>
      <c r="AH29" s="8">
        <f>IF(Inputs!$B$35&gt;=AH$1,Inputs!$B$34,0)*(1+inf)^AG$1</f>
        <v>0</v>
      </c>
      <c r="AI29" s="8">
        <f>IF(Inputs!$B$35&gt;=AI$1,Inputs!$B$34,0)*(1+inf)^AH$1</f>
        <v>0</v>
      </c>
      <c r="AJ29" s="8">
        <f>IF(Inputs!$B$35&gt;=AJ$1,Inputs!$B$34,0)*(1+inf)^AI$1</f>
        <v>0</v>
      </c>
      <c r="AK29" s="8">
        <f>IF(Inputs!$B$35&gt;=AK$1,Inputs!$B$34,0)*(1+inf)^AJ$1</f>
        <v>0</v>
      </c>
      <c r="AL29" s="8">
        <f>IF(Inputs!$B$35&gt;=AL$1,Inputs!$B$34,0)*(1+inf)^AK$1</f>
        <v>0</v>
      </c>
      <c r="AM29" s="8">
        <f>IF(Inputs!$B$35&gt;=AM$1,Inputs!$B$34,0)*(1+inf)^AL$1</f>
        <v>0</v>
      </c>
    </row>
    <row r="30" spans="1:39" x14ac:dyDescent="0.2">
      <c r="A30" s="4" t="str">
        <f>TEXT(Inputs!B38,"")</f>
        <v>Jack</v>
      </c>
      <c r="B30" s="9"/>
      <c r="C30" s="8">
        <f>IF(Inputs!$B$40&gt;=C$1,Inputs!$B$39,0)*(1+inf)^B$1</f>
        <v>1000</v>
      </c>
      <c r="D30" s="8">
        <f>IF(Inputs!$B$40&gt;=D$1,Inputs!$B$39,0)*(1+inf)^C$1</f>
        <v>1025</v>
      </c>
      <c r="E30" s="8">
        <f>IF(Inputs!$B$40&gt;=E$1,Inputs!$B$39,0)*(1+inf)^D$1</f>
        <v>1050.625</v>
      </c>
      <c r="F30" s="8">
        <f>IF(Inputs!$B$40&gt;=F$1,Inputs!$B$39,0)*(1+inf)^E$1</f>
        <v>1076.8906249999998</v>
      </c>
      <c r="G30" s="8">
        <f>IF(Inputs!$B$40&gt;=G$1,Inputs!$B$39,0)*(1+inf)^F$1</f>
        <v>1103.8128906249997</v>
      </c>
      <c r="H30" s="8">
        <f>IF(Inputs!$B$40&gt;=H$1,Inputs!$B$39,0)*(1+inf)^G$1</f>
        <v>0</v>
      </c>
      <c r="I30" s="8">
        <f>IF(Inputs!$B$40&gt;=I$1,Inputs!$B$39,0)*(1+inf)^H$1</f>
        <v>0</v>
      </c>
      <c r="J30" s="8">
        <f>IF(Inputs!$B$40&gt;=J$1,Inputs!$B$39,0)*(1+inf)^I$1</f>
        <v>0</v>
      </c>
      <c r="K30" s="8">
        <f>IF(Inputs!$B$40&gt;=K$1,Inputs!$B$39,0)*(1+inf)^J$1</f>
        <v>0</v>
      </c>
      <c r="L30" s="8">
        <f>IF(Inputs!$B$40&gt;=L$1,Inputs!$B$39,0)*(1+inf)^K$1</f>
        <v>0</v>
      </c>
      <c r="M30" s="8">
        <f>IF(Inputs!$B$40&gt;=M$1,Inputs!$B$39,0)*(1+inf)^L$1</f>
        <v>0</v>
      </c>
      <c r="N30" s="8">
        <f>IF(Inputs!$B$40&gt;=N$1,Inputs!$B$39,0)*(1+inf)^M$1</f>
        <v>0</v>
      </c>
      <c r="O30" s="8">
        <f>IF(Inputs!$B$40&gt;=O$1,Inputs!$B$39,0)*(1+inf)^N$1</f>
        <v>0</v>
      </c>
      <c r="P30" s="8">
        <f>IF(Inputs!$B$40&gt;=P$1,Inputs!$B$39,0)*(1+inf)^O$1</f>
        <v>0</v>
      </c>
      <c r="Q30" s="8">
        <f>IF(Inputs!$B$40&gt;=Q$1,Inputs!$B$39,0)*(1+inf)^P$1</f>
        <v>0</v>
      </c>
      <c r="R30" s="8">
        <f>IF(Inputs!$B$40&gt;=R$1,Inputs!$B$39,0)*(1+inf)^Q$1</f>
        <v>0</v>
      </c>
      <c r="S30" s="8">
        <f>IF(Inputs!$B$40&gt;=S$1,Inputs!$B$39,0)*(1+inf)^R$1</f>
        <v>0</v>
      </c>
      <c r="T30" s="8">
        <f>IF(Inputs!$B$40&gt;=T$1,Inputs!$B$39,0)*(1+inf)^S$1</f>
        <v>0</v>
      </c>
      <c r="U30" s="8">
        <f>IF(Inputs!$B$40&gt;=U$1,Inputs!$B$39,0)*(1+inf)^T$1</f>
        <v>0</v>
      </c>
      <c r="V30" s="8">
        <f>IF(Inputs!$B$40&gt;=V$1,Inputs!$B$39,0)*(1+inf)^U$1</f>
        <v>0</v>
      </c>
      <c r="W30" s="8">
        <f>IF(Inputs!$B$40&gt;=W$1,Inputs!$B$39,0)*(1+inf)^V$1</f>
        <v>0</v>
      </c>
      <c r="X30" s="8">
        <f>IF(Inputs!$B$40&gt;=X$1,Inputs!$B$39,0)*(1+inf)^W$1</f>
        <v>0</v>
      </c>
      <c r="Y30" s="8">
        <f>IF(Inputs!$B$40&gt;=Y$1,Inputs!$B$39,0)*(1+inf)^X$1</f>
        <v>0</v>
      </c>
      <c r="Z30" s="8">
        <f>IF(Inputs!$B$40&gt;=Z$1,Inputs!$B$39,0)*(1+inf)^Y$1</f>
        <v>0</v>
      </c>
      <c r="AA30" s="8">
        <f>IF(Inputs!$B$40&gt;=AA$1,Inputs!$B$39,0)*(1+inf)^Z$1</f>
        <v>0</v>
      </c>
      <c r="AB30" s="8">
        <f>IF(Inputs!$B$40&gt;=AB$1,Inputs!$B$39,0)*(1+inf)^AA$1</f>
        <v>0</v>
      </c>
      <c r="AC30" s="8">
        <f>IF(Inputs!$B$40&gt;=AC$1,Inputs!$B$39,0)*(1+inf)^AB$1</f>
        <v>0</v>
      </c>
      <c r="AD30" s="8">
        <f>IF(Inputs!$B$40&gt;=AD$1,Inputs!$B$39,0)*(1+inf)^AC$1</f>
        <v>0</v>
      </c>
      <c r="AE30" s="8">
        <f>IF(Inputs!$B$40&gt;=AE$1,Inputs!$B$39,0)*(1+inf)^AD$1</f>
        <v>0</v>
      </c>
      <c r="AF30" s="8">
        <f>IF(Inputs!$B$40&gt;=AF$1,Inputs!$B$39,0)*(1+inf)^AE$1</f>
        <v>0</v>
      </c>
      <c r="AG30" s="8">
        <f>IF(Inputs!$B$40&gt;=AG$1,Inputs!$B$39,0)*(1+inf)^AF$1</f>
        <v>0</v>
      </c>
      <c r="AH30" s="8">
        <f>IF(Inputs!$B$40&gt;=AH$1,Inputs!$B$39,0)*(1+inf)^AG$1</f>
        <v>0</v>
      </c>
      <c r="AI30" s="8">
        <f>IF(Inputs!$B$40&gt;=AI$1,Inputs!$B$39,0)*(1+inf)^AH$1</f>
        <v>0</v>
      </c>
      <c r="AJ30" s="8">
        <f>IF(Inputs!$B$40&gt;=AJ$1,Inputs!$B$39,0)*(1+inf)^AI$1</f>
        <v>0</v>
      </c>
      <c r="AK30" s="8">
        <f>IF(Inputs!$B$40&gt;=AK$1,Inputs!$B$39,0)*(1+inf)^AJ$1</f>
        <v>0</v>
      </c>
      <c r="AL30" s="8">
        <f>IF(Inputs!$B$40&gt;=AL$1,Inputs!$B$39,0)*(1+inf)^AK$1</f>
        <v>0</v>
      </c>
      <c r="AM30" s="8">
        <f>IF(Inputs!$B$40&gt;=AM$1,Inputs!$B$39,0)*(1+inf)^AL$1</f>
        <v>0</v>
      </c>
    </row>
    <row r="31" spans="1:39" x14ac:dyDescent="0.2">
      <c r="A31" s="4" t="str">
        <f>TEXT(Inputs!B43,"")</f>
        <v>Bill</v>
      </c>
      <c r="B31" s="9"/>
      <c r="C31" s="8">
        <f>IF(Inputs!$B$45&gt;=C$1,Inputs!$B$44,0)*(1+inf)^B$1</f>
        <v>4000</v>
      </c>
      <c r="D31" s="8">
        <f>IF(Inputs!$B$45&gt;=D$1,Inputs!$B$44,0)*(1+inf)^C$1</f>
        <v>4100</v>
      </c>
      <c r="E31" s="8">
        <f>IF(Inputs!$B$45&gt;=E$1,Inputs!$B$44,0)*(1+inf)^D$1</f>
        <v>0</v>
      </c>
      <c r="F31" s="8">
        <f>IF(Inputs!$B$45&gt;=F$1,Inputs!$B$44,0)*(1+inf)^E$1</f>
        <v>0</v>
      </c>
      <c r="G31" s="8">
        <f>IF(Inputs!$B$45&gt;=G$1,Inputs!$B$44,0)*(1+inf)^F$1</f>
        <v>0</v>
      </c>
      <c r="H31" s="8">
        <f>IF(Inputs!$B$45&gt;=H$1,Inputs!$B$44,0)*(1+inf)^G$1</f>
        <v>0</v>
      </c>
      <c r="I31" s="8">
        <f>IF(Inputs!$B$45&gt;=I$1,Inputs!$B$44,0)*(1+inf)^H$1</f>
        <v>0</v>
      </c>
      <c r="J31" s="8">
        <f>IF(Inputs!$B$45&gt;=J$1,Inputs!$B$44,0)*(1+inf)^I$1</f>
        <v>0</v>
      </c>
      <c r="K31" s="8">
        <f>IF(Inputs!$B$45&gt;=K$1,Inputs!$B$44,0)*(1+inf)^J$1</f>
        <v>0</v>
      </c>
      <c r="L31" s="8">
        <f>IF(Inputs!$B$45&gt;=L$1,Inputs!$B$44,0)*(1+inf)^K$1</f>
        <v>0</v>
      </c>
      <c r="M31" s="8">
        <f>IF(Inputs!$B$45&gt;=M$1,Inputs!$B$44,0)*(1+inf)^L$1</f>
        <v>0</v>
      </c>
      <c r="N31" s="8">
        <f>IF(Inputs!$B$45&gt;=N$1,Inputs!$B$44,0)*(1+inf)^M$1</f>
        <v>0</v>
      </c>
      <c r="O31" s="8">
        <f>IF(Inputs!$B$45&gt;=O$1,Inputs!$B$44,0)*(1+inf)^N$1</f>
        <v>0</v>
      </c>
      <c r="P31" s="8">
        <f>IF(Inputs!$B$45&gt;=P$1,Inputs!$B$44,0)*(1+inf)^O$1</f>
        <v>0</v>
      </c>
      <c r="Q31" s="8">
        <f>IF(Inputs!$B$45&gt;=Q$1,Inputs!$B$44,0)*(1+inf)^P$1</f>
        <v>0</v>
      </c>
      <c r="R31" s="8">
        <f>IF(Inputs!$B$45&gt;=R$1,Inputs!$B$44,0)*(1+inf)^Q$1</f>
        <v>0</v>
      </c>
      <c r="S31" s="8">
        <f>IF(Inputs!$B$45&gt;=S$1,Inputs!$B$44,0)*(1+inf)^R$1</f>
        <v>0</v>
      </c>
      <c r="T31" s="8">
        <f>IF(Inputs!$B$45&gt;=T$1,Inputs!$B$44,0)*(1+inf)^S$1</f>
        <v>0</v>
      </c>
      <c r="U31" s="8">
        <f>IF(Inputs!$B$45&gt;=U$1,Inputs!$B$44,0)*(1+inf)^T$1</f>
        <v>0</v>
      </c>
      <c r="V31" s="8">
        <f>IF(Inputs!$B$45&gt;=V$1,Inputs!$B$44,0)*(1+inf)^U$1</f>
        <v>0</v>
      </c>
      <c r="W31" s="8">
        <f>IF(Inputs!$B$45&gt;=W$1,Inputs!$B$44,0)*(1+inf)^V$1</f>
        <v>0</v>
      </c>
      <c r="X31" s="8">
        <f>IF(Inputs!$B$45&gt;=X$1,Inputs!$B$44,0)*(1+inf)^W$1</f>
        <v>0</v>
      </c>
      <c r="Y31" s="8">
        <f>IF(Inputs!$B$45&gt;=Y$1,Inputs!$B$44,0)*(1+inf)^X$1</f>
        <v>0</v>
      </c>
      <c r="Z31" s="8">
        <f>IF(Inputs!$B$45&gt;=Z$1,Inputs!$B$44,0)*(1+inf)^Y$1</f>
        <v>0</v>
      </c>
      <c r="AA31" s="8">
        <f>IF(Inputs!$B$45&gt;=AA$1,Inputs!$B$44,0)*(1+inf)^Z$1</f>
        <v>0</v>
      </c>
      <c r="AB31" s="8">
        <f>IF(Inputs!$B$45&gt;=AB$1,Inputs!$B$44,0)*(1+inf)^AA$1</f>
        <v>0</v>
      </c>
      <c r="AC31" s="8">
        <f>IF(Inputs!$B$45&gt;=AC$1,Inputs!$B$44,0)*(1+inf)^AB$1</f>
        <v>0</v>
      </c>
      <c r="AD31" s="8">
        <f>IF(Inputs!$B$45&gt;=AD$1,Inputs!$B$44,0)*(1+inf)^AC$1</f>
        <v>0</v>
      </c>
      <c r="AE31" s="8">
        <f>IF(Inputs!$B$45&gt;=AE$1,Inputs!$B$44,0)*(1+inf)^AD$1</f>
        <v>0</v>
      </c>
      <c r="AF31" s="8">
        <f>IF(Inputs!$B$45&gt;=AF$1,Inputs!$B$44,0)*(1+inf)^AE$1</f>
        <v>0</v>
      </c>
      <c r="AG31" s="8">
        <f>IF(Inputs!$B$45&gt;=AG$1,Inputs!$B$44,0)*(1+inf)^AF$1</f>
        <v>0</v>
      </c>
      <c r="AH31" s="8">
        <f>IF(Inputs!$B$45&gt;=AH$1,Inputs!$B$44,0)*(1+inf)^AG$1</f>
        <v>0</v>
      </c>
      <c r="AI31" s="8">
        <f>IF(Inputs!$B$45&gt;=AI$1,Inputs!$B$44,0)*(1+inf)^AH$1</f>
        <v>0</v>
      </c>
      <c r="AJ31" s="8">
        <f>IF(Inputs!$B$45&gt;=AJ$1,Inputs!$B$44,0)*(1+inf)^AI$1</f>
        <v>0</v>
      </c>
      <c r="AK31" s="8">
        <f>IF(Inputs!$B$45&gt;=AK$1,Inputs!$B$44,0)*(1+inf)^AJ$1</f>
        <v>0</v>
      </c>
      <c r="AL31" s="8">
        <f>IF(Inputs!$B$45&gt;=AL$1,Inputs!$B$44,0)*(1+inf)^AK$1</f>
        <v>0</v>
      </c>
      <c r="AM31" s="8">
        <f>IF(Inputs!$B$45&gt;=AM$1,Inputs!$B$44,0)*(1+inf)^AL$1</f>
        <v>0</v>
      </c>
    </row>
    <row r="32" spans="1:39" x14ac:dyDescent="0.2">
      <c r="A32" s="5" t="s">
        <v>5</v>
      </c>
      <c r="B32" s="9"/>
      <c r="C32" s="8">
        <f>Inputs!$B$23*(1+inf)^B$1</f>
        <v>0</v>
      </c>
      <c r="D32" s="8">
        <f>Inputs!$B$23*(1+inf)^C$1</f>
        <v>0</v>
      </c>
      <c r="E32" s="8">
        <f>Inputs!$B$23*(1+inf)^D$1</f>
        <v>0</v>
      </c>
      <c r="F32" s="8">
        <f>Inputs!$B$23*(1+inf)^E$1</f>
        <v>0</v>
      </c>
      <c r="G32" s="8">
        <f>Inputs!$B$23*(1+inf)^F$1</f>
        <v>0</v>
      </c>
      <c r="H32" s="8">
        <f>Inputs!$B$23*(1+inf)^G$1</f>
        <v>0</v>
      </c>
      <c r="I32" s="8">
        <f>Inputs!$B$23*(1+inf)^H$1</f>
        <v>0</v>
      </c>
      <c r="J32" s="8">
        <f>Inputs!$B$23*(1+inf)^I$1</f>
        <v>0</v>
      </c>
      <c r="K32" s="8">
        <f>Inputs!$B$23*(1+inf)^J$1</f>
        <v>0</v>
      </c>
      <c r="L32" s="8">
        <f>Inputs!$B$23*(1+inf)^K$1</f>
        <v>0</v>
      </c>
      <c r="M32" s="8">
        <f>Inputs!$B$23*(1+inf)^L$1</f>
        <v>0</v>
      </c>
      <c r="N32" s="8">
        <f>Inputs!$B$23*(1+inf)^M$1</f>
        <v>0</v>
      </c>
      <c r="O32" s="8">
        <f>Inputs!$B$23*(1+inf)^N$1</f>
        <v>0</v>
      </c>
      <c r="P32" s="8">
        <f>Inputs!$B$23*(1+inf)^O$1</f>
        <v>0</v>
      </c>
      <c r="Q32" s="8">
        <f>Inputs!$B$23*(1+inf)^P$1</f>
        <v>0</v>
      </c>
      <c r="R32" s="8">
        <f>Inputs!$B$23*(1+inf)^Q$1</f>
        <v>0</v>
      </c>
      <c r="S32" s="8">
        <f>Inputs!$B$23*(1+inf)^R$1</f>
        <v>0</v>
      </c>
      <c r="T32" s="8">
        <f>Inputs!$B$23*(1+inf)^S$1</f>
        <v>0</v>
      </c>
      <c r="U32" s="8">
        <f>Inputs!$B$23*(1+inf)^T$1</f>
        <v>0</v>
      </c>
      <c r="V32" s="8">
        <f>Inputs!$B$23*(1+inf)^U$1</f>
        <v>0</v>
      </c>
      <c r="W32" s="8">
        <f>Inputs!$B$23*(1+inf)^V$1</f>
        <v>0</v>
      </c>
      <c r="X32" s="8">
        <f>Inputs!$B$23*(1+inf)^W$1</f>
        <v>0</v>
      </c>
      <c r="Y32" s="8">
        <f>Inputs!$B$23*(1+inf)^X$1</f>
        <v>0</v>
      </c>
      <c r="Z32" s="8">
        <f>Inputs!$B$23*(1+inf)^Y$1</f>
        <v>0</v>
      </c>
      <c r="AA32" s="8">
        <f>Inputs!$B$23*(1+inf)^Z$1</f>
        <v>0</v>
      </c>
      <c r="AB32" s="8">
        <f>Inputs!$B$23*(1+inf)^AA$1</f>
        <v>0</v>
      </c>
      <c r="AC32" s="8">
        <f>Inputs!$B$23*(1+inf)^AB$1</f>
        <v>0</v>
      </c>
      <c r="AD32" s="8">
        <f>Inputs!$B$23*(1+inf)^AC$1</f>
        <v>0</v>
      </c>
      <c r="AE32" s="8">
        <f>Inputs!$B$23*(1+inf)^AD$1</f>
        <v>0</v>
      </c>
      <c r="AF32" s="8">
        <f>Inputs!$B$23*(1+inf)^AE$1</f>
        <v>0</v>
      </c>
      <c r="AG32" s="8">
        <f>Inputs!$B$23*(1+inf)^AF$1</f>
        <v>0</v>
      </c>
      <c r="AH32" s="8">
        <f>Inputs!$B$23*(1+inf)^AG$1</f>
        <v>0</v>
      </c>
      <c r="AI32" s="8">
        <f>Inputs!$B$23*(1+inf)^AH$1</f>
        <v>0</v>
      </c>
      <c r="AJ32" s="8">
        <f>Inputs!$B$23*(1+inf)^AI$1</f>
        <v>0</v>
      </c>
      <c r="AK32" s="8">
        <f>Inputs!$B$23*(1+inf)^AJ$1</f>
        <v>0</v>
      </c>
      <c r="AL32" s="8">
        <f>Inputs!$B$23*(1+inf)^AK$1</f>
        <v>0</v>
      </c>
      <c r="AM32" s="8">
        <f>Inputs!$B$23*(1+inf)^AL$1</f>
        <v>0</v>
      </c>
    </row>
    <row r="33" spans="1:39" x14ac:dyDescent="0.2">
      <c r="A33" s="5" t="s">
        <v>59</v>
      </c>
      <c r="B33" s="9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</row>
    <row r="34" spans="1:39" x14ac:dyDescent="0.2">
      <c r="A34" s="4" t="str">
        <f>TEXT(Inputs!$B$50,"")</f>
        <v>Sliema</v>
      </c>
      <c r="B34" s="9"/>
      <c r="C34" s="8">
        <f>Inputs!$B52*(1+inf)^B$1</f>
        <v>5000</v>
      </c>
      <c r="D34" s="8">
        <f>Inputs!$B52*(1+inf)^C$1</f>
        <v>5125</v>
      </c>
      <c r="E34" s="8">
        <f>Inputs!$B52*(1+inf)^D$1</f>
        <v>5253.125</v>
      </c>
      <c r="F34" s="8">
        <f>Inputs!$B52*(1+inf)^E$1</f>
        <v>5384.4531249999991</v>
      </c>
      <c r="G34" s="8">
        <f>Inputs!$B52*(1+inf)^F$1</f>
        <v>5519.0644531249991</v>
      </c>
      <c r="H34" s="8">
        <f>Inputs!$B52*(1+inf)^G$1</f>
        <v>5657.041064453123</v>
      </c>
      <c r="I34" s="8">
        <f>Inputs!$B52*(1+inf)^H$1</f>
        <v>5798.4670910644509</v>
      </c>
      <c r="J34" s="8">
        <f>Inputs!$B52*(1+inf)^I$1</f>
        <v>5943.4287683410621</v>
      </c>
      <c r="K34" s="8">
        <f>Inputs!$B52*(1+inf)^J$1</f>
        <v>6092.0144875495889</v>
      </c>
      <c r="L34" s="8">
        <f>Inputs!$B52*(1+inf)^K$1</f>
        <v>6244.3148497383272</v>
      </c>
      <c r="M34" s="8">
        <f>Inputs!$B52*(1+inf)^L$1</f>
        <v>6400.4227209817855</v>
      </c>
      <c r="N34" s="8">
        <f>Inputs!$B52*(1+inf)^M$1</f>
        <v>6560.4332890063297</v>
      </c>
      <c r="O34" s="8">
        <f>Inputs!$B52*(1+inf)^N$1</f>
        <v>6724.4441212314878</v>
      </c>
      <c r="P34" s="8">
        <f>Inputs!$B52*(1+inf)^O$1</f>
        <v>6892.5552242622744</v>
      </c>
      <c r="Q34" s="8">
        <f>Inputs!$B52*(1+inf)^P$1</f>
        <v>7064.8691048688306</v>
      </c>
      <c r="R34" s="8">
        <f>Inputs!$B52*(1+inf)^Q$1</f>
        <v>7241.4908324905527</v>
      </c>
      <c r="S34" s="8">
        <f>Inputs!$B52*(1+inf)^R$1</f>
        <v>7422.5281033028159</v>
      </c>
      <c r="T34" s="8">
        <f>Inputs!$B52*(1+inf)^S$1</f>
        <v>7608.0913058853848</v>
      </c>
      <c r="U34" s="8">
        <f>Inputs!$B52*(1+inf)^T$1</f>
        <v>7798.2935885325196</v>
      </c>
      <c r="V34" s="8">
        <f>Inputs!$B52*(1+inf)^U$1</f>
        <v>7993.2509282458332</v>
      </c>
      <c r="W34" s="8">
        <f>Inputs!$B52*(1+inf)^V$1</f>
        <v>8193.0822014519781</v>
      </c>
      <c r="X34" s="8">
        <f>Inputs!$B52*(1+inf)^W$1</f>
        <v>8397.9092564882758</v>
      </c>
      <c r="Y34" s="8">
        <f>Inputs!$B52*(1+inf)^X$1</f>
        <v>8607.8569879004826</v>
      </c>
      <c r="Z34" s="8">
        <f>Inputs!$B52*(1+inf)^Y$1</f>
        <v>8823.0534125979957</v>
      </c>
      <c r="AA34" s="8">
        <f>Inputs!$B52*(1+inf)^Z$1</f>
        <v>9043.6297479129444</v>
      </c>
      <c r="AB34" s="8">
        <f>Inputs!$B52*(1+inf)^AA$1</f>
        <v>9269.7204916107676</v>
      </c>
      <c r="AC34" s="8">
        <f>Inputs!$B52*(1+inf)^AB$1</f>
        <v>9501.4635039010354</v>
      </c>
      <c r="AD34" s="8">
        <f>Inputs!$B52*(1+inf)^AC$1</f>
        <v>9739.0000914985612</v>
      </c>
      <c r="AE34" s="8">
        <f>Inputs!$B52*(1+inf)^AD$1</f>
        <v>9982.4750937860244</v>
      </c>
      <c r="AF34" s="8">
        <f>Inputs!$B52*(1+inf)^AE$1</f>
        <v>10232.036971130676</v>
      </c>
      <c r="AG34" s="8">
        <f>Inputs!$B52*(1+inf)^AF$1</f>
        <v>10487.83789540894</v>
      </c>
      <c r="AH34" s="8">
        <f>Inputs!$B52*(1+inf)^AG$1</f>
        <v>10750.033842794166</v>
      </c>
      <c r="AI34" s="8">
        <f>Inputs!$B52*(1+inf)^AH$1</f>
        <v>11018.784688864018</v>
      </c>
      <c r="AJ34" s="8">
        <f>Inputs!$B52*(1+inf)^AI$1</f>
        <v>11294.254306085619</v>
      </c>
      <c r="AK34" s="8">
        <f>Inputs!$B52*(1+inf)^AJ$1</f>
        <v>11576.610663737758</v>
      </c>
      <c r="AL34" s="8">
        <f>Inputs!$B52*(1+inf)^AK$1</f>
        <v>11866.025930331201</v>
      </c>
      <c r="AM34" s="8">
        <f>Inputs!$B52*(1+inf)^AL$1</f>
        <v>12162.676578589482</v>
      </c>
    </row>
    <row r="35" spans="1:39" x14ac:dyDescent="0.2">
      <c r="A35" s="4" t="str">
        <f>TEXT(Inputs!$B$55,"")</f>
        <v>Gzira</v>
      </c>
      <c r="B35" s="9"/>
      <c r="C35" s="8">
        <f>Inputs!$B57*(1+inf)^B$1</f>
        <v>2000</v>
      </c>
      <c r="D35" s="8">
        <f>Inputs!$B57*(1+inf)^C$1</f>
        <v>2050</v>
      </c>
      <c r="E35" s="8">
        <f>Inputs!$B57*(1+inf)^D$1</f>
        <v>2101.25</v>
      </c>
      <c r="F35" s="8">
        <f>Inputs!$B57*(1+inf)^E$1</f>
        <v>2153.7812499999995</v>
      </c>
      <c r="G35" s="8">
        <f>Inputs!$B57*(1+inf)^F$1</f>
        <v>2207.6257812499994</v>
      </c>
      <c r="H35" s="8">
        <f>Inputs!$B57*(1+inf)^G$1</f>
        <v>2262.8164257812491</v>
      </c>
      <c r="I35" s="8">
        <f>Inputs!$B57*(1+inf)^H$1</f>
        <v>2319.3868364257805</v>
      </c>
      <c r="J35" s="8">
        <f>Inputs!$B57*(1+inf)^I$1</f>
        <v>2377.3715073364251</v>
      </c>
      <c r="K35" s="8">
        <f>Inputs!$B57*(1+inf)^J$1</f>
        <v>2436.8057950198354</v>
      </c>
      <c r="L35" s="8">
        <f>Inputs!$B57*(1+inf)^K$1</f>
        <v>2497.7259398953311</v>
      </c>
      <c r="M35" s="8">
        <f>Inputs!$B57*(1+inf)^L$1</f>
        <v>2560.169088392714</v>
      </c>
      <c r="N35" s="8">
        <f>Inputs!$B57*(1+inf)^M$1</f>
        <v>2624.1733156025321</v>
      </c>
      <c r="O35" s="8">
        <f>Inputs!$B57*(1+inf)^N$1</f>
        <v>2689.7776484925948</v>
      </c>
      <c r="P35" s="8">
        <f>Inputs!$B57*(1+inf)^O$1</f>
        <v>2757.0220897049098</v>
      </c>
      <c r="Q35" s="8">
        <f>Inputs!$B57*(1+inf)^P$1</f>
        <v>2825.9476419475322</v>
      </c>
      <c r="R35" s="8">
        <f>Inputs!$B57*(1+inf)^Q$1</f>
        <v>2896.596332996221</v>
      </c>
      <c r="S35" s="8">
        <f>Inputs!$B57*(1+inf)^R$1</f>
        <v>2969.0112413211264</v>
      </c>
      <c r="T35" s="8">
        <f>Inputs!$B57*(1+inf)^S$1</f>
        <v>3043.2365223541542</v>
      </c>
      <c r="U35" s="8">
        <f>Inputs!$B57*(1+inf)^T$1</f>
        <v>3119.3174354130078</v>
      </c>
      <c r="V35" s="8">
        <f>Inputs!$B57*(1+inf)^U$1</f>
        <v>3197.3003712983332</v>
      </c>
      <c r="W35" s="8">
        <f>Inputs!$B57*(1+inf)^V$1</f>
        <v>3277.2328805807911</v>
      </c>
      <c r="X35" s="8">
        <f>Inputs!$B57*(1+inf)^W$1</f>
        <v>3359.1637025953105</v>
      </c>
      <c r="Y35" s="8">
        <f>Inputs!$B57*(1+inf)^X$1</f>
        <v>3443.1427951601931</v>
      </c>
      <c r="Z35" s="8">
        <f>Inputs!$B57*(1+inf)^Y$1</f>
        <v>3529.2213650391982</v>
      </c>
      <c r="AA35" s="8">
        <f>Inputs!$B57*(1+inf)^Z$1</f>
        <v>3617.451899165178</v>
      </c>
      <c r="AB35" s="8">
        <f>Inputs!$B57*(1+inf)^AA$1</f>
        <v>3707.8881966443068</v>
      </c>
      <c r="AC35" s="8">
        <f>Inputs!$B57*(1+inf)^AB$1</f>
        <v>3800.5854015604141</v>
      </c>
      <c r="AD35" s="8">
        <f>Inputs!$B57*(1+inf)^AC$1</f>
        <v>3895.6000365994241</v>
      </c>
      <c r="AE35" s="8">
        <f>Inputs!$B57*(1+inf)^AD$1</f>
        <v>3992.9900375144098</v>
      </c>
      <c r="AF35" s="8">
        <f>Inputs!$B57*(1+inf)^AE$1</f>
        <v>4092.8147884522705</v>
      </c>
      <c r="AG35" s="8">
        <f>Inputs!$B57*(1+inf)^AF$1</f>
        <v>4195.1351581635763</v>
      </c>
      <c r="AH35" s="8">
        <f>Inputs!$B57*(1+inf)^AG$1</f>
        <v>4300.0135371176666</v>
      </c>
      <c r="AI35" s="8">
        <f>Inputs!$B57*(1+inf)^AH$1</f>
        <v>4407.5138755456073</v>
      </c>
      <c r="AJ35" s="8">
        <f>Inputs!$B57*(1+inf)^AI$1</f>
        <v>4517.7017224342471</v>
      </c>
      <c r="AK35" s="8">
        <f>Inputs!$B57*(1+inf)^AJ$1</f>
        <v>4630.6442654951034</v>
      </c>
      <c r="AL35" s="8">
        <f>Inputs!$B57*(1+inf)^AK$1</f>
        <v>4746.41037213248</v>
      </c>
      <c r="AM35" s="8">
        <f>Inputs!$B57*(1+inf)^AL$1</f>
        <v>4865.0706314357931</v>
      </c>
    </row>
    <row r="36" spans="1:39" x14ac:dyDescent="0.2">
      <c r="A36" s="4" t="str">
        <f>TEXT(Inputs!$B$60,"")</f>
        <v>Qormi</v>
      </c>
      <c r="B36" s="9"/>
      <c r="C36" s="8">
        <f>Inputs!$B62*(1+inf)^B$1</f>
        <v>1200</v>
      </c>
      <c r="D36" s="8">
        <f>Inputs!$B62*(1+inf)^C$1</f>
        <v>1230</v>
      </c>
      <c r="E36" s="8">
        <f>Inputs!$B62*(1+inf)^D$1</f>
        <v>1260.75</v>
      </c>
      <c r="F36" s="8">
        <f>Inputs!$B62*(1+inf)^E$1</f>
        <v>1292.26875</v>
      </c>
      <c r="G36" s="8">
        <f>Inputs!$B62*(1+inf)^F$1</f>
        <v>1324.5754687499998</v>
      </c>
      <c r="H36" s="8">
        <f>Inputs!$B62*(1+inf)^G$1</f>
        <v>1357.6898554687496</v>
      </c>
      <c r="I36" s="8">
        <f>Inputs!$B62*(1+inf)^H$1</f>
        <v>1391.6321018554681</v>
      </c>
      <c r="J36" s="8">
        <f>Inputs!$B62*(1+inf)^I$1</f>
        <v>1426.422904401855</v>
      </c>
      <c r="K36" s="8">
        <f>Inputs!$B62*(1+inf)^J$1</f>
        <v>1462.0834770119013</v>
      </c>
      <c r="L36" s="8">
        <f>Inputs!$B62*(1+inf)^K$1</f>
        <v>1498.6355639371984</v>
      </c>
      <c r="M36" s="8">
        <f>Inputs!$B62*(1+inf)^L$1</f>
        <v>1536.1014530356285</v>
      </c>
      <c r="N36" s="8">
        <f>Inputs!$B62*(1+inf)^M$1</f>
        <v>1574.5039893615192</v>
      </c>
      <c r="O36" s="8">
        <f>Inputs!$B62*(1+inf)^N$1</f>
        <v>1613.8665890955569</v>
      </c>
      <c r="P36" s="8">
        <f>Inputs!$B62*(1+inf)^O$1</f>
        <v>1654.2132538229459</v>
      </c>
      <c r="Q36" s="8">
        <f>Inputs!$B62*(1+inf)^P$1</f>
        <v>1695.5685851685193</v>
      </c>
      <c r="R36" s="8">
        <f>Inputs!$B62*(1+inf)^Q$1</f>
        <v>1737.9577997977326</v>
      </c>
      <c r="S36" s="8">
        <f>Inputs!$B62*(1+inf)^R$1</f>
        <v>1781.4067447926757</v>
      </c>
      <c r="T36" s="8">
        <f>Inputs!$B62*(1+inf)^S$1</f>
        <v>1825.9419134124923</v>
      </c>
      <c r="U36" s="8">
        <f>Inputs!$B62*(1+inf)^T$1</f>
        <v>1871.5904612478048</v>
      </c>
      <c r="V36" s="8">
        <f>Inputs!$B62*(1+inf)^U$1</f>
        <v>1918.380222779</v>
      </c>
      <c r="W36" s="8">
        <f>Inputs!$B62*(1+inf)^V$1</f>
        <v>1966.3397283484746</v>
      </c>
      <c r="X36" s="8">
        <f>Inputs!$B62*(1+inf)^W$1</f>
        <v>2015.4982215571863</v>
      </c>
      <c r="Y36" s="8">
        <f>Inputs!$B62*(1+inf)^X$1</f>
        <v>2065.8856770961161</v>
      </c>
      <c r="Z36" s="8">
        <f>Inputs!$B62*(1+inf)^Y$1</f>
        <v>2117.5328190235191</v>
      </c>
      <c r="AA36" s="8">
        <f>Inputs!$B62*(1+inf)^Z$1</f>
        <v>2170.4711394991068</v>
      </c>
      <c r="AB36" s="8">
        <f>Inputs!$B62*(1+inf)^AA$1</f>
        <v>2224.7329179865842</v>
      </c>
      <c r="AC36" s="8">
        <f>Inputs!$B62*(1+inf)^AB$1</f>
        <v>2280.3512409362484</v>
      </c>
      <c r="AD36" s="8">
        <f>Inputs!$B62*(1+inf)^AC$1</f>
        <v>2337.3600219596547</v>
      </c>
      <c r="AE36" s="8">
        <f>Inputs!$B62*(1+inf)^AD$1</f>
        <v>2395.7940225086459</v>
      </c>
      <c r="AF36" s="8">
        <f>Inputs!$B62*(1+inf)^AE$1</f>
        <v>2455.6888730713622</v>
      </c>
      <c r="AG36" s="8">
        <f>Inputs!$B62*(1+inf)^AF$1</f>
        <v>2517.0810948981457</v>
      </c>
      <c r="AH36" s="8">
        <f>Inputs!$B62*(1+inf)^AG$1</f>
        <v>2580.0081222705999</v>
      </c>
      <c r="AI36" s="8">
        <f>Inputs!$B62*(1+inf)^AH$1</f>
        <v>2644.5083253273642</v>
      </c>
      <c r="AJ36" s="8">
        <f>Inputs!$B62*(1+inf)^AI$1</f>
        <v>2710.6210334605485</v>
      </c>
      <c r="AK36" s="8">
        <f>Inputs!$B62*(1+inf)^AJ$1</f>
        <v>2778.3865592970619</v>
      </c>
      <c r="AL36" s="8">
        <f>Inputs!$B62*(1+inf)^AK$1</f>
        <v>2847.8462232794882</v>
      </c>
      <c r="AM36" s="8">
        <f>Inputs!$B62*(1+inf)^AL$1</f>
        <v>2919.0423788614758</v>
      </c>
    </row>
    <row r="37" spans="1:39" x14ac:dyDescent="0.2">
      <c r="A37" s="5" t="s">
        <v>16</v>
      </c>
      <c r="B37" s="9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</row>
    <row r="38" spans="1:39" x14ac:dyDescent="0.2">
      <c r="A38" s="4" t="s">
        <v>60</v>
      </c>
      <c r="B38" s="9"/>
      <c r="C38" s="8">
        <f>Inputs!$B$25*(1+inf)^B$1</f>
        <v>50000</v>
      </c>
      <c r="D38" s="8">
        <f>Inputs!$B$25*(1+inf)^C$1</f>
        <v>51249.999999999993</v>
      </c>
      <c r="E38" s="8">
        <f>Inputs!$B$25*(1+inf)^D$1</f>
        <v>52531.249999999993</v>
      </c>
      <c r="F38" s="8">
        <f>Inputs!$B$25*(1+inf)^E$1</f>
        <v>53844.531249999993</v>
      </c>
      <c r="G38" s="8">
        <f>Inputs!$B$25*(1+inf)^F$1</f>
        <v>55190.644531249985</v>
      </c>
      <c r="H38" s="8">
        <f>Inputs!$B$25*(1+inf)^G$1</f>
        <v>56570.410644531235</v>
      </c>
      <c r="I38" s="8">
        <f>Inputs!$B$25*(1+inf)^H$1</f>
        <v>57984.670910644512</v>
      </c>
      <c r="J38" s="8">
        <f>Inputs!$B$25*(1+inf)^I$1</f>
        <v>59434.287683410628</v>
      </c>
      <c r="K38" s="8">
        <f>Inputs!$B$25*(1+inf)^J$1</f>
        <v>60920.144875495884</v>
      </c>
      <c r="L38" s="8">
        <f>Inputs!$B$25*(1+inf)^K$1</f>
        <v>62443.14849738327</v>
      </c>
      <c r="M38" s="8">
        <f>Inputs!$B$25*(1+inf)^L$1</f>
        <v>64004.227209817851</v>
      </c>
      <c r="N38" s="8">
        <f>Inputs!$B$25*(1+inf)^M$1</f>
        <v>65604.332890063306</v>
      </c>
      <c r="O38" s="8">
        <f>Inputs!$B$25*(1+inf)^N$1</f>
        <v>67244.44121231488</v>
      </c>
      <c r="P38" s="8">
        <f>Inputs!$B$25*(1+inf)^O$1</f>
        <v>68925.55224262274</v>
      </c>
      <c r="Q38" s="8">
        <f>Inputs!$B$25*(1+inf)^P$1</f>
        <v>70648.691048688299</v>
      </c>
      <c r="R38" s="8">
        <f>Inputs!$B$25*(1+inf)^Q$1</f>
        <v>72414.908324905526</v>
      </c>
      <c r="S38" s="8">
        <f>Inputs!$B$25*(1+inf)^R$1</f>
        <v>74225.28103302815</v>
      </c>
      <c r="T38" s="8">
        <f>Inputs!$B$25*(1+inf)^S$1</f>
        <v>76080.913058853854</v>
      </c>
      <c r="U38" s="8">
        <f>Inputs!$B$25*(1+inf)^T$1</f>
        <v>77982.935885325205</v>
      </c>
      <c r="V38" s="8">
        <f>Inputs!$B$25*(1+inf)^U$1</f>
        <v>79932.509282458326</v>
      </c>
      <c r="W38" s="8">
        <f>Inputs!$B$25*(1+inf)^V$1</f>
        <v>81930.82201451977</v>
      </c>
      <c r="X38" s="8">
        <f>Inputs!$B$25*(1+inf)^W$1</f>
        <v>83979.092564882769</v>
      </c>
      <c r="Y38" s="8">
        <f>Inputs!$B$25*(1+inf)^X$1</f>
        <v>86078.569879004834</v>
      </c>
      <c r="Z38" s="8">
        <f>Inputs!$B$25*(1+inf)^Y$1</f>
        <v>88230.534125979961</v>
      </c>
      <c r="AA38" s="8">
        <f>Inputs!$B$25*(1+inf)^Z$1</f>
        <v>90436.29747912944</v>
      </c>
      <c r="AB38" s="8">
        <f>Inputs!$B$25*(1+inf)^AA$1</f>
        <v>92697.204916107672</v>
      </c>
      <c r="AC38" s="8">
        <f>Inputs!$B$25*(1+inf)^AB$1</f>
        <v>95014.635039010347</v>
      </c>
      <c r="AD38" s="8">
        <f>Inputs!$B$25*(1+inf)^AC$1</f>
        <v>97390.000914985605</v>
      </c>
      <c r="AE38" s="8">
        <f>Inputs!$B$25*(1+inf)^AD$1</f>
        <v>99824.750937860241</v>
      </c>
      <c r="AF38" s="8">
        <f>Inputs!$B$25*(1+inf)^AE$1</f>
        <v>102320.36971130676</v>
      </c>
      <c r="AG38" s="8">
        <f>Inputs!$B$25*(1+inf)^AF$1</f>
        <v>104878.37895408941</v>
      </c>
      <c r="AH38" s="8">
        <f>Inputs!$B$25*(1+inf)^AG$1</f>
        <v>107500.33842794166</v>
      </c>
      <c r="AI38" s="8">
        <f>Inputs!$B$25*(1+inf)^AH$1</f>
        <v>110187.84688864018</v>
      </c>
      <c r="AJ38" s="8">
        <f>Inputs!$B$25*(1+inf)^AI$1</f>
        <v>112942.54306085619</v>
      </c>
      <c r="AK38" s="8">
        <f>Inputs!$B$25*(1+inf)^AJ$1</f>
        <v>115766.10663737758</v>
      </c>
      <c r="AL38" s="8">
        <f>Inputs!$B$25*(1+inf)^AK$1</f>
        <v>118660.25930331201</v>
      </c>
      <c r="AM38" s="8">
        <f>Inputs!$B$25*(1+inf)^AL$1</f>
        <v>121626.76578589482</v>
      </c>
    </row>
    <row r="39" spans="1:39" x14ac:dyDescent="0.2">
      <c r="A39" s="4" t="str">
        <f>"Adjustment "&amp;Inputs!A137</f>
        <v>Adjustment from now to 65</v>
      </c>
      <c r="B39" s="9"/>
      <c r="C39" s="8">
        <f>IF(C$3&lt;=65,Inputs!$B$137*C$38,0)</f>
        <v>0</v>
      </c>
      <c r="D39" s="8">
        <f>IF(D$3&lt;=65,Inputs!$B$137*D$38,0)</f>
        <v>0</v>
      </c>
      <c r="E39" s="8">
        <f>IF(E$3&lt;=65,Inputs!$B$137*E$38,0)</f>
        <v>0</v>
      </c>
      <c r="F39" s="8">
        <f>IF(F$3&lt;=65,Inputs!$B$137*F$38,0)</f>
        <v>0</v>
      </c>
      <c r="G39" s="8">
        <f>IF(G$3&lt;=65,Inputs!$B$137*G$38,0)</f>
        <v>0</v>
      </c>
      <c r="H39" s="8">
        <f>IF(H$3&lt;=65,Inputs!$B$137*H$38,0)</f>
        <v>0</v>
      </c>
      <c r="I39" s="8">
        <f>IF(I$3&lt;=65,Inputs!$B$137*I$38,0)</f>
        <v>0</v>
      </c>
      <c r="J39" s="8">
        <f>IF(J$3&lt;=65,Inputs!$B$137*J$38,0)</f>
        <v>0</v>
      </c>
      <c r="K39" s="8">
        <f>IF(K$3&lt;=65,Inputs!$B$137*K$38,0)</f>
        <v>0</v>
      </c>
      <c r="L39" s="8">
        <f>IF(L$3&lt;=65,Inputs!$B$137*L$38,0)</f>
        <v>0</v>
      </c>
      <c r="M39" s="8">
        <f>IF(M$3&lt;=65,Inputs!$B$137*M$38,0)</f>
        <v>0</v>
      </c>
      <c r="N39" s="8">
        <f>IF(N$3&lt;=65,Inputs!$B$137*N$38,0)</f>
        <v>0</v>
      </c>
      <c r="O39" s="8">
        <f>IF(O$3&lt;=65,Inputs!$B$137*O$38,0)</f>
        <v>0</v>
      </c>
      <c r="P39" s="8">
        <f>IF(P$3&lt;=65,Inputs!$B$137*P$38,0)</f>
        <v>0</v>
      </c>
      <c r="Q39" s="8">
        <f>IF(Q$3&lt;=65,Inputs!$B$137*Q$38,0)</f>
        <v>0</v>
      </c>
      <c r="R39" s="8">
        <f>IF(R$3&lt;=65,Inputs!$B$137*R$38,0)</f>
        <v>0</v>
      </c>
      <c r="S39" s="8">
        <f>IF(S$3&lt;=65,Inputs!$B$137*S$38,0)</f>
        <v>0</v>
      </c>
      <c r="T39" s="8">
        <f>IF(T$3&lt;=65,Inputs!$B$137*T$38,0)</f>
        <v>0</v>
      </c>
      <c r="U39" s="8">
        <f>IF(U$3&lt;=65,Inputs!$B$137*U$38,0)</f>
        <v>0</v>
      </c>
      <c r="V39" s="8">
        <f>IF(V$3&lt;=65,Inputs!$B$137*V$38,0)</f>
        <v>0</v>
      </c>
      <c r="W39" s="8">
        <f>IF(W$3&lt;=65,Inputs!$B$137*W$38,0)</f>
        <v>0</v>
      </c>
      <c r="X39" s="8">
        <f>IF(X$3&lt;=65,Inputs!$B$137*X$38,0)</f>
        <v>0</v>
      </c>
      <c r="Y39" s="8">
        <f>IF(Y$3&lt;=65,Inputs!$B$137*Y$38,0)</f>
        <v>0</v>
      </c>
      <c r="Z39" s="8">
        <f>IF(Z$3&lt;=65,Inputs!$B$137*Z$38,0)</f>
        <v>0</v>
      </c>
      <c r="AA39" s="8">
        <f>IF(AA$3&lt;=65,Inputs!$B$137*AA$38,0)</f>
        <v>0</v>
      </c>
      <c r="AB39" s="8">
        <f>IF(AB$3&lt;=65,Inputs!$B$137*AB$38,0)</f>
        <v>0</v>
      </c>
      <c r="AC39" s="8">
        <f>IF(AC$3&lt;=65,Inputs!$B$137*AC$38,0)</f>
        <v>0</v>
      </c>
      <c r="AD39" s="8">
        <f>IF(AD$3&lt;=65,Inputs!$B$137*AD$38,0)</f>
        <v>0</v>
      </c>
      <c r="AE39" s="8">
        <f>IF(AE$3&lt;=65,Inputs!$B$137*AE$38,0)</f>
        <v>0</v>
      </c>
      <c r="AF39" s="8">
        <f>IF(AF$3&lt;=65,Inputs!$B$137*AF$38,0)</f>
        <v>0</v>
      </c>
      <c r="AG39" s="8">
        <f>IF(AG$3&lt;=65,Inputs!$B$137*AG$38,0)</f>
        <v>0</v>
      </c>
      <c r="AH39" s="8">
        <f>IF(AH$3&lt;=65,Inputs!$B$137*AH$38,0)</f>
        <v>0</v>
      </c>
      <c r="AI39" s="8">
        <f>IF(AI$3&lt;=65,Inputs!$B$137*AI$38,0)</f>
        <v>0</v>
      </c>
      <c r="AJ39" s="8">
        <f>IF(AJ$3&lt;=65,Inputs!$B$137*AJ$38,0)</f>
        <v>0</v>
      </c>
      <c r="AK39" s="8">
        <f>IF(AK$3&lt;=65,Inputs!$B$137*AK$38,0)</f>
        <v>0</v>
      </c>
      <c r="AL39" s="8">
        <f>IF(AL$3&lt;=65,Inputs!$B$137*AL$38,0)</f>
        <v>0</v>
      </c>
      <c r="AM39" s="8">
        <f>IF(AM$3&lt;=65,Inputs!$B$137*AM$38,0)</f>
        <v>0</v>
      </c>
    </row>
    <row r="40" spans="1:39" x14ac:dyDescent="0.2">
      <c r="A40" s="4" t="str">
        <f>"Adjustment "&amp;Inputs!A138</f>
        <v>Adjustment from 66-75</v>
      </c>
      <c r="B40" s="9"/>
      <c r="C40" s="8">
        <f>IF(AND(C$3&gt;65,C$3&lt;=75),Inputs!$B$138*C38,0)</f>
        <v>0</v>
      </c>
      <c r="D40" s="8">
        <f>IF(AND(D$3&gt;65,D$3&lt;=75),Inputs!$B$138*D38,0)</f>
        <v>0</v>
      </c>
      <c r="E40" s="8">
        <f>IF(AND(E$3&gt;65,E$3&lt;=75),Inputs!$B$138*E38,0)</f>
        <v>0</v>
      </c>
      <c r="F40" s="8">
        <f>IF(AND(F$3&gt;65,F$3&lt;=75),Inputs!$B$138*F38,0)</f>
        <v>0</v>
      </c>
      <c r="G40" s="8">
        <f>IF(AND(G$3&gt;65,G$3&lt;=75),Inputs!$B$138*G38,0)</f>
        <v>0</v>
      </c>
      <c r="H40" s="8">
        <f>IF(AND(H$3&gt;65,H$3&lt;=75),Inputs!$B$138*H38,0)</f>
        <v>0</v>
      </c>
      <c r="I40" s="8">
        <f>IF(AND(I$3&gt;65,I$3&lt;=75),Inputs!$B$138*I38,0)</f>
        <v>0</v>
      </c>
      <c r="J40" s="8">
        <f>IF(AND(J$3&gt;65,J$3&lt;=75),Inputs!$B$138*J38,0)</f>
        <v>0</v>
      </c>
      <c r="K40" s="8">
        <f>IF(AND(K$3&gt;65,K$3&lt;=75),Inputs!$B$138*K38,0)</f>
        <v>0</v>
      </c>
      <c r="L40" s="8">
        <f>IF(AND(L$3&gt;65,L$3&lt;=75),Inputs!$B$138*L38,0)</f>
        <v>0</v>
      </c>
      <c r="M40" s="8">
        <f>IF(AND(M$3&gt;65,M$3&lt;=75),Inputs!$B$138*M38,0)</f>
        <v>0</v>
      </c>
      <c r="N40" s="8">
        <f>IF(AND(N$3&gt;65,N$3&lt;=75),Inputs!$B$138*N38,0)</f>
        <v>0</v>
      </c>
      <c r="O40" s="8">
        <f>IF(AND(O$3&gt;65,O$3&lt;=75),Inputs!$B$138*O38,0)</f>
        <v>0</v>
      </c>
      <c r="P40" s="8">
        <f>IF(AND(P$3&gt;65,P$3&lt;=75),Inputs!$B$138*P38,0)</f>
        <v>0</v>
      </c>
      <c r="Q40" s="8">
        <f>IF(AND(Q$3&gt;65,Q$3&lt;=75),Inputs!$B$138*Q38,0)</f>
        <v>0</v>
      </c>
      <c r="R40" s="8">
        <f>IF(AND(R$3&gt;65,R$3&lt;=75),Inputs!$B$138*R38,0)</f>
        <v>0</v>
      </c>
      <c r="S40" s="8">
        <f>IF(AND(S$3&gt;65,S$3&lt;=75),Inputs!$B$138*S38,0)</f>
        <v>0</v>
      </c>
      <c r="T40" s="8">
        <f>IF(AND(T$3&gt;65,T$3&lt;=75),Inputs!$B$138*T38,0)</f>
        <v>-7608.0913058853857</v>
      </c>
      <c r="U40" s="8">
        <f>IF(AND(U$3&gt;65,U$3&lt;=75),Inputs!$B$138*U38,0)</f>
        <v>-7798.2935885325205</v>
      </c>
      <c r="V40" s="8">
        <f>IF(AND(V$3&gt;65,V$3&lt;=75),Inputs!$B$138*V38,0)</f>
        <v>-7993.2509282458332</v>
      </c>
      <c r="W40" s="8">
        <f>IF(AND(W$3&gt;65,W$3&lt;=75),Inputs!$B$138*W38,0)</f>
        <v>-8193.0822014519781</v>
      </c>
      <c r="X40" s="8">
        <f>IF(AND(X$3&gt;65,X$3&lt;=75),Inputs!$B$138*X38,0)</f>
        <v>-8397.9092564882776</v>
      </c>
      <c r="Y40" s="8">
        <f>IF(AND(Y$3&gt;65,Y$3&lt;=75),Inputs!$B$138*Y38,0)</f>
        <v>-8607.8569879004845</v>
      </c>
      <c r="Z40" s="8">
        <f>IF(AND(Z$3&gt;65,Z$3&lt;=75),Inputs!$B$138*Z38,0)</f>
        <v>-8823.0534125979957</v>
      </c>
      <c r="AA40" s="8">
        <f>IF(AND(AA$3&gt;65,AA$3&lt;=75),Inputs!$B$138*AA38,0)</f>
        <v>-9043.6297479129444</v>
      </c>
      <c r="AB40" s="8">
        <f>IF(AND(AB$3&gt;65,AB$3&lt;=75),Inputs!$B$138*AB38,0)</f>
        <v>-9269.7204916107676</v>
      </c>
      <c r="AC40" s="8">
        <f>IF(AND(AC$3&gt;65,AC$3&lt;=75),Inputs!$B$138*AC38,0)</f>
        <v>-9501.4635039010354</v>
      </c>
      <c r="AD40" s="8">
        <f>IF(AND(AD$3&gt;65,AD$3&lt;=75),Inputs!$B$138*AD38,0)</f>
        <v>0</v>
      </c>
      <c r="AE40" s="8">
        <f>IF(AND(AE$3&gt;65,AE$3&lt;=75),Inputs!$B$138*AE38,0)</f>
        <v>0</v>
      </c>
      <c r="AF40" s="8">
        <f>IF(AND(AF$3&gt;65,AF$3&lt;=75),Inputs!$B$138*AF38,0)</f>
        <v>0</v>
      </c>
      <c r="AG40" s="8">
        <f>IF(AND(AG$3&gt;65,AG$3&lt;=75),Inputs!$B$138*AG38,0)</f>
        <v>0</v>
      </c>
      <c r="AH40" s="8">
        <f>IF(AND(AH$3&gt;65,AH$3&lt;=75),Inputs!$B$138*AH38,0)</f>
        <v>0</v>
      </c>
      <c r="AI40" s="8">
        <f>IF(AND(AI$3&gt;65,AI$3&lt;=75),Inputs!$B$138*AI38,0)</f>
        <v>0</v>
      </c>
      <c r="AJ40" s="8">
        <f>IF(AND(AJ$3&gt;65,AJ$3&lt;=75),Inputs!$B$138*AJ38,0)</f>
        <v>0</v>
      </c>
      <c r="AK40" s="8">
        <f>IF(AND(AK$3&gt;65,AK$3&lt;=75),Inputs!$B$138*AK38,0)</f>
        <v>0</v>
      </c>
      <c r="AL40" s="8">
        <f>IF(AND(AL$3&gt;65,AL$3&lt;=75),Inputs!$B$138*AL38,0)</f>
        <v>0</v>
      </c>
      <c r="AM40" s="8">
        <f>IF(AND(AM$3&gt;65,AM$3&lt;=75),Inputs!$B$138*AM38,0)</f>
        <v>0</v>
      </c>
    </row>
    <row r="41" spans="1:39" x14ac:dyDescent="0.2">
      <c r="A41" s="4" t="str">
        <f>"Adjustment "&amp;Inputs!A139</f>
        <v>Adjustment from age 76</v>
      </c>
      <c r="B41" s="9"/>
      <c r="C41" s="8">
        <f>IF(C$3&gt;75,Inputs!$B$139*C$38,0)</f>
        <v>0</v>
      </c>
      <c r="D41" s="8">
        <f>IF(D$3&gt;75,Inputs!$B$139*D$38,0)</f>
        <v>0</v>
      </c>
      <c r="E41" s="8">
        <f>IF(E$3&gt;75,Inputs!$B$139*E$38,0)</f>
        <v>0</v>
      </c>
      <c r="F41" s="8">
        <f>IF(F$3&gt;75,Inputs!$B$139*F$38,0)</f>
        <v>0</v>
      </c>
      <c r="G41" s="8">
        <f>IF(G$3&gt;75,Inputs!$B$139*G$38,0)</f>
        <v>0</v>
      </c>
      <c r="H41" s="8">
        <f>IF(H$3&gt;75,Inputs!$B$139*H$38,0)</f>
        <v>0</v>
      </c>
      <c r="I41" s="8">
        <f>IF(I$3&gt;75,Inputs!$B$139*I$38,0)</f>
        <v>0</v>
      </c>
      <c r="J41" s="8">
        <f>IF(J$3&gt;75,Inputs!$B$139*J$38,0)</f>
        <v>0</v>
      </c>
      <c r="K41" s="8">
        <f>IF(K$3&gt;75,Inputs!$B$139*K$38,0)</f>
        <v>0</v>
      </c>
      <c r="L41" s="8">
        <f>IF(L$3&gt;75,Inputs!$B$139*L$38,0)</f>
        <v>0</v>
      </c>
      <c r="M41" s="8">
        <f>IF(M$3&gt;75,Inputs!$B$139*M$38,0)</f>
        <v>0</v>
      </c>
      <c r="N41" s="8">
        <f>IF(N$3&gt;75,Inputs!$B$139*N$38,0)</f>
        <v>0</v>
      </c>
      <c r="O41" s="8">
        <f>IF(O$3&gt;75,Inputs!$B$139*O$38,0)</f>
        <v>0</v>
      </c>
      <c r="P41" s="8">
        <f>IF(P$3&gt;75,Inputs!$B$139*P$38,0)</f>
        <v>0</v>
      </c>
      <c r="Q41" s="8">
        <f>IF(Q$3&gt;75,Inputs!$B$139*Q$38,0)</f>
        <v>0</v>
      </c>
      <c r="R41" s="8">
        <f>IF(R$3&gt;75,Inputs!$B$139*R$38,0)</f>
        <v>0</v>
      </c>
      <c r="S41" s="8">
        <f>IF(S$3&gt;75,Inputs!$B$139*S$38,0)</f>
        <v>0</v>
      </c>
      <c r="T41" s="8">
        <f>IF(T$3&gt;75,Inputs!$B$139*T$38,0)</f>
        <v>0</v>
      </c>
      <c r="U41" s="8">
        <f>IF(U$3&gt;75,Inputs!$B$139*U$38,0)</f>
        <v>0</v>
      </c>
      <c r="V41" s="8">
        <f>IF(V$3&gt;75,Inputs!$B$139*V$38,0)</f>
        <v>0</v>
      </c>
      <c r="W41" s="8">
        <f>IF(W$3&gt;75,Inputs!$B$139*W$38,0)</f>
        <v>0</v>
      </c>
      <c r="X41" s="8">
        <f>IF(X$3&gt;75,Inputs!$B$139*X$38,0)</f>
        <v>0</v>
      </c>
      <c r="Y41" s="8">
        <f>IF(Y$3&gt;75,Inputs!$B$139*Y$38,0)</f>
        <v>0</v>
      </c>
      <c r="Z41" s="8">
        <f>IF(Z$3&gt;75,Inputs!$B$139*Z$38,0)</f>
        <v>0</v>
      </c>
      <c r="AA41" s="8">
        <f>IF(AA$3&gt;75,Inputs!$B$139*AA$38,0)</f>
        <v>0</v>
      </c>
      <c r="AB41" s="8">
        <f>IF(AB$3&gt;75,Inputs!$B$139*AB$38,0)</f>
        <v>0</v>
      </c>
      <c r="AC41" s="8">
        <f>IF(AC$3&gt;75,Inputs!$B$139*AC$38,0)</f>
        <v>0</v>
      </c>
      <c r="AD41" s="8">
        <f>IF(AD$3&gt;75,Inputs!$B$139*AD$38,0)</f>
        <v>-19478.000182997122</v>
      </c>
      <c r="AE41" s="8">
        <f>IF(AE$3&gt;75,Inputs!$B$139*AE$38,0)</f>
        <v>-19964.950187572049</v>
      </c>
      <c r="AF41" s="8">
        <f>IF(AF$3&gt;75,Inputs!$B$139*AF$38,0)</f>
        <v>-20464.073942261355</v>
      </c>
      <c r="AG41" s="8">
        <f>IF(AG$3&gt;75,Inputs!$B$139*AG$38,0)</f>
        <v>-20975.675790817884</v>
      </c>
      <c r="AH41" s="8">
        <f>IF(AH$3&gt;75,Inputs!$B$139*AH$38,0)</f>
        <v>-21500.067685588336</v>
      </c>
      <c r="AI41" s="8">
        <f>IF(AI$3&gt;75,Inputs!$B$139*AI$38,0)</f>
        <v>-22037.569377728039</v>
      </c>
      <c r="AJ41" s="8">
        <f>IF(AJ$3&gt;75,Inputs!$B$139*AJ$38,0)</f>
        <v>-22588.508612171237</v>
      </c>
      <c r="AK41" s="8">
        <f>IF(AK$3&gt;75,Inputs!$B$139*AK$38,0)</f>
        <v>-23153.22132747552</v>
      </c>
      <c r="AL41" s="8">
        <f>IF(AL$3&gt;75,Inputs!$B$139*AL$38,0)</f>
        <v>-23732.051860662403</v>
      </c>
      <c r="AM41" s="8">
        <f>IF(AM$3&gt;75,Inputs!$B$139*AM$38,0)</f>
        <v>-24325.353157178964</v>
      </c>
    </row>
    <row r="42" spans="1:39" x14ac:dyDescent="0.2">
      <c r="A42" s="5" t="s">
        <v>64</v>
      </c>
      <c r="B42" s="9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</row>
    <row r="43" spans="1:39" x14ac:dyDescent="0.2">
      <c r="A43" s="4" t="str">
        <f>TEXT(Inputs!$B$117,"")</f>
        <v>Wedding</v>
      </c>
      <c r="B43" s="9"/>
      <c r="C43" s="8">
        <f ca="1">IF(C$2=Inputs!$B119,Inputs!$B118,0)*(1+inf)^B$1</f>
        <v>0</v>
      </c>
      <c r="D43" s="8">
        <f ca="1">IF(D$2=Inputs!$B119,Inputs!$B118,0)*(1+inf)^C$1</f>
        <v>0</v>
      </c>
      <c r="E43" s="8">
        <f ca="1">IF(E$2=Inputs!$B119,Inputs!$B118,0)*(1+inf)^D$1</f>
        <v>0</v>
      </c>
      <c r="F43" s="8">
        <f ca="1">IF(F$2=Inputs!$B119,Inputs!$B118,0)*(1+inf)^E$1</f>
        <v>0</v>
      </c>
      <c r="G43" s="8">
        <f ca="1">IF(G$2=Inputs!$B119,Inputs!$B118,0)*(1+inf)^F$1</f>
        <v>0</v>
      </c>
      <c r="H43" s="8">
        <f ca="1">IF(H$2=Inputs!$B119,Inputs!$B118,0)*(1+inf)^G$1</f>
        <v>0</v>
      </c>
      <c r="I43" s="8">
        <f ca="1">IF(I$2=Inputs!$B119,Inputs!$B118,0)*(1+inf)^H$1</f>
        <v>0</v>
      </c>
      <c r="J43" s="8">
        <f ca="1">IF(J$2=Inputs!$B119,Inputs!$B118,0)*(1+inf)^I$1</f>
        <v>0</v>
      </c>
      <c r="K43" s="8">
        <f ca="1">IF(K$2=Inputs!$B119,Inputs!$B118,0)*(1+inf)^J$1</f>
        <v>0</v>
      </c>
      <c r="L43" s="8">
        <f ca="1">IF(L$2=Inputs!$B119,Inputs!$B118,0)*(1+inf)^K$1</f>
        <v>49954.518797906618</v>
      </c>
      <c r="M43" s="8">
        <f ca="1">IF(M$2=Inputs!$B119,Inputs!$B118,0)*(1+inf)^L$1</f>
        <v>0</v>
      </c>
      <c r="N43" s="8">
        <f ca="1">IF(N$2=Inputs!$B119,Inputs!$B118,0)*(1+inf)^M$1</f>
        <v>0</v>
      </c>
      <c r="O43" s="8">
        <f ca="1">IF(O$2=Inputs!$B119,Inputs!$B118,0)*(1+inf)^N$1</f>
        <v>0</v>
      </c>
      <c r="P43" s="8">
        <f ca="1">IF(P$2=Inputs!$B119,Inputs!$B118,0)*(1+inf)^O$1</f>
        <v>0</v>
      </c>
      <c r="Q43" s="8">
        <f ca="1">IF(Q$2=Inputs!$B119,Inputs!$B118,0)*(1+inf)^P$1</f>
        <v>0</v>
      </c>
      <c r="R43" s="8">
        <f ca="1">IF(R$2=Inputs!$B119,Inputs!$B118,0)*(1+inf)^Q$1</f>
        <v>0</v>
      </c>
      <c r="S43" s="8">
        <f ca="1">IF(S$2=Inputs!$B119,Inputs!$B118,0)*(1+inf)^R$1</f>
        <v>0</v>
      </c>
      <c r="T43" s="8">
        <f ca="1">IF(T$2=Inputs!$B119,Inputs!$B118,0)*(1+inf)^S$1</f>
        <v>0</v>
      </c>
      <c r="U43" s="8">
        <f ca="1">IF(U$2=Inputs!$B119,Inputs!$B118,0)*(1+inf)^T$1</f>
        <v>0</v>
      </c>
      <c r="V43" s="8">
        <f ca="1">IF(V$2=Inputs!$B119,Inputs!$B118,0)*(1+inf)^U$1</f>
        <v>0</v>
      </c>
      <c r="W43" s="8">
        <f ca="1">IF(W$2=Inputs!$B119,Inputs!$B118,0)*(1+inf)^V$1</f>
        <v>0</v>
      </c>
      <c r="X43" s="8">
        <f ca="1">IF(X$2=Inputs!$B119,Inputs!$B118,0)*(1+inf)^W$1</f>
        <v>0</v>
      </c>
      <c r="Y43" s="8">
        <f ca="1">IF(Y$2=Inputs!$B119,Inputs!$B118,0)*(1+inf)^X$1</f>
        <v>0</v>
      </c>
      <c r="Z43" s="8">
        <f ca="1">IF(Z$2=Inputs!$B119,Inputs!$B118,0)*(1+inf)^Y$1</f>
        <v>0</v>
      </c>
      <c r="AA43" s="8">
        <f ca="1">IF(AA$2=Inputs!$B119,Inputs!$B118,0)*(1+inf)^Z$1</f>
        <v>0</v>
      </c>
      <c r="AB43" s="8">
        <f ca="1">IF(AB$2=Inputs!$B119,Inputs!$B118,0)*(1+inf)^AA$1</f>
        <v>0</v>
      </c>
      <c r="AC43" s="8">
        <f ca="1">IF(AC$2=Inputs!$B119,Inputs!$B118,0)*(1+inf)^AB$1</f>
        <v>0</v>
      </c>
      <c r="AD43" s="8">
        <f ca="1">IF(AD$2=Inputs!$B119,Inputs!$B118,0)*(1+inf)^AC$1</f>
        <v>0</v>
      </c>
      <c r="AE43" s="8">
        <f ca="1">IF(AE$2=Inputs!$B119,Inputs!$B118,0)*(1+inf)^AD$1</f>
        <v>0</v>
      </c>
      <c r="AF43" s="8">
        <f ca="1">IF(AF$2=Inputs!$B119,Inputs!$B118,0)*(1+inf)^AE$1</f>
        <v>0</v>
      </c>
      <c r="AG43" s="8">
        <f ca="1">IF(AG$2=Inputs!$B119,Inputs!$B118,0)*(1+inf)^AF$1</f>
        <v>0</v>
      </c>
      <c r="AH43" s="8">
        <f ca="1">IF(AH$2=Inputs!$B119,Inputs!$B118,0)*(1+inf)^AG$1</f>
        <v>0</v>
      </c>
      <c r="AI43" s="8">
        <f ca="1">IF(AI$2=Inputs!$B119,Inputs!$B118,0)*(1+inf)^AH$1</f>
        <v>0</v>
      </c>
      <c r="AJ43" s="8">
        <f ca="1">IF(AJ$2=Inputs!$B119,Inputs!$B118,0)*(1+inf)^AI$1</f>
        <v>0</v>
      </c>
      <c r="AK43" s="8">
        <f ca="1">IF(AK$2=Inputs!$B119,Inputs!$B118,0)*(1+inf)^AJ$1</f>
        <v>0</v>
      </c>
      <c r="AL43" s="8">
        <f ca="1">IF(AL$2=Inputs!$B119,Inputs!$B118,0)*(1+inf)^AK$1</f>
        <v>0</v>
      </c>
      <c r="AM43" s="8">
        <f ca="1">IF(AM$2=Inputs!$B119,Inputs!$B118,0)*(1+inf)^AL$1</f>
        <v>0</v>
      </c>
    </row>
    <row r="44" spans="1:39" x14ac:dyDescent="0.2">
      <c r="A44" s="4" t="str">
        <f>TEXT(Inputs!$B$122,"")</f>
        <v>New Car</v>
      </c>
      <c r="B44" s="9"/>
      <c r="C44" s="8">
        <f ca="1">IF(C$2=Inputs!$B124,Inputs!$B123,0)*(1+inf)^B$1</f>
        <v>0</v>
      </c>
      <c r="D44" s="8">
        <f ca="1">IF(D$2=Inputs!$B124,Inputs!$B123,0)*(1+inf)^C$1</f>
        <v>0</v>
      </c>
      <c r="E44" s="8">
        <f ca="1">IF(E$2=Inputs!$B124,Inputs!$B123,0)*(1+inf)^D$1</f>
        <v>36771.875</v>
      </c>
      <c r="F44" s="8">
        <f ca="1">IF(F$2=Inputs!$B124,Inputs!$B123,0)*(1+inf)^E$1</f>
        <v>0</v>
      </c>
      <c r="G44" s="8">
        <f ca="1">IF(G$2=Inputs!$B124,Inputs!$B123,0)*(1+inf)^F$1</f>
        <v>0</v>
      </c>
      <c r="H44" s="8">
        <f ca="1">IF(H$2=Inputs!$B124,Inputs!$B123,0)*(1+inf)^G$1</f>
        <v>0</v>
      </c>
      <c r="I44" s="8">
        <f ca="1">IF(I$2=Inputs!$B124,Inputs!$B123,0)*(1+inf)^H$1</f>
        <v>0</v>
      </c>
      <c r="J44" s="8">
        <f ca="1">IF(J$2=Inputs!$B124,Inputs!$B123,0)*(1+inf)^I$1</f>
        <v>0</v>
      </c>
      <c r="K44" s="8">
        <f ca="1">IF(K$2=Inputs!$B124,Inputs!$B123,0)*(1+inf)^J$1</f>
        <v>0</v>
      </c>
      <c r="L44" s="8">
        <f ca="1">IF(L$2=Inputs!$B124,Inputs!$B123,0)*(1+inf)^K$1</f>
        <v>0</v>
      </c>
      <c r="M44" s="8">
        <f ca="1">IF(M$2=Inputs!$B124,Inputs!$B123,0)*(1+inf)^L$1</f>
        <v>0</v>
      </c>
      <c r="N44" s="8">
        <f ca="1">IF(N$2=Inputs!$B124,Inputs!$B123,0)*(1+inf)^M$1</f>
        <v>0</v>
      </c>
      <c r="O44" s="8">
        <f ca="1">IF(O$2=Inputs!$B124,Inputs!$B123,0)*(1+inf)^N$1</f>
        <v>0</v>
      </c>
      <c r="P44" s="8">
        <f ca="1">IF(P$2=Inputs!$B124,Inputs!$B123,0)*(1+inf)^O$1</f>
        <v>0</v>
      </c>
      <c r="Q44" s="8">
        <f ca="1">IF(Q$2=Inputs!$B124,Inputs!$B123,0)*(1+inf)^P$1</f>
        <v>0</v>
      </c>
      <c r="R44" s="8">
        <f ca="1">IF(R$2=Inputs!$B124,Inputs!$B123,0)*(1+inf)^Q$1</f>
        <v>0</v>
      </c>
      <c r="S44" s="8">
        <f ca="1">IF(S$2=Inputs!$B124,Inputs!$B123,0)*(1+inf)^R$1</f>
        <v>0</v>
      </c>
      <c r="T44" s="8">
        <f ca="1">IF(T$2=Inputs!$B124,Inputs!$B123,0)*(1+inf)^S$1</f>
        <v>0</v>
      </c>
      <c r="U44" s="8">
        <f ca="1">IF(U$2=Inputs!$B124,Inputs!$B123,0)*(1+inf)^T$1</f>
        <v>0</v>
      </c>
      <c r="V44" s="8">
        <f ca="1">IF(V$2=Inputs!$B124,Inputs!$B123,0)*(1+inf)^U$1</f>
        <v>0</v>
      </c>
      <c r="W44" s="8">
        <f ca="1">IF(W$2=Inputs!$B124,Inputs!$B123,0)*(1+inf)^V$1</f>
        <v>0</v>
      </c>
      <c r="X44" s="8">
        <f ca="1">IF(X$2=Inputs!$B124,Inputs!$B123,0)*(1+inf)^W$1</f>
        <v>0</v>
      </c>
      <c r="Y44" s="8">
        <f ca="1">IF(Y$2=Inputs!$B124,Inputs!$B123,0)*(1+inf)^X$1</f>
        <v>0</v>
      </c>
      <c r="Z44" s="8">
        <f ca="1">IF(Z$2=Inputs!$B124,Inputs!$B123,0)*(1+inf)^Y$1</f>
        <v>0</v>
      </c>
      <c r="AA44" s="8">
        <f ca="1">IF(AA$2=Inputs!$B124,Inputs!$B123,0)*(1+inf)^Z$1</f>
        <v>0</v>
      </c>
      <c r="AB44" s="8">
        <f ca="1">IF(AB$2=Inputs!$B124,Inputs!$B123,0)*(1+inf)^AA$1</f>
        <v>0</v>
      </c>
      <c r="AC44" s="8">
        <f ca="1">IF(AC$2=Inputs!$B124,Inputs!$B123,0)*(1+inf)^AB$1</f>
        <v>0</v>
      </c>
      <c r="AD44" s="8">
        <f ca="1">IF(AD$2=Inputs!$B124,Inputs!$B123,0)*(1+inf)^AC$1</f>
        <v>0</v>
      </c>
      <c r="AE44" s="8">
        <f ca="1">IF(AE$2=Inputs!$B124,Inputs!$B123,0)*(1+inf)^AD$1</f>
        <v>0</v>
      </c>
      <c r="AF44" s="8">
        <f ca="1">IF(AF$2=Inputs!$B124,Inputs!$B123,0)*(1+inf)^AE$1</f>
        <v>0</v>
      </c>
      <c r="AG44" s="8">
        <f ca="1">IF(AG$2=Inputs!$B124,Inputs!$B123,0)*(1+inf)^AF$1</f>
        <v>0</v>
      </c>
      <c r="AH44" s="8">
        <f ca="1">IF(AH$2=Inputs!$B124,Inputs!$B123,0)*(1+inf)^AG$1</f>
        <v>0</v>
      </c>
      <c r="AI44" s="8">
        <f ca="1">IF(AI$2=Inputs!$B124,Inputs!$B123,0)*(1+inf)^AH$1</f>
        <v>0</v>
      </c>
      <c r="AJ44" s="8">
        <f ca="1">IF(AJ$2=Inputs!$B124,Inputs!$B123,0)*(1+inf)^AI$1</f>
        <v>0</v>
      </c>
      <c r="AK44" s="8">
        <f ca="1">IF(AK$2=Inputs!$B124,Inputs!$B123,0)*(1+inf)^AJ$1</f>
        <v>0</v>
      </c>
      <c r="AL44" s="8">
        <f ca="1">IF(AL$2=Inputs!$B124,Inputs!$B123,0)*(1+inf)^AK$1</f>
        <v>0</v>
      </c>
      <c r="AM44" s="8">
        <f ca="1">IF(AM$2=Inputs!$B124,Inputs!$B123,0)*(1+inf)^AL$1</f>
        <v>0</v>
      </c>
    </row>
    <row r="45" spans="1:39" x14ac:dyDescent="0.2">
      <c r="A45" s="4" t="str">
        <f>TEXT(Inputs!$B$127,"")</f>
        <v>New AC</v>
      </c>
      <c r="B45" s="9"/>
      <c r="C45" s="8">
        <f ca="1">IF(C$2=Inputs!$B129,Inputs!$B128,0)*(1+inf)^B$1</f>
        <v>0</v>
      </c>
      <c r="D45" s="8">
        <f ca="1">IF(D$2=Inputs!$B129,Inputs!$B128,0)*(1+inf)^C$1</f>
        <v>0</v>
      </c>
      <c r="E45" s="8">
        <f ca="1">IF(E$2=Inputs!$B129,Inputs!$B128,0)*(1+inf)^D$1</f>
        <v>0</v>
      </c>
      <c r="F45" s="8">
        <f ca="1">IF(F$2=Inputs!$B129,Inputs!$B128,0)*(1+inf)^E$1</f>
        <v>0</v>
      </c>
      <c r="G45" s="8">
        <f ca="1">IF(G$2=Inputs!$B129,Inputs!$B128,0)*(1+inf)^F$1</f>
        <v>0</v>
      </c>
      <c r="H45" s="8">
        <f ca="1">IF(H$2=Inputs!$B129,Inputs!$B128,0)*(1+inf)^G$1</f>
        <v>0</v>
      </c>
      <c r="I45" s="8">
        <f ca="1">IF(I$2=Inputs!$B129,Inputs!$B128,0)*(1+inf)^H$1</f>
        <v>0</v>
      </c>
      <c r="J45" s="8">
        <f ca="1">IF(J$2=Inputs!$B129,Inputs!$B128,0)*(1+inf)^I$1</f>
        <v>17830.286305023186</v>
      </c>
      <c r="K45" s="8">
        <f ca="1">IF(K$2=Inputs!$B129,Inputs!$B128,0)*(1+inf)^J$1</f>
        <v>0</v>
      </c>
      <c r="L45" s="8">
        <f ca="1">IF(L$2=Inputs!$B129,Inputs!$B128,0)*(1+inf)^K$1</f>
        <v>0</v>
      </c>
      <c r="M45" s="8">
        <f ca="1">IF(M$2=Inputs!$B129,Inputs!$B128,0)*(1+inf)^L$1</f>
        <v>0</v>
      </c>
      <c r="N45" s="8">
        <f ca="1">IF(N$2=Inputs!$B129,Inputs!$B128,0)*(1+inf)^M$1</f>
        <v>0</v>
      </c>
      <c r="O45" s="8">
        <f ca="1">IF(O$2=Inputs!$B129,Inputs!$B128,0)*(1+inf)^N$1</f>
        <v>0</v>
      </c>
      <c r="P45" s="8">
        <f ca="1">IF(P$2=Inputs!$B129,Inputs!$B128,0)*(1+inf)^O$1</f>
        <v>0</v>
      </c>
      <c r="Q45" s="8">
        <f ca="1">IF(Q$2=Inputs!$B129,Inputs!$B128,0)*(1+inf)^P$1</f>
        <v>0</v>
      </c>
      <c r="R45" s="8">
        <f ca="1">IF(R$2=Inputs!$B129,Inputs!$B128,0)*(1+inf)^Q$1</f>
        <v>0</v>
      </c>
      <c r="S45" s="8">
        <f ca="1">IF(S$2=Inputs!$B129,Inputs!$B128,0)*(1+inf)^R$1</f>
        <v>0</v>
      </c>
      <c r="T45" s="8">
        <f ca="1">IF(T$2=Inputs!$B129,Inputs!$B128,0)*(1+inf)^S$1</f>
        <v>0</v>
      </c>
      <c r="U45" s="8">
        <f ca="1">IF(U$2=Inputs!$B129,Inputs!$B128,0)*(1+inf)^T$1</f>
        <v>0</v>
      </c>
      <c r="V45" s="8">
        <f ca="1">IF(V$2=Inputs!$B129,Inputs!$B128,0)*(1+inf)^U$1</f>
        <v>0</v>
      </c>
      <c r="W45" s="8">
        <f ca="1">IF(W$2=Inputs!$B129,Inputs!$B128,0)*(1+inf)^V$1</f>
        <v>0</v>
      </c>
      <c r="X45" s="8">
        <f ca="1">IF(X$2=Inputs!$B129,Inputs!$B128,0)*(1+inf)^W$1</f>
        <v>0</v>
      </c>
      <c r="Y45" s="8">
        <f ca="1">IF(Y$2=Inputs!$B129,Inputs!$B128,0)*(1+inf)^X$1</f>
        <v>0</v>
      </c>
      <c r="Z45" s="8">
        <f ca="1">IF(Z$2=Inputs!$B129,Inputs!$B128,0)*(1+inf)^Y$1</f>
        <v>0</v>
      </c>
      <c r="AA45" s="8">
        <f ca="1">IF(AA$2=Inputs!$B129,Inputs!$B128,0)*(1+inf)^Z$1</f>
        <v>0</v>
      </c>
      <c r="AB45" s="8">
        <f ca="1">IF(AB$2=Inputs!$B129,Inputs!$B128,0)*(1+inf)^AA$1</f>
        <v>0</v>
      </c>
      <c r="AC45" s="8">
        <f ca="1">IF(AC$2=Inputs!$B129,Inputs!$B128,0)*(1+inf)^AB$1</f>
        <v>0</v>
      </c>
      <c r="AD45" s="8">
        <f ca="1">IF(AD$2=Inputs!$B129,Inputs!$B128,0)*(1+inf)^AC$1</f>
        <v>0</v>
      </c>
      <c r="AE45" s="8">
        <f ca="1">IF(AE$2=Inputs!$B129,Inputs!$B128,0)*(1+inf)^AD$1</f>
        <v>0</v>
      </c>
      <c r="AF45" s="8">
        <f ca="1">IF(AF$2=Inputs!$B129,Inputs!$B128,0)*(1+inf)^AE$1</f>
        <v>0</v>
      </c>
      <c r="AG45" s="8">
        <f ca="1">IF(AG$2=Inputs!$B129,Inputs!$B128,0)*(1+inf)^AF$1</f>
        <v>0</v>
      </c>
      <c r="AH45" s="8">
        <f ca="1">IF(AH$2=Inputs!$B129,Inputs!$B128,0)*(1+inf)^AG$1</f>
        <v>0</v>
      </c>
      <c r="AI45" s="8">
        <f ca="1">IF(AI$2=Inputs!$B129,Inputs!$B128,0)*(1+inf)^AH$1</f>
        <v>0</v>
      </c>
      <c r="AJ45" s="8">
        <f ca="1">IF(AJ$2=Inputs!$B129,Inputs!$B128,0)*(1+inf)^AI$1</f>
        <v>0</v>
      </c>
      <c r="AK45" s="8">
        <f ca="1">IF(AK$2=Inputs!$B129,Inputs!$B128,0)*(1+inf)^AJ$1</f>
        <v>0</v>
      </c>
      <c r="AL45" s="8">
        <f ca="1">IF(AL$2=Inputs!$B129,Inputs!$B128,0)*(1+inf)^AK$1</f>
        <v>0</v>
      </c>
      <c r="AM45" s="8">
        <f ca="1">IF(AM$2=Inputs!$B129,Inputs!$B128,0)*(1+inf)^AL$1</f>
        <v>0</v>
      </c>
    </row>
    <row r="46" spans="1:39" x14ac:dyDescent="0.2">
      <c r="A46" s="5"/>
      <c r="C46" s="10">
        <f t="shared" ref="C46:G46" ca="1" si="68">SUM(C20:C45)</f>
        <v>87800</v>
      </c>
      <c r="D46" s="10">
        <f t="shared" ca="1" si="68"/>
        <v>88430</v>
      </c>
      <c r="E46" s="10">
        <f t="shared" ca="1" si="68"/>
        <v>122670.125</v>
      </c>
      <c r="F46" s="10">
        <f t="shared" ca="1" si="68"/>
        <v>84575.327901957295</v>
      </c>
      <c r="G46" s="10">
        <f t="shared" ca="1" si="68"/>
        <v>84545.72312499999</v>
      </c>
      <c r="H46" s="10">
        <f t="shared" ref="H46:AM46" ca="1" si="69">SUM(H20:H45)</f>
        <v>81180.44078396463</v>
      </c>
      <c r="I46" s="10">
        <f t="shared" ca="1" si="69"/>
        <v>74094.156939990207</v>
      </c>
      <c r="J46" s="10">
        <f t="shared" ref="J46:AM46" ca="1" si="70">SUM(J20:J45)</f>
        <v>93611.797168513149</v>
      </c>
      <c r="K46" s="10">
        <f t="shared" ca="1" si="70"/>
        <v>77232.064897652424</v>
      </c>
      <c r="L46" s="10">
        <f t="shared" ca="1" si="70"/>
        <v>126246.64872784793</v>
      </c>
      <c r="M46" s="10">
        <f t="shared" ca="1" si="70"/>
        <v>74500.920472227983</v>
      </c>
      <c r="N46" s="10">
        <f t="shared" ca="1" si="70"/>
        <v>76363.443484033691</v>
      </c>
      <c r="O46" s="10">
        <f t="shared" ca="1" si="70"/>
        <v>78272.529571134524</v>
      </c>
      <c r="P46" s="10">
        <f t="shared" ca="1" si="70"/>
        <v>80229.342810412869</v>
      </c>
      <c r="Q46" s="10">
        <f t="shared" ca="1" si="70"/>
        <v>82235.076380673185</v>
      </c>
      <c r="R46" s="10">
        <f t="shared" ca="1" si="70"/>
        <v>84290.953290190024</v>
      </c>
      <c r="S46" s="10">
        <f t="shared" ca="1" si="70"/>
        <v>86398.227122444776</v>
      </c>
      <c r="T46" s="10">
        <f t="shared" ca="1" si="70"/>
        <v>80950.091494620501</v>
      </c>
      <c r="U46" s="10">
        <f t="shared" ca="1" si="70"/>
        <v>82973.843781986012</v>
      </c>
      <c r="V46" s="10">
        <f t="shared" ca="1" si="70"/>
        <v>85048.18987653566</v>
      </c>
      <c r="W46" s="10">
        <f t="shared" ca="1" si="70"/>
        <v>87174.394623449029</v>
      </c>
      <c r="X46" s="10">
        <f t="shared" ca="1" si="70"/>
        <v>89353.754489035273</v>
      </c>
      <c r="Y46" s="10">
        <f t="shared" ca="1" si="70"/>
        <v>91587.598351261142</v>
      </c>
      <c r="Z46" s="10">
        <f t="shared" ca="1" si="70"/>
        <v>93877.288310042684</v>
      </c>
      <c r="AA46" s="10">
        <f t="shared" ca="1" si="70"/>
        <v>96224.220517793729</v>
      </c>
      <c r="AB46" s="10">
        <f t="shared" ca="1" si="70"/>
        <v>98629.82603073855</v>
      </c>
      <c r="AC46" s="10">
        <f t="shared" ca="1" si="70"/>
        <v>101095.57168150702</v>
      </c>
      <c r="AD46" s="10">
        <f t="shared" ca="1" si="70"/>
        <v>93883.960882046114</v>
      </c>
      <c r="AE46" s="10">
        <f t="shared" ca="1" si="70"/>
        <v>96231.059904097274</v>
      </c>
      <c r="AF46" s="10">
        <f t="shared" ca="1" si="70"/>
        <v>98636.836401699707</v>
      </c>
      <c r="AG46" s="10">
        <f t="shared" ca="1" si="70"/>
        <v>101102.75731174219</v>
      </c>
      <c r="AH46" s="10">
        <f t="shared" ca="1" si="70"/>
        <v>103630.32624453575</v>
      </c>
      <c r="AI46" s="10">
        <f t="shared" ca="1" si="70"/>
        <v>106221.08440064912</v>
      </c>
      <c r="AJ46" s="10">
        <f t="shared" ca="1" si="70"/>
        <v>108876.61151066537</v>
      </c>
      <c r="AK46" s="10">
        <f t="shared" ca="1" si="70"/>
        <v>111598.52679843198</v>
      </c>
      <c r="AL46" s="10">
        <f t="shared" ca="1" si="70"/>
        <v>114388.48996839277</v>
      </c>
      <c r="AM46" s="10">
        <f t="shared" ca="1" si="70"/>
        <v>117248.20221760261</v>
      </c>
    </row>
    <row r="47" spans="1:39" x14ac:dyDescent="0.2">
      <c r="A47" s="5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</row>
    <row r="48" spans="1:39" ht="19" x14ac:dyDescent="0.25">
      <c r="A48" s="14" t="s">
        <v>19</v>
      </c>
      <c r="C48" s="8">
        <f t="shared" ref="C48:G48" ca="1" si="71">C19-C46</f>
        <v>25752.5</v>
      </c>
      <c r="D48" s="8">
        <f t="shared" ca="1" si="71"/>
        <v>29150.3125</v>
      </c>
      <c r="E48" s="8">
        <f t="shared" ca="1" si="71"/>
        <v>9341.8999999999942</v>
      </c>
      <c r="F48" s="8">
        <f t="shared" ca="1" si="71"/>
        <v>41106.771452393252</v>
      </c>
      <c r="G48" s="8">
        <f t="shared" ca="1" si="71"/>
        <v>45870.007252012962</v>
      </c>
      <c r="H48" s="8">
        <f t="shared" ref="H48:AM48" ca="1" si="72">H19-H46</f>
        <v>59968.34672037077</v>
      </c>
      <c r="I48" s="8">
        <f t="shared" ca="1" si="72"/>
        <v>66845.365744177805</v>
      </c>
      <c r="J48" s="8">
        <f t="shared" ref="J48:AM48" ca="1" si="73">J19-J46</f>
        <v>52803.225871477334</v>
      </c>
      <c r="K48" s="8">
        <f t="shared" ca="1" si="73"/>
        <v>136558.92539808064</v>
      </c>
      <c r="L48" s="8">
        <f t="shared" ca="1" si="73"/>
        <v>48131.947984507075</v>
      </c>
      <c r="M48" s="8">
        <f t="shared" ca="1" si="73"/>
        <v>103937.76455638195</v>
      </c>
      <c r="N48" s="8">
        <f t="shared" ca="1" si="73"/>
        <v>109529.59040362143</v>
      </c>
      <c r="O48" s="8">
        <f t="shared" ca="1" si="73"/>
        <v>115358.49824338754</v>
      </c>
      <c r="P48" s="8">
        <f t="shared" ca="1" si="73"/>
        <v>121433.52083824249</v>
      </c>
      <c r="Q48" s="8">
        <f t="shared" ca="1" si="73"/>
        <v>127764.01461925398</v>
      </c>
      <c r="R48" s="8">
        <f t="shared" ca="1" si="73"/>
        <v>134359.67083014245</v>
      </c>
      <c r="S48" s="8">
        <f t="shared" ca="1" si="73"/>
        <v>35298.29653222856</v>
      </c>
      <c r="T48" s="8">
        <f t="shared" ca="1" si="73"/>
        <v>44211.423369978307</v>
      </c>
      <c r="U48" s="8">
        <f t="shared" ca="1" si="73"/>
        <v>45852.264110787073</v>
      </c>
      <c r="V48" s="8">
        <f t="shared" ca="1" si="73"/>
        <v>47555.045536054575</v>
      </c>
      <c r="W48" s="8">
        <f t="shared" ca="1" si="73"/>
        <v>49322.065078151514</v>
      </c>
      <c r="X48" s="8">
        <f t="shared" ca="1" si="73"/>
        <v>30748.783612581043</v>
      </c>
      <c r="Y48" s="8">
        <f t="shared" ca="1" si="73"/>
        <v>31631.160370637692</v>
      </c>
      <c r="Z48" s="8">
        <f t="shared" ca="1" si="73"/>
        <v>32546.91394398165</v>
      </c>
      <c r="AA48" s="8">
        <f t="shared" ca="1" si="73"/>
        <v>33497.415966917833</v>
      </c>
      <c r="AB48" s="8">
        <f t="shared" ca="1" si="73"/>
        <v>34484.093423327125</v>
      </c>
      <c r="AC48" s="8">
        <f t="shared" ca="1" si="73"/>
        <v>35508.430785725126</v>
      </c>
      <c r="AD48" s="8">
        <f t="shared" ca="1" si="73"/>
        <v>46432.709826187725</v>
      </c>
      <c r="AE48" s="8">
        <f t="shared" ca="1" si="73"/>
        <v>48030.098425752789</v>
      </c>
      <c r="AF48" s="8">
        <f t="shared" ca="1" si="73"/>
        <v>49688.456759686393</v>
      </c>
      <c r="AG48" s="8">
        <f t="shared" ca="1" si="73"/>
        <v>51410.138569273186</v>
      </c>
      <c r="AH48" s="8">
        <f t="shared" ca="1" si="73"/>
        <v>53197.586285451267</v>
      </c>
      <c r="AI48" s="8">
        <f t="shared" ca="1" si="73"/>
        <v>55053.334265466779</v>
      </c>
      <c r="AJ48" s="8">
        <f t="shared" ca="1" si="73"/>
        <v>56980.01214412805</v>
      </c>
      <c r="AK48" s="8">
        <f t="shared" ca="1" si="73"/>
        <v>58980.348303612103</v>
      </c>
      <c r="AL48" s="8">
        <f t="shared" ca="1" si="73"/>
        <v>61057.173465910018</v>
      </c>
      <c r="AM48" s="8">
        <f t="shared" ca="1" si="73"/>
        <v>63213.424412135675</v>
      </c>
    </row>
    <row r="49" spans="1:39" x14ac:dyDescent="0.2">
      <c r="A49" s="5" t="s">
        <v>10</v>
      </c>
      <c r="C49" s="8">
        <f>Inputs!B8</f>
        <v>50000</v>
      </c>
      <c r="D49" s="8">
        <f ca="1">C50</f>
        <v>75752.5</v>
      </c>
      <c r="E49" s="8">
        <f t="shared" ref="E49:AM49" ca="1" si="74">D50</f>
        <v>104902.8125</v>
      </c>
      <c r="F49" s="8">
        <f t="shared" ca="1" si="74"/>
        <v>114244.71249999999</v>
      </c>
      <c r="G49" s="8">
        <f t="shared" ca="1" si="74"/>
        <v>155351.48395239323</v>
      </c>
      <c r="H49" s="8">
        <f t="shared" ca="1" si="74"/>
        <v>201221.49120440619</v>
      </c>
      <c r="I49" s="8">
        <f t="shared" ca="1" si="74"/>
        <v>261189.83792477695</v>
      </c>
      <c r="J49" s="8">
        <f t="shared" ref="J49" ca="1" si="75">I50</f>
        <v>328035.20366895478</v>
      </c>
      <c r="K49" s="8">
        <f t="shared" ref="K49" ca="1" si="76">J50</f>
        <v>380838.42954043212</v>
      </c>
      <c r="L49" s="8">
        <f t="shared" ref="L49" ca="1" si="77">K50</f>
        <v>517397.35493851278</v>
      </c>
      <c r="M49" s="8">
        <f t="shared" ref="M49" ca="1" si="78">L50</f>
        <v>565529.30292301986</v>
      </c>
      <c r="N49" s="8">
        <f t="shared" ref="N49" ca="1" si="79">M50</f>
        <v>669467.06747940183</v>
      </c>
      <c r="O49" s="8">
        <f t="shared" ref="O49" ca="1" si="80">N50</f>
        <v>778996.65788302326</v>
      </c>
      <c r="P49" s="8">
        <f t="shared" ref="P49" ca="1" si="81">O50</f>
        <v>894355.15612641082</v>
      </c>
      <c r="Q49" s="8">
        <f t="shared" ref="Q49" ca="1" si="82">P50</f>
        <v>1015788.6769646533</v>
      </c>
      <c r="R49" s="8">
        <f t="shared" ref="R49" ca="1" si="83">Q50</f>
        <v>1143552.6915839072</v>
      </c>
      <c r="S49" s="8">
        <f t="shared" ref="S49" ca="1" si="84">R50</f>
        <v>1277912.3624140497</v>
      </c>
      <c r="T49" s="8">
        <f t="shared" ref="T49" ca="1" si="85">S50</f>
        <v>1313210.6589462783</v>
      </c>
      <c r="U49" s="8">
        <f t="shared" ref="U49" ca="1" si="86">T50</f>
        <v>1357422.0823162566</v>
      </c>
      <c r="V49" s="8">
        <f t="shared" ref="V49" ca="1" si="87">U50</f>
        <v>1403274.3464270437</v>
      </c>
      <c r="W49" s="8">
        <f t="shared" ref="W49" ca="1" si="88">V50</f>
        <v>1450829.3919630982</v>
      </c>
      <c r="X49" s="8">
        <f t="shared" ref="X49" ca="1" si="89">W50</f>
        <v>1500151.4570412496</v>
      </c>
      <c r="Y49" s="8">
        <f t="shared" ref="Y49" ca="1" si="90">X50</f>
        <v>1530900.2406538306</v>
      </c>
      <c r="Z49" s="8">
        <f t="shared" ref="Z49" ca="1" si="91">Y50</f>
        <v>1562531.4010244682</v>
      </c>
      <c r="AA49" s="8">
        <f t="shared" ref="AA49" ca="1" si="92">Z50</f>
        <v>1595078.31496845</v>
      </c>
      <c r="AB49" s="8">
        <f t="shared" ref="AB49" ca="1" si="93">AA50</f>
        <v>1628575.7309353678</v>
      </c>
      <c r="AC49" s="8">
        <f t="shared" ref="AC49" ca="1" si="94">AB50</f>
        <v>1663059.824358695</v>
      </c>
      <c r="AD49" s="8">
        <f t="shared" ref="AD49" ca="1" si="95">AC50</f>
        <v>1698568.2551444201</v>
      </c>
      <c r="AE49" s="8">
        <f t="shared" ref="AE49" ca="1" si="96">AD50</f>
        <v>1745000.9649706078</v>
      </c>
      <c r="AF49" s="8">
        <f t="shared" ref="AF49" ca="1" si="97">AE50</f>
        <v>1793031.0633963605</v>
      </c>
      <c r="AG49" s="8">
        <f t="shared" ref="AG49" ca="1" si="98">AF50</f>
        <v>1842719.5201560468</v>
      </c>
      <c r="AH49" s="8">
        <f t="shared" ref="AH49" ca="1" si="99">AG50</f>
        <v>1894129.6587253201</v>
      </c>
      <c r="AI49" s="8">
        <f t="shared" ref="AI49" ca="1" si="100">AH50</f>
        <v>1947327.2450107713</v>
      </c>
      <c r="AJ49" s="8">
        <f t="shared" ref="AJ49" ca="1" si="101">AI50</f>
        <v>2002380.5792762381</v>
      </c>
      <c r="AK49" s="8">
        <f t="shared" ref="AK49" ca="1" si="102">AJ50</f>
        <v>2059360.5914203662</v>
      </c>
      <c r="AL49" s="8">
        <f t="shared" ref="AL49" ca="1" si="103">AK50</f>
        <v>2118340.9397239783</v>
      </c>
      <c r="AM49" s="8">
        <f t="shared" ref="AM49" ca="1" si="104">AL50</f>
        <v>2179398.1131898882</v>
      </c>
    </row>
    <row r="50" spans="1:39" x14ac:dyDescent="0.2">
      <c r="A50" s="5" t="s">
        <v>11</v>
      </c>
      <c r="C50" s="10">
        <f ca="1">SUM(C48:C49)</f>
        <v>75752.5</v>
      </c>
      <c r="D50" s="10">
        <f t="shared" ref="D50:G50" ca="1" si="105">SUM(D48:D49)</f>
        <v>104902.8125</v>
      </c>
      <c r="E50" s="10">
        <f t="shared" ca="1" si="105"/>
        <v>114244.71249999999</v>
      </c>
      <c r="F50" s="10">
        <f t="shared" ca="1" si="105"/>
        <v>155351.48395239323</v>
      </c>
      <c r="G50" s="10">
        <f t="shared" ca="1" si="105"/>
        <v>201221.49120440619</v>
      </c>
      <c r="H50" s="10">
        <f t="shared" ref="H50:AM50" ca="1" si="106">SUM(H48:H49)</f>
        <v>261189.83792477695</v>
      </c>
      <c r="I50" s="10">
        <f t="shared" ca="1" si="106"/>
        <v>328035.20366895478</v>
      </c>
      <c r="J50" s="10">
        <f t="shared" ref="J50:AM50" ca="1" si="107">SUM(J48:J49)</f>
        <v>380838.42954043212</v>
      </c>
      <c r="K50" s="10">
        <f t="shared" ca="1" si="107"/>
        <v>517397.35493851278</v>
      </c>
      <c r="L50" s="10">
        <f t="shared" ca="1" si="107"/>
        <v>565529.30292301986</v>
      </c>
      <c r="M50" s="10">
        <f t="shared" ca="1" si="107"/>
        <v>669467.06747940183</v>
      </c>
      <c r="N50" s="10">
        <f t="shared" ca="1" si="107"/>
        <v>778996.65788302326</v>
      </c>
      <c r="O50" s="10">
        <f t="shared" ca="1" si="107"/>
        <v>894355.15612641082</v>
      </c>
      <c r="P50" s="10">
        <f t="shared" ca="1" si="107"/>
        <v>1015788.6769646533</v>
      </c>
      <c r="Q50" s="10">
        <f t="shared" ca="1" si="107"/>
        <v>1143552.6915839072</v>
      </c>
      <c r="R50" s="10">
        <f t="shared" ca="1" si="107"/>
        <v>1277912.3624140497</v>
      </c>
      <c r="S50" s="10">
        <f t="shared" ca="1" si="107"/>
        <v>1313210.6589462783</v>
      </c>
      <c r="T50" s="10">
        <f t="shared" ca="1" si="107"/>
        <v>1357422.0823162566</v>
      </c>
      <c r="U50" s="10">
        <f t="shared" ca="1" si="107"/>
        <v>1403274.3464270437</v>
      </c>
      <c r="V50" s="10">
        <f t="shared" ca="1" si="107"/>
        <v>1450829.3919630982</v>
      </c>
      <c r="W50" s="10">
        <f t="shared" ca="1" si="107"/>
        <v>1500151.4570412496</v>
      </c>
      <c r="X50" s="10">
        <f t="shared" ca="1" si="107"/>
        <v>1530900.2406538306</v>
      </c>
      <c r="Y50" s="10">
        <f t="shared" ca="1" si="107"/>
        <v>1562531.4010244682</v>
      </c>
      <c r="Z50" s="10">
        <f t="shared" ca="1" si="107"/>
        <v>1595078.31496845</v>
      </c>
      <c r="AA50" s="10">
        <f t="shared" ca="1" si="107"/>
        <v>1628575.7309353678</v>
      </c>
      <c r="AB50" s="10">
        <f t="shared" ca="1" si="107"/>
        <v>1663059.824358695</v>
      </c>
      <c r="AC50" s="10">
        <f t="shared" ca="1" si="107"/>
        <v>1698568.2551444201</v>
      </c>
      <c r="AD50" s="10">
        <f t="shared" ca="1" si="107"/>
        <v>1745000.9649706078</v>
      </c>
      <c r="AE50" s="10">
        <f t="shared" ca="1" si="107"/>
        <v>1793031.0633963605</v>
      </c>
      <c r="AF50" s="10">
        <f t="shared" ca="1" si="107"/>
        <v>1842719.5201560468</v>
      </c>
      <c r="AG50" s="10">
        <f t="shared" ca="1" si="107"/>
        <v>1894129.6587253201</v>
      </c>
      <c r="AH50" s="10">
        <f t="shared" ca="1" si="107"/>
        <v>1947327.2450107713</v>
      </c>
      <c r="AI50" s="10">
        <f t="shared" ca="1" si="107"/>
        <v>2002380.5792762381</v>
      </c>
      <c r="AJ50" s="10">
        <f t="shared" ca="1" si="107"/>
        <v>2059360.5914203662</v>
      </c>
      <c r="AK50" s="10">
        <f t="shared" ca="1" si="107"/>
        <v>2118340.9397239783</v>
      </c>
      <c r="AL50" s="10">
        <f t="shared" ca="1" si="107"/>
        <v>2179398.1131898882</v>
      </c>
      <c r="AM50" s="10">
        <f t="shared" ca="1" si="107"/>
        <v>2242611.5376020237</v>
      </c>
    </row>
    <row r="51" spans="1:39" x14ac:dyDescent="0.2"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</row>
    <row r="52" spans="1:39" ht="19" x14ac:dyDescent="0.25">
      <c r="A52" s="30" t="s">
        <v>82</v>
      </c>
      <c r="B52" s="31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</row>
    <row r="53" spans="1:39" x14ac:dyDescent="0.2">
      <c r="A53" s="5" t="s">
        <v>9</v>
      </c>
      <c r="C53" s="8">
        <f t="shared" ref="C53:G53" ca="1" si="108">C50</f>
        <v>75752.5</v>
      </c>
      <c r="D53" s="8">
        <f t="shared" ca="1" si="108"/>
        <v>104902.8125</v>
      </c>
      <c r="E53" s="8">
        <f t="shared" ca="1" si="108"/>
        <v>114244.71249999999</v>
      </c>
      <c r="F53" s="8">
        <f t="shared" ca="1" si="108"/>
        <v>155351.48395239323</v>
      </c>
      <c r="G53" s="8">
        <f t="shared" ca="1" si="108"/>
        <v>201221.49120440619</v>
      </c>
      <c r="H53" s="8">
        <f t="shared" ref="H53:AM53" ca="1" si="109">H50</f>
        <v>261189.83792477695</v>
      </c>
      <c r="I53" s="8">
        <f t="shared" ca="1" si="109"/>
        <v>328035.20366895478</v>
      </c>
      <c r="J53" s="8">
        <f t="shared" ref="J53:AM53" ca="1" si="110">J50</f>
        <v>380838.42954043212</v>
      </c>
      <c r="K53" s="8">
        <f t="shared" ca="1" si="110"/>
        <v>517397.35493851278</v>
      </c>
      <c r="L53" s="8">
        <f t="shared" ca="1" si="110"/>
        <v>565529.30292301986</v>
      </c>
      <c r="M53" s="8">
        <f t="shared" ca="1" si="110"/>
        <v>669467.06747940183</v>
      </c>
      <c r="N53" s="8">
        <f t="shared" ca="1" si="110"/>
        <v>778996.65788302326</v>
      </c>
      <c r="O53" s="8">
        <f t="shared" ca="1" si="110"/>
        <v>894355.15612641082</v>
      </c>
      <c r="P53" s="8">
        <f t="shared" ca="1" si="110"/>
        <v>1015788.6769646533</v>
      </c>
      <c r="Q53" s="8">
        <f t="shared" ca="1" si="110"/>
        <v>1143552.6915839072</v>
      </c>
      <c r="R53" s="8">
        <f t="shared" ca="1" si="110"/>
        <v>1277912.3624140497</v>
      </c>
      <c r="S53" s="8">
        <f t="shared" ca="1" si="110"/>
        <v>1313210.6589462783</v>
      </c>
      <c r="T53" s="8">
        <f t="shared" ca="1" si="110"/>
        <v>1357422.0823162566</v>
      </c>
      <c r="U53" s="8">
        <f t="shared" ca="1" si="110"/>
        <v>1403274.3464270437</v>
      </c>
      <c r="V53" s="8">
        <f t="shared" ca="1" si="110"/>
        <v>1450829.3919630982</v>
      </c>
      <c r="W53" s="8">
        <f t="shared" ca="1" si="110"/>
        <v>1500151.4570412496</v>
      </c>
      <c r="X53" s="8">
        <f t="shared" ca="1" si="110"/>
        <v>1530900.2406538306</v>
      </c>
      <c r="Y53" s="8">
        <f t="shared" ca="1" si="110"/>
        <v>1562531.4010244682</v>
      </c>
      <c r="Z53" s="8">
        <f t="shared" ca="1" si="110"/>
        <v>1595078.31496845</v>
      </c>
      <c r="AA53" s="8">
        <f t="shared" ca="1" si="110"/>
        <v>1628575.7309353678</v>
      </c>
      <c r="AB53" s="8">
        <f t="shared" ca="1" si="110"/>
        <v>1663059.824358695</v>
      </c>
      <c r="AC53" s="8">
        <f t="shared" ca="1" si="110"/>
        <v>1698568.2551444201</v>
      </c>
      <c r="AD53" s="8">
        <f t="shared" ca="1" si="110"/>
        <v>1745000.9649706078</v>
      </c>
      <c r="AE53" s="8">
        <f t="shared" ca="1" si="110"/>
        <v>1793031.0633963605</v>
      </c>
      <c r="AF53" s="8">
        <f t="shared" ca="1" si="110"/>
        <v>1842719.5201560468</v>
      </c>
      <c r="AG53" s="8">
        <f t="shared" ca="1" si="110"/>
        <v>1894129.6587253201</v>
      </c>
      <c r="AH53" s="8">
        <f t="shared" ca="1" si="110"/>
        <v>1947327.2450107713</v>
      </c>
      <c r="AI53" s="8">
        <f t="shared" ca="1" si="110"/>
        <v>2002380.5792762381</v>
      </c>
      <c r="AJ53" s="8">
        <f t="shared" ca="1" si="110"/>
        <v>2059360.5914203662</v>
      </c>
      <c r="AK53" s="8">
        <f t="shared" ca="1" si="110"/>
        <v>2118340.9397239783</v>
      </c>
      <c r="AL53" s="8">
        <f t="shared" ca="1" si="110"/>
        <v>2179398.1131898882</v>
      </c>
      <c r="AM53" s="8">
        <f t="shared" ca="1" si="110"/>
        <v>2242611.5376020237</v>
      </c>
    </row>
    <row r="54" spans="1:39" x14ac:dyDescent="0.2">
      <c r="A54" s="5" t="s">
        <v>7</v>
      </c>
      <c r="C54" s="8">
        <f>Inputs!B12*(1+princ)</f>
        <v>618000</v>
      </c>
      <c r="D54" s="8">
        <f t="shared" ref="D54:AM54" si="111">C54*(1+princ)</f>
        <v>636540</v>
      </c>
      <c r="E54" s="8">
        <f t="shared" si="111"/>
        <v>655636.20000000007</v>
      </c>
      <c r="F54" s="8">
        <f t="shared" si="111"/>
        <v>675305.28600000008</v>
      </c>
      <c r="G54" s="8">
        <f t="shared" si="111"/>
        <v>695564.44458000013</v>
      </c>
      <c r="H54" s="8">
        <f t="shared" si="111"/>
        <v>716431.3779174001</v>
      </c>
      <c r="I54" s="8">
        <f t="shared" si="111"/>
        <v>737924.3192549221</v>
      </c>
      <c r="J54" s="8">
        <f t="shared" ref="J54" si="112">I54*(1+princ)</f>
        <v>760062.04883256974</v>
      </c>
      <c r="K54" s="8">
        <f t="shared" ref="K54" si="113">J54*(1+princ)</f>
        <v>782863.91029754688</v>
      </c>
      <c r="L54" s="8">
        <f t="shared" ref="L54" si="114">K54*(1+princ)</f>
        <v>806349.82760647335</v>
      </c>
      <c r="M54" s="8">
        <f t="shared" ref="M54" si="115">L54*(1+princ)</f>
        <v>830540.32243466761</v>
      </c>
      <c r="N54" s="8">
        <f t="shared" ref="N54" si="116">M54*(1+princ)</f>
        <v>855456.5321077077</v>
      </c>
      <c r="O54" s="8">
        <f t="shared" ref="O54" si="117">N54*(1+princ)</f>
        <v>881120.22807093896</v>
      </c>
      <c r="P54" s="8">
        <f t="shared" ref="P54" si="118">O54*(1+princ)</f>
        <v>907553.83491306717</v>
      </c>
      <c r="Q54" s="8">
        <f t="shared" ref="Q54" si="119">P54*(1+princ)</f>
        <v>934780.44996045926</v>
      </c>
      <c r="R54" s="8">
        <f t="shared" ref="R54" si="120">Q54*(1+princ)</f>
        <v>962823.86345927301</v>
      </c>
      <c r="S54" s="8">
        <f t="shared" ref="S54" si="121">R54*(1+princ)</f>
        <v>991708.57936305122</v>
      </c>
      <c r="T54" s="8">
        <f t="shared" ref="T54" si="122">S54*(1+princ)</f>
        <v>1021459.8367439428</v>
      </c>
      <c r="U54" s="8">
        <f t="shared" ref="U54" si="123">T54*(1+princ)</f>
        <v>1052103.6318462612</v>
      </c>
      <c r="V54" s="8">
        <f t="shared" ref="V54" si="124">U54*(1+princ)</f>
        <v>1083666.7408016492</v>
      </c>
      <c r="W54" s="8">
        <f t="shared" ref="W54" si="125">V54*(1+princ)</f>
        <v>1116176.7430256987</v>
      </c>
      <c r="X54" s="8">
        <f t="shared" ref="X54" si="126">W54*(1+princ)</f>
        <v>1149662.0453164696</v>
      </c>
      <c r="Y54" s="8">
        <f t="shared" ref="Y54" si="127">X54*(1+princ)</f>
        <v>1184151.9066759637</v>
      </c>
      <c r="Z54" s="8">
        <f t="shared" ref="Z54" si="128">Y54*(1+princ)</f>
        <v>1219676.4638762425</v>
      </c>
      <c r="AA54" s="8">
        <f t="shared" ref="AA54" si="129">Z54*(1+princ)</f>
        <v>1256266.7577925299</v>
      </c>
      <c r="AB54" s="8">
        <f t="shared" ref="AB54" si="130">AA54*(1+princ)</f>
        <v>1293954.7605263058</v>
      </c>
      <c r="AC54" s="8">
        <f t="shared" ref="AC54" si="131">AB54*(1+princ)</f>
        <v>1332773.403342095</v>
      </c>
      <c r="AD54" s="8">
        <f t="shared" ref="AD54" si="132">AC54*(1+princ)</f>
        <v>1372756.6054423579</v>
      </c>
      <c r="AE54" s="8">
        <f t="shared" ref="AE54" si="133">AD54*(1+princ)</f>
        <v>1413939.3036056287</v>
      </c>
      <c r="AF54" s="8">
        <f t="shared" ref="AF54" si="134">AE54*(1+princ)</f>
        <v>1456357.4827137976</v>
      </c>
      <c r="AG54" s="8">
        <f t="shared" ref="AG54" si="135">AF54*(1+princ)</f>
        <v>1500048.2071952117</v>
      </c>
      <c r="AH54" s="8">
        <f t="shared" ref="AH54" si="136">AG54*(1+princ)</f>
        <v>1545049.653411068</v>
      </c>
      <c r="AI54" s="8">
        <f t="shared" ref="AI54" si="137">AH54*(1+princ)</f>
        <v>1591401.1430134</v>
      </c>
      <c r="AJ54" s="8">
        <f t="shared" ref="AJ54" si="138">AI54*(1+princ)</f>
        <v>1639143.177303802</v>
      </c>
      <c r="AK54" s="8">
        <f t="shared" ref="AK54" si="139">AJ54*(1+princ)</f>
        <v>1688317.4726229161</v>
      </c>
      <c r="AL54" s="8">
        <f t="shared" ref="AL54" si="140">AK54*(1+princ)</f>
        <v>1738966.9968016036</v>
      </c>
      <c r="AM54" s="8">
        <f t="shared" ref="AM54" si="141">AL54*(1+princ)</f>
        <v>1791136.0067056518</v>
      </c>
    </row>
    <row r="55" spans="1:39" x14ac:dyDescent="0.2">
      <c r="A55" s="5" t="s">
        <v>56</v>
      </c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</row>
    <row r="56" spans="1:39" x14ac:dyDescent="0.2">
      <c r="A56" s="4" t="str">
        <f>TEXT(Inputs!$B$50,"")</f>
        <v>Sliema</v>
      </c>
      <c r="C56" s="8">
        <f>Inputs!B51*(1+princ)</f>
        <v>309000</v>
      </c>
      <c r="D56" s="8">
        <f t="shared" ref="D56:AM56" si="142">C56*(1+princ)</f>
        <v>318270</v>
      </c>
      <c r="E56" s="8">
        <f t="shared" si="142"/>
        <v>327818.10000000003</v>
      </c>
      <c r="F56" s="8">
        <f t="shared" si="142"/>
        <v>337652.64300000004</v>
      </c>
      <c r="G56" s="8">
        <f t="shared" si="142"/>
        <v>347782.22229000006</v>
      </c>
      <c r="H56" s="8">
        <f t="shared" si="142"/>
        <v>358215.68895870005</v>
      </c>
      <c r="I56" s="8">
        <f t="shared" si="142"/>
        <v>368962.15962746105</v>
      </c>
      <c r="J56" s="8">
        <f t="shared" ref="J56:J58" si="143">I56*(1+princ)</f>
        <v>380031.02441628487</v>
      </c>
      <c r="K56" s="8">
        <f t="shared" ref="K56:K58" si="144">J56*(1+princ)</f>
        <v>391431.95514877344</v>
      </c>
      <c r="L56" s="8">
        <f t="shared" ref="L56:L58" si="145">K56*(1+princ)</f>
        <v>403174.91380323668</v>
      </c>
      <c r="M56" s="8">
        <f t="shared" ref="M56:M58" si="146">L56*(1+princ)</f>
        <v>415270.16121733381</v>
      </c>
      <c r="N56" s="8">
        <f t="shared" ref="N56:N58" si="147">M56*(1+princ)</f>
        <v>427728.26605385385</v>
      </c>
      <c r="O56" s="8">
        <f t="shared" ref="O56:O58" si="148">N56*(1+princ)</f>
        <v>440560.11403546948</v>
      </c>
      <c r="P56" s="8">
        <f t="shared" ref="P56:P58" si="149">O56*(1+princ)</f>
        <v>453776.91745653359</v>
      </c>
      <c r="Q56" s="8">
        <f t="shared" ref="Q56:Q58" si="150">P56*(1+princ)</f>
        <v>467390.22498022963</v>
      </c>
      <c r="R56" s="8">
        <f t="shared" ref="R56:R58" si="151">Q56*(1+princ)</f>
        <v>481411.9317296365</v>
      </c>
      <c r="S56" s="8">
        <f t="shared" ref="S56:S58" si="152">R56*(1+princ)</f>
        <v>495854.28968152561</v>
      </c>
      <c r="T56" s="8">
        <f t="shared" ref="T56:T58" si="153">S56*(1+princ)</f>
        <v>510729.91837197141</v>
      </c>
      <c r="U56" s="8">
        <f t="shared" ref="U56:U58" si="154">T56*(1+princ)</f>
        <v>526051.81592313061</v>
      </c>
      <c r="V56" s="8">
        <f t="shared" ref="V56:V58" si="155">U56*(1+princ)</f>
        <v>541833.37040082458</v>
      </c>
      <c r="W56" s="8">
        <f t="shared" ref="W56:W58" si="156">V56*(1+princ)</f>
        <v>558088.37151284935</v>
      </c>
      <c r="X56" s="8">
        <f t="shared" ref="X56:X58" si="157">W56*(1+princ)</f>
        <v>574831.02265823481</v>
      </c>
      <c r="Y56" s="8">
        <f t="shared" ref="Y56:Y58" si="158">X56*(1+princ)</f>
        <v>592075.95333798183</v>
      </c>
      <c r="Z56" s="8">
        <f t="shared" ref="Z56:Z58" si="159">Y56*(1+princ)</f>
        <v>609838.23193812126</v>
      </c>
      <c r="AA56" s="8">
        <f t="shared" ref="AA56:AA58" si="160">Z56*(1+princ)</f>
        <v>628133.37889626494</v>
      </c>
      <c r="AB56" s="8">
        <f t="shared" ref="AB56:AB58" si="161">AA56*(1+princ)</f>
        <v>646977.38026315288</v>
      </c>
      <c r="AC56" s="8">
        <f t="shared" ref="AC56:AC58" si="162">AB56*(1+princ)</f>
        <v>666386.70167104749</v>
      </c>
      <c r="AD56" s="8">
        <f t="shared" ref="AD56:AD58" si="163">AC56*(1+princ)</f>
        <v>686378.30272117897</v>
      </c>
      <c r="AE56" s="8">
        <f t="shared" ref="AE56:AE58" si="164">AD56*(1+princ)</f>
        <v>706969.65180281433</v>
      </c>
      <c r="AF56" s="8">
        <f t="shared" ref="AF56:AF58" si="165">AE56*(1+princ)</f>
        <v>728178.7413568988</v>
      </c>
      <c r="AG56" s="8">
        <f t="shared" ref="AG56:AG58" si="166">AF56*(1+princ)</f>
        <v>750024.10359760583</v>
      </c>
      <c r="AH56" s="8">
        <f t="shared" ref="AH56:AH58" si="167">AG56*(1+princ)</f>
        <v>772524.82670553401</v>
      </c>
      <c r="AI56" s="8">
        <f t="shared" ref="AI56:AI58" si="168">AH56*(1+princ)</f>
        <v>795700.57150670001</v>
      </c>
      <c r="AJ56" s="8">
        <f t="shared" ref="AJ56:AJ58" si="169">AI56*(1+princ)</f>
        <v>819571.58865190099</v>
      </c>
      <c r="AK56" s="8">
        <f t="shared" ref="AK56:AK58" si="170">AJ56*(1+princ)</f>
        <v>844158.73631145805</v>
      </c>
      <c r="AL56" s="8">
        <f t="shared" ref="AL56:AL58" si="171">AK56*(1+princ)</f>
        <v>869483.49840080179</v>
      </c>
      <c r="AM56" s="8">
        <f t="shared" ref="AM56:AM58" si="172">AL56*(1+princ)</f>
        <v>895568.00335282588</v>
      </c>
    </row>
    <row r="57" spans="1:39" x14ac:dyDescent="0.2">
      <c r="A57" s="4" t="str">
        <f>TEXT(Inputs!$B$55,"")</f>
        <v>Gzira</v>
      </c>
      <c r="C57" s="8">
        <f>Inputs!B56*(1+princ)</f>
        <v>154500</v>
      </c>
      <c r="D57" s="8">
        <f t="shared" ref="D57:AM57" si="173">C57*(1+princ)</f>
        <v>159135</v>
      </c>
      <c r="E57" s="8">
        <f t="shared" si="173"/>
        <v>163909.05000000002</v>
      </c>
      <c r="F57" s="8">
        <f t="shared" si="173"/>
        <v>168826.32150000002</v>
      </c>
      <c r="G57" s="8">
        <f t="shared" si="173"/>
        <v>173891.11114500003</v>
      </c>
      <c r="H57" s="8">
        <f t="shared" si="173"/>
        <v>179107.84447935002</v>
      </c>
      <c r="I57" s="8">
        <f t="shared" si="173"/>
        <v>184481.07981373052</v>
      </c>
      <c r="J57" s="8">
        <f t="shared" si="143"/>
        <v>190015.51220814243</v>
      </c>
      <c r="K57" s="8">
        <f t="shared" si="144"/>
        <v>195715.97757438672</v>
      </c>
      <c r="L57" s="8">
        <f t="shared" si="145"/>
        <v>201587.45690161834</v>
      </c>
      <c r="M57" s="8">
        <f t="shared" si="146"/>
        <v>207635.0806086669</v>
      </c>
      <c r="N57" s="8">
        <f t="shared" si="147"/>
        <v>213864.13302692692</v>
      </c>
      <c r="O57" s="8">
        <f t="shared" si="148"/>
        <v>220280.05701773474</v>
      </c>
      <c r="P57" s="8">
        <f t="shared" si="149"/>
        <v>226888.45872826679</v>
      </c>
      <c r="Q57" s="8">
        <f t="shared" si="150"/>
        <v>233695.11249011481</v>
      </c>
      <c r="R57" s="8">
        <f t="shared" si="151"/>
        <v>240705.96586481825</v>
      </c>
      <c r="S57" s="8">
        <f t="shared" si="152"/>
        <v>247927.1448407628</v>
      </c>
      <c r="T57" s="8">
        <f t="shared" si="153"/>
        <v>255364.9591859857</v>
      </c>
      <c r="U57" s="8">
        <f t="shared" si="154"/>
        <v>263025.9079615653</v>
      </c>
      <c r="V57" s="8">
        <f t="shared" si="155"/>
        <v>270916.68520041229</v>
      </c>
      <c r="W57" s="8">
        <f t="shared" si="156"/>
        <v>279044.18575642467</v>
      </c>
      <c r="X57" s="8">
        <f t="shared" si="157"/>
        <v>287415.51132911741</v>
      </c>
      <c r="Y57" s="8">
        <f t="shared" si="158"/>
        <v>296037.97666899092</v>
      </c>
      <c r="Z57" s="8">
        <f t="shared" si="159"/>
        <v>304919.11596906063</v>
      </c>
      <c r="AA57" s="8">
        <f t="shared" si="160"/>
        <v>314066.68944813247</v>
      </c>
      <c r="AB57" s="8">
        <f t="shared" si="161"/>
        <v>323488.69013157644</v>
      </c>
      <c r="AC57" s="8">
        <f t="shared" si="162"/>
        <v>333193.35083552374</v>
      </c>
      <c r="AD57" s="8">
        <f t="shared" si="163"/>
        <v>343189.15136058949</v>
      </c>
      <c r="AE57" s="8">
        <f t="shared" si="164"/>
        <v>353484.82590140717</v>
      </c>
      <c r="AF57" s="8">
        <f t="shared" si="165"/>
        <v>364089.3706784494</v>
      </c>
      <c r="AG57" s="8">
        <f t="shared" si="166"/>
        <v>375012.05179880292</v>
      </c>
      <c r="AH57" s="8">
        <f t="shared" si="167"/>
        <v>386262.41335276701</v>
      </c>
      <c r="AI57" s="8">
        <f t="shared" si="168"/>
        <v>397850.28575335001</v>
      </c>
      <c r="AJ57" s="8">
        <f t="shared" si="169"/>
        <v>409785.7943259505</v>
      </c>
      <c r="AK57" s="8">
        <f t="shared" si="170"/>
        <v>422079.36815572903</v>
      </c>
      <c r="AL57" s="8">
        <f t="shared" si="171"/>
        <v>434741.7492004009</v>
      </c>
      <c r="AM57" s="8">
        <f t="shared" si="172"/>
        <v>447784.00167641294</v>
      </c>
    </row>
    <row r="58" spans="1:39" x14ac:dyDescent="0.2">
      <c r="A58" s="4" t="str">
        <f>TEXT(Inputs!$B$60,"")</f>
        <v>Qormi</v>
      </c>
      <c r="C58" s="8">
        <f>Inputs!B61*(1+princ)</f>
        <v>226600</v>
      </c>
      <c r="D58" s="8">
        <f t="shared" ref="D58:AM58" si="174">C58*(1+princ)</f>
        <v>233398</v>
      </c>
      <c r="E58" s="8">
        <f t="shared" si="174"/>
        <v>240399.94</v>
      </c>
      <c r="F58" s="8">
        <f t="shared" si="174"/>
        <v>247611.9382</v>
      </c>
      <c r="G58" s="8">
        <f t="shared" si="174"/>
        <v>255040.29634600002</v>
      </c>
      <c r="H58" s="8">
        <f t="shared" si="174"/>
        <v>262691.50523638004</v>
      </c>
      <c r="I58" s="8">
        <f t="shared" si="174"/>
        <v>270572.25039347145</v>
      </c>
      <c r="J58" s="8">
        <f t="shared" si="143"/>
        <v>278689.41790527559</v>
      </c>
      <c r="K58" s="8">
        <f t="shared" si="144"/>
        <v>287050.10044243385</v>
      </c>
      <c r="L58" s="8">
        <f t="shared" si="145"/>
        <v>295661.60345570685</v>
      </c>
      <c r="M58" s="8">
        <f t="shared" si="146"/>
        <v>304531.45155937807</v>
      </c>
      <c r="N58" s="8">
        <f t="shared" si="147"/>
        <v>313667.39510615944</v>
      </c>
      <c r="O58" s="8">
        <f t="shared" si="148"/>
        <v>323077.41695934423</v>
      </c>
      <c r="P58" s="8">
        <f t="shared" si="149"/>
        <v>332769.73946812458</v>
      </c>
      <c r="Q58" s="8">
        <f t="shared" si="150"/>
        <v>342752.8316521683</v>
      </c>
      <c r="R58" s="8">
        <f t="shared" si="151"/>
        <v>353035.41660173336</v>
      </c>
      <c r="S58" s="8">
        <f t="shared" si="152"/>
        <v>363626.47909978539</v>
      </c>
      <c r="T58" s="8">
        <f t="shared" si="153"/>
        <v>374535.27347277896</v>
      </c>
      <c r="U58" s="8">
        <f t="shared" si="154"/>
        <v>385771.33167696232</v>
      </c>
      <c r="V58" s="8">
        <f t="shared" si="155"/>
        <v>397344.47162727121</v>
      </c>
      <c r="W58" s="8">
        <f t="shared" si="156"/>
        <v>409264.80577608937</v>
      </c>
      <c r="X58" s="8">
        <f t="shared" si="157"/>
        <v>421542.74994937208</v>
      </c>
      <c r="Y58" s="8">
        <f t="shared" si="158"/>
        <v>434189.03244785324</v>
      </c>
      <c r="Z58" s="8">
        <f t="shared" si="159"/>
        <v>447214.70342128887</v>
      </c>
      <c r="AA58" s="8">
        <f t="shared" si="160"/>
        <v>460631.14452392753</v>
      </c>
      <c r="AB58" s="8">
        <f t="shared" si="161"/>
        <v>474450.07885964535</v>
      </c>
      <c r="AC58" s="8">
        <f t="shared" si="162"/>
        <v>488683.58122543473</v>
      </c>
      <c r="AD58" s="8">
        <f t="shared" si="163"/>
        <v>503344.08866219776</v>
      </c>
      <c r="AE58" s="8">
        <f t="shared" si="164"/>
        <v>518444.41132206371</v>
      </c>
      <c r="AF58" s="8">
        <f t="shared" si="165"/>
        <v>533997.74366172566</v>
      </c>
      <c r="AG58" s="8">
        <f t="shared" si="166"/>
        <v>550017.67597157741</v>
      </c>
      <c r="AH58" s="8">
        <f t="shared" si="167"/>
        <v>566518.20625072473</v>
      </c>
      <c r="AI58" s="8">
        <f t="shared" si="168"/>
        <v>583513.75243824651</v>
      </c>
      <c r="AJ58" s="8">
        <f t="shared" si="169"/>
        <v>601019.16501139395</v>
      </c>
      <c r="AK58" s="8">
        <f t="shared" si="170"/>
        <v>619049.73996173579</v>
      </c>
      <c r="AL58" s="8">
        <f t="shared" si="171"/>
        <v>637621.23216058791</v>
      </c>
      <c r="AM58" s="8">
        <f t="shared" si="172"/>
        <v>656749.86912540556</v>
      </c>
    </row>
    <row r="59" spans="1:39" x14ac:dyDescent="0.2">
      <c r="A59" s="5" t="s">
        <v>12</v>
      </c>
      <c r="C59" s="8">
        <f>Inputs!B10*(1+stinc)</f>
        <v>32400.000000000004</v>
      </c>
      <c r="D59" s="8">
        <f>C59*(1+stinc)</f>
        <v>34992.000000000007</v>
      </c>
      <c r="E59" s="8">
        <f t="shared" ref="E59:AM59" si="175">D59*(1+stinc)</f>
        <v>37791.360000000008</v>
      </c>
      <c r="F59" s="8">
        <f t="shared" si="175"/>
        <v>40814.668800000014</v>
      </c>
      <c r="G59" s="8">
        <f t="shared" si="175"/>
        <v>44079.84230400002</v>
      </c>
      <c r="H59" s="8">
        <f t="shared" si="175"/>
        <v>47606.229688320025</v>
      </c>
      <c r="I59" s="8">
        <f t="shared" si="175"/>
        <v>51414.728063385628</v>
      </c>
      <c r="J59" s="8">
        <f t="shared" ref="J59" si="176">I59*(1+stinc)</f>
        <v>55527.906308456484</v>
      </c>
      <c r="K59" s="8">
        <f t="shared" ref="K59" si="177">J59*(1+stinc)</f>
        <v>59970.13881313301</v>
      </c>
      <c r="L59" s="8">
        <f t="shared" ref="L59" si="178">K59*(1+stinc)</f>
        <v>64767.749918183654</v>
      </c>
      <c r="M59" s="8">
        <f t="shared" ref="M59" si="179">L59*(1+stinc)</f>
        <v>69949.169911638353</v>
      </c>
      <c r="N59" s="8">
        <f t="shared" ref="N59" si="180">M59*(1+stinc)</f>
        <v>75545.10350456943</v>
      </c>
      <c r="O59" s="8">
        <f t="shared" ref="O59" si="181">N59*(1+stinc)</f>
        <v>81588.711784934989</v>
      </c>
      <c r="P59" s="8">
        <f t="shared" ref="P59" si="182">O59*(1+stinc)</f>
        <v>88115.808727729789</v>
      </c>
      <c r="Q59" s="8">
        <f t="shared" ref="Q59" si="183">P59*(1+stinc)</f>
        <v>95165.073425948183</v>
      </c>
      <c r="R59" s="8">
        <f t="shared" ref="R59" si="184">Q59*(1+stinc)</f>
        <v>102778.27930002405</v>
      </c>
      <c r="S59" s="8">
        <f t="shared" ref="S59" si="185">R59*(1+stinc)</f>
        <v>111000.54164402599</v>
      </c>
      <c r="T59" s="8">
        <f t="shared" ref="T59" si="186">S59*(1+stinc)</f>
        <v>119880.58497554807</v>
      </c>
      <c r="U59" s="8">
        <f t="shared" ref="U59" si="187">T59*(1+stinc)</f>
        <v>129471.03177359192</v>
      </c>
      <c r="V59" s="8">
        <f t="shared" ref="V59" si="188">U59*(1+stinc)</f>
        <v>139828.71431547927</v>
      </c>
      <c r="W59" s="8">
        <f t="shared" ref="W59" si="189">V59*(1+stinc)</f>
        <v>151015.01146071762</v>
      </c>
      <c r="X59" s="8">
        <f t="shared" ref="X59" si="190">W59*(1+stinc)</f>
        <v>163096.21237757505</v>
      </c>
      <c r="Y59" s="8">
        <f t="shared" ref="Y59" si="191">X59*(1+stinc)</f>
        <v>176143.90936778107</v>
      </c>
      <c r="Z59" s="8">
        <f t="shared" ref="Z59" si="192">Y59*(1+stinc)</f>
        <v>190235.42211720356</v>
      </c>
      <c r="AA59" s="8">
        <f t="shared" ref="AA59" si="193">Z59*(1+stinc)</f>
        <v>205454.25588657986</v>
      </c>
      <c r="AB59" s="8">
        <f t="shared" ref="AB59" si="194">AA59*(1+stinc)</f>
        <v>221890.59635750626</v>
      </c>
      <c r="AC59" s="8">
        <f t="shared" ref="AC59" si="195">AB59*(1+stinc)</f>
        <v>239641.84406610677</v>
      </c>
      <c r="AD59" s="8">
        <f t="shared" ref="AD59" si="196">AC59*(1+stinc)</f>
        <v>258813.19159139533</v>
      </c>
      <c r="AE59" s="8">
        <f t="shared" ref="AE59" si="197">AD59*(1+stinc)</f>
        <v>279518.24691870698</v>
      </c>
      <c r="AF59" s="8">
        <f t="shared" ref="AF59" si="198">AE59*(1+stinc)</f>
        <v>301879.70667220355</v>
      </c>
      <c r="AG59" s="8">
        <f t="shared" ref="AG59" si="199">AF59*(1+stinc)</f>
        <v>326030.08320597984</v>
      </c>
      <c r="AH59" s="8">
        <f t="shared" ref="AH59" si="200">AG59*(1+stinc)</f>
        <v>352112.48986245826</v>
      </c>
      <c r="AI59" s="8">
        <f t="shared" ref="AI59" si="201">AH59*(1+stinc)</f>
        <v>380281.48905145493</v>
      </c>
      <c r="AJ59" s="8">
        <f t="shared" ref="AJ59" si="202">AI59*(1+stinc)</f>
        <v>410704.00817557133</v>
      </c>
      <c r="AK59" s="8">
        <f t="shared" ref="AK59" si="203">AJ59*(1+stinc)</f>
        <v>443560.32882961706</v>
      </c>
      <c r="AL59" s="8">
        <f t="shared" ref="AL59" si="204">AK59*(1+stinc)</f>
        <v>479045.15513598645</v>
      </c>
      <c r="AM59" s="8">
        <f t="shared" ref="AM59" si="205">AL59*(1+stinc)</f>
        <v>517368.76754686539</v>
      </c>
    </row>
    <row r="60" spans="1:39" x14ac:dyDescent="0.2">
      <c r="A60" s="5" t="s">
        <v>2</v>
      </c>
      <c r="C60" s="8">
        <f>-MAX(FV(Inputs!$B16/12,C$1*12,Inputs!$B17,-Inputs!$B15),0)</f>
        <v>-41787.691633353177</v>
      </c>
      <c r="D60" s="8">
        <f>-MAX(FV(Inputs!$B16/12,D$1*12,Inputs!$B17,-Inputs!$B15),0)</f>
        <v>-33325.598049266016</v>
      </c>
      <c r="E60" s="8">
        <f>-MAX(FV(Inputs!$B16/12,E$1*12,Inputs!$B17,-Inputs!$B15),0)</f>
        <v>-24606.12179132711</v>
      </c>
      <c r="F60" s="8">
        <f>-MAX(FV(Inputs!$B16/12,F$1*12,Inputs!$B17,-Inputs!$B15),0)</f>
        <v>-15621.434319218446</v>
      </c>
      <c r="G60" s="8">
        <f>-MAX(FV(Inputs!$B16/12,G$1*12,Inputs!$B17,-Inputs!$B15),0)</f>
        <v>-6363.4689800768465</v>
      </c>
      <c r="H60" s="8">
        <f>-MAX(FV(Inputs!$B16/12,H$1*12,Inputs!$B17,-Inputs!$B15),0)</f>
        <v>0</v>
      </c>
      <c r="I60" s="8">
        <f>-MAX(FV(Inputs!$B16/12,I$1*12,Inputs!$B17,-Inputs!$B15),0)</f>
        <v>0</v>
      </c>
      <c r="J60" s="8">
        <f>-MAX(FV(Inputs!$B16/12,J$1*12,Inputs!$B17,-Inputs!$B15),0)</f>
        <v>0</v>
      </c>
      <c r="K60" s="8">
        <f>-MAX(FV(Inputs!$B16/12,K$1*12,Inputs!$B17,-Inputs!$B15),0)</f>
        <v>0</v>
      </c>
      <c r="L60" s="8">
        <f>-MAX(FV(Inputs!$B16/12,L$1*12,Inputs!$B17,-Inputs!$B15),0)</f>
        <v>0</v>
      </c>
      <c r="M60" s="8">
        <f>-MAX(FV(Inputs!$B16/12,M$1*12,Inputs!$B17,-Inputs!$B15),0)</f>
        <v>0</v>
      </c>
      <c r="N60" s="8">
        <f>-MAX(FV(Inputs!$B16/12,N$1*12,Inputs!$B17,-Inputs!$B15),0)</f>
        <v>0</v>
      </c>
      <c r="O60" s="8">
        <f>-MAX(FV(Inputs!$B16/12,O$1*12,Inputs!$B17,-Inputs!$B15),0)</f>
        <v>0</v>
      </c>
      <c r="P60" s="8">
        <f>-MAX(FV(Inputs!$B16/12,P$1*12,Inputs!$B17,-Inputs!$B15),0)</f>
        <v>0</v>
      </c>
      <c r="Q60" s="8">
        <f>-MAX(FV(Inputs!$B16/12,Q$1*12,Inputs!$B17,-Inputs!$B15),0)</f>
        <v>0</v>
      </c>
      <c r="R60" s="8">
        <f>-MAX(FV(Inputs!$B16/12,R$1*12,Inputs!$B17,-Inputs!$B15),0)</f>
        <v>0</v>
      </c>
      <c r="S60" s="8">
        <f>-MAX(FV(Inputs!$B16/12,S$1*12,Inputs!$B17,-Inputs!$B15),0)</f>
        <v>0</v>
      </c>
      <c r="T60" s="8">
        <f>-MAX(FV(Inputs!$B16/12,T$1*12,Inputs!$B17,-Inputs!$B15),0)</f>
        <v>0</v>
      </c>
      <c r="U60" s="8">
        <f>-MAX(FV(Inputs!$B16/12,U$1*12,Inputs!$B17,-Inputs!$B15),0)</f>
        <v>0</v>
      </c>
      <c r="V60" s="8">
        <f>-MAX(FV(Inputs!$B16/12,V$1*12,Inputs!$B17,-Inputs!$B15),0)</f>
        <v>0</v>
      </c>
      <c r="W60" s="8">
        <f>-MAX(FV(Inputs!$B16/12,W$1*12,Inputs!$B17,-Inputs!$B15),0)</f>
        <v>0</v>
      </c>
      <c r="X60" s="8">
        <f>-MAX(FV(Inputs!$B16/12,X$1*12,Inputs!$B17,-Inputs!$B15),0)</f>
        <v>0</v>
      </c>
      <c r="Y60" s="8">
        <f>-MAX(FV(Inputs!$B16/12,Y$1*12,Inputs!$B17,-Inputs!$B15),0)</f>
        <v>0</v>
      </c>
      <c r="Z60" s="8">
        <f>-MAX(FV(Inputs!$B16/12,Z$1*12,Inputs!$B17,-Inputs!$B15),0)</f>
        <v>0</v>
      </c>
      <c r="AA60" s="8">
        <f>-MAX(FV(Inputs!$B16/12,AA$1*12,Inputs!$B17,-Inputs!$B15),0)</f>
        <v>0</v>
      </c>
      <c r="AB60" s="8">
        <f>-MAX(FV(Inputs!$B16/12,AB$1*12,Inputs!$B17,-Inputs!$B15),0)</f>
        <v>0</v>
      </c>
      <c r="AC60" s="8">
        <f>-MAX(FV(Inputs!$B16/12,AC$1*12,Inputs!$B17,-Inputs!$B15),0)</f>
        <v>0</v>
      </c>
      <c r="AD60" s="8">
        <f>-MAX(FV(Inputs!$B16/12,AD$1*12,Inputs!$B17,-Inputs!$B15),0)</f>
        <v>0</v>
      </c>
      <c r="AE60" s="8">
        <f>-MAX(FV(Inputs!$B16/12,AE$1*12,Inputs!$B17,-Inputs!$B15),0)</f>
        <v>0</v>
      </c>
      <c r="AF60" s="8">
        <f>-MAX(FV(Inputs!$B16/12,AF$1*12,Inputs!$B17,-Inputs!$B15),0)</f>
        <v>0</v>
      </c>
      <c r="AG60" s="8">
        <f>-MAX(FV(Inputs!$B16/12,AG$1*12,Inputs!$B17,-Inputs!$B15),0)</f>
        <v>0</v>
      </c>
      <c r="AH60" s="8">
        <f>-MAX(FV(Inputs!$B16/12,AH$1*12,Inputs!$B17,-Inputs!$B15),0)</f>
        <v>0</v>
      </c>
      <c r="AI60" s="8">
        <f>-MAX(FV(Inputs!$B16/12,AI$1*12,Inputs!$B17,-Inputs!$B15),0)</f>
        <v>0</v>
      </c>
      <c r="AJ60" s="8">
        <f>-MAX(FV(Inputs!$B16/12,AJ$1*12,Inputs!$B17,-Inputs!$B15),0)</f>
        <v>0</v>
      </c>
      <c r="AK60" s="8">
        <f>-MAX(FV(Inputs!$B16/12,AK$1*12,Inputs!$B17,-Inputs!$B15),0)</f>
        <v>0</v>
      </c>
      <c r="AL60" s="8">
        <f>-MAX(FV(Inputs!$B16/12,AL$1*12,Inputs!$B17,-Inputs!$B15),0)</f>
        <v>0</v>
      </c>
      <c r="AM60" s="8">
        <f>-MAX(FV(Inputs!$B16/12,AM$1*12,Inputs!$B17,-Inputs!$B15),0)</f>
        <v>0</v>
      </c>
    </row>
    <row r="61" spans="1:39" x14ac:dyDescent="0.2">
      <c r="A61" s="5" t="s">
        <v>65</v>
      </c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</row>
    <row r="62" spans="1:39" x14ac:dyDescent="0.2">
      <c r="A62" s="4" t="str">
        <f>TEXT(Inputs!$B$50,"")</f>
        <v>Sliema</v>
      </c>
      <c r="C62" s="8">
        <f>-MAX(FV(Inputs!$B79/12,C$1*12,Inputs!$B80,-Inputs!$B78),0)</f>
        <v>-45437.606462973985</v>
      </c>
      <c r="D62" s="8">
        <f>-MAX(FV(Inputs!$B79/12,D$1*12,Inputs!$B80,-Inputs!$B78),0)</f>
        <v>-40736.443360703342</v>
      </c>
      <c r="E62" s="8">
        <f>-MAX(FV(Inputs!$B79/12,E$1*12,Inputs!$B80,-Inputs!$B78),0)</f>
        <v>-35892.289884070618</v>
      </c>
      <c r="F62" s="8">
        <f>-MAX(FV(Inputs!$B79/12,F$1*12,Inputs!$B80,-Inputs!$B78),0)</f>
        <v>-30900.796844010245</v>
      </c>
      <c r="G62" s="8">
        <f>-MAX(FV(Inputs!$B79/12,G$1*12,Inputs!$B80,-Inputs!$B78),0)</f>
        <v>-25757.48276670936</v>
      </c>
      <c r="H62" s="8">
        <f>-MAX(FV(Inputs!$B79/12,H$1*12,Inputs!$B80,-Inputs!$B78),0)</f>
        <v>-20457.729870040646</v>
      </c>
      <c r="I62" s="8">
        <f>-MAX(FV(Inputs!$B79/12,I$1*12,Inputs!$B80,-Inputs!$B78),0)</f>
        <v>-14996.779917614593</v>
      </c>
      <c r="J62" s="8">
        <f>-MAX(FV(Inputs!$B79/12,J$1*12,Inputs!$B80,-Inputs!$B78),0)</f>
        <v>-9369.7299467287376</v>
      </c>
      <c r="K62" s="8">
        <f>-MAX(FV(Inputs!$B79/12,K$1*12,Inputs!$B80,-Inputs!$B78),0)</f>
        <v>-3571.5278663783029</v>
      </c>
      <c r="L62" s="8">
        <f>-MAX(FV(Inputs!$B79/12,L$1*12,Inputs!$B80,-Inputs!$B78),0)</f>
        <v>0</v>
      </c>
      <c r="M62" s="8">
        <f>-MAX(FV(Inputs!$B79/12,M$1*12,Inputs!$B80,-Inputs!$B78),0)</f>
        <v>0</v>
      </c>
      <c r="N62" s="8">
        <f>-MAX(FV(Inputs!$B79/12,N$1*12,Inputs!$B80,-Inputs!$B78),0)</f>
        <v>0</v>
      </c>
      <c r="O62" s="8">
        <f>-MAX(FV(Inputs!$B79/12,O$1*12,Inputs!$B80,-Inputs!$B78),0)</f>
        <v>0</v>
      </c>
      <c r="P62" s="8">
        <f>-MAX(FV(Inputs!$B79/12,P$1*12,Inputs!$B80,-Inputs!$B78),0)</f>
        <v>0</v>
      </c>
      <c r="Q62" s="8">
        <f>-MAX(FV(Inputs!$B79/12,Q$1*12,Inputs!$B80,-Inputs!$B78),0)</f>
        <v>0</v>
      </c>
      <c r="R62" s="8">
        <f>-MAX(FV(Inputs!$B79/12,R$1*12,Inputs!$B80,-Inputs!$B78),0)</f>
        <v>0</v>
      </c>
      <c r="S62" s="8">
        <f>-MAX(FV(Inputs!$B79/12,S$1*12,Inputs!$B80,-Inputs!$B78),0)</f>
        <v>0</v>
      </c>
      <c r="T62" s="8">
        <f>-MAX(FV(Inputs!$B79/12,T$1*12,Inputs!$B80,-Inputs!$B78),0)</f>
        <v>0</v>
      </c>
      <c r="U62" s="8">
        <f>-MAX(FV(Inputs!$B79/12,U$1*12,Inputs!$B80,-Inputs!$B78),0)</f>
        <v>0</v>
      </c>
      <c r="V62" s="8">
        <f>-MAX(FV(Inputs!$B79/12,V$1*12,Inputs!$B80,-Inputs!$B78),0)</f>
        <v>0</v>
      </c>
      <c r="W62" s="8">
        <f>-MAX(FV(Inputs!$B79/12,W$1*12,Inputs!$B80,-Inputs!$B78),0)</f>
        <v>0</v>
      </c>
      <c r="X62" s="8">
        <f>-MAX(FV(Inputs!$B79/12,X$1*12,Inputs!$B80,-Inputs!$B78),0)</f>
        <v>0</v>
      </c>
      <c r="Y62" s="8">
        <f>-MAX(FV(Inputs!$B79/12,Y$1*12,Inputs!$B80,-Inputs!$B78),0)</f>
        <v>0</v>
      </c>
      <c r="Z62" s="8">
        <f>-MAX(FV(Inputs!$B79/12,Z$1*12,Inputs!$B80,-Inputs!$B78),0)</f>
        <v>0</v>
      </c>
      <c r="AA62" s="8">
        <f>-MAX(FV(Inputs!$B79/12,AA$1*12,Inputs!$B80,-Inputs!$B78),0)</f>
        <v>0</v>
      </c>
      <c r="AB62" s="8">
        <f>-MAX(FV(Inputs!$B79/12,AB$1*12,Inputs!$B80,-Inputs!$B78),0)</f>
        <v>0</v>
      </c>
      <c r="AC62" s="8">
        <f>-MAX(FV(Inputs!$B79/12,AC$1*12,Inputs!$B80,-Inputs!$B78),0)</f>
        <v>0</v>
      </c>
      <c r="AD62" s="8">
        <f>-MAX(FV(Inputs!$B79/12,AD$1*12,Inputs!$B80,-Inputs!$B78),0)</f>
        <v>0</v>
      </c>
      <c r="AE62" s="8">
        <f>-MAX(FV(Inputs!$B79/12,AE$1*12,Inputs!$B80,-Inputs!$B78),0)</f>
        <v>0</v>
      </c>
      <c r="AF62" s="8">
        <f>-MAX(FV(Inputs!$B79/12,AF$1*12,Inputs!$B80,-Inputs!$B78),0)</f>
        <v>0</v>
      </c>
      <c r="AG62" s="8">
        <f>-MAX(FV(Inputs!$B79/12,AG$1*12,Inputs!$B80,-Inputs!$B78),0)</f>
        <v>0</v>
      </c>
      <c r="AH62" s="8">
        <f>-MAX(FV(Inputs!$B79/12,AH$1*12,Inputs!$B80,-Inputs!$B78),0)</f>
        <v>0</v>
      </c>
      <c r="AI62" s="8">
        <f>-MAX(FV(Inputs!$B79/12,AI$1*12,Inputs!$B80,-Inputs!$B78),0)</f>
        <v>0</v>
      </c>
      <c r="AJ62" s="8">
        <f>-MAX(FV(Inputs!$B79/12,AJ$1*12,Inputs!$B80,-Inputs!$B78),0)</f>
        <v>0</v>
      </c>
      <c r="AK62" s="8">
        <f>-MAX(FV(Inputs!$B79/12,AK$1*12,Inputs!$B80,-Inputs!$B78),0)</f>
        <v>0</v>
      </c>
      <c r="AL62" s="8">
        <f>-MAX(FV(Inputs!$B79/12,AL$1*12,Inputs!$B80,-Inputs!$B78),0)</f>
        <v>0</v>
      </c>
      <c r="AM62" s="8">
        <f>-MAX(FV(Inputs!$B79/12,AM$1*12,Inputs!$B80,-Inputs!$B78),0)</f>
        <v>0</v>
      </c>
    </row>
    <row r="63" spans="1:39" x14ac:dyDescent="0.2">
      <c r="A63" s="4" t="str">
        <f>TEXT(Inputs!$B$55,"")</f>
        <v>Gzira</v>
      </c>
      <c r="C63" s="8">
        <f>-MAX(FV(Inputs!$B84/12,C$1*12,Inputs!$B85,-Inputs!$B83),0)</f>
        <v>-6249.4443415125261</v>
      </c>
      <c r="D63" s="8">
        <f>-MAX(FV(Inputs!$B84/12,D$1*12,Inputs!$B85,-Inputs!$B83),0)</f>
        <v>-3953.4626671330816</v>
      </c>
      <c r="E63" s="8">
        <f>-MAX(FV(Inputs!$B84/12,E$1*12,Inputs!$B85,-Inputs!$B83),0)</f>
        <v>-1611.1380819997976</v>
      </c>
      <c r="F63" s="8">
        <f>-MAX(FV(Inputs!$B84/12,F$1*12,Inputs!$B85,-Inputs!$B83),0)</f>
        <v>0</v>
      </c>
      <c r="G63" s="8">
        <f>-MAX(FV(Inputs!$B84/12,G$1*12,Inputs!$B85,-Inputs!$B83),0)</f>
        <v>0</v>
      </c>
      <c r="H63" s="8">
        <f>-MAX(FV(Inputs!$B84/12,H$1*12,Inputs!$B85,-Inputs!$B83),0)</f>
        <v>0</v>
      </c>
      <c r="I63" s="8">
        <f>-MAX(FV(Inputs!$B84/12,I$1*12,Inputs!$B85,-Inputs!$B83),0)</f>
        <v>0</v>
      </c>
      <c r="J63" s="8">
        <f>-MAX(FV(Inputs!$B84/12,J$1*12,Inputs!$B85,-Inputs!$B83),0)</f>
        <v>0</v>
      </c>
      <c r="K63" s="8">
        <f>-MAX(FV(Inputs!$B84/12,K$1*12,Inputs!$B85,-Inputs!$B83),0)</f>
        <v>0</v>
      </c>
      <c r="L63" s="8">
        <f>-MAX(FV(Inputs!$B84/12,L$1*12,Inputs!$B85,-Inputs!$B83),0)</f>
        <v>0</v>
      </c>
      <c r="M63" s="8">
        <f>-MAX(FV(Inputs!$B84/12,M$1*12,Inputs!$B85,-Inputs!$B83),0)</f>
        <v>0</v>
      </c>
      <c r="N63" s="8">
        <f>-MAX(FV(Inputs!$B84/12,N$1*12,Inputs!$B85,-Inputs!$B83),0)</f>
        <v>0</v>
      </c>
      <c r="O63" s="8">
        <f>-MAX(FV(Inputs!$B84/12,O$1*12,Inputs!$B85,-Inputs!$B83),0)</f>
        <v>0</v>
      </c>
      <c r="P63" s="8">
        <f>-MAX(FV(Inputs!$B84/12,P$1*12,Inputs!$B85,-Inputs!$B83),0)</f>
        <v>0</v>
      </c>
      <c r="Q63" s="8">
        <f>-MAX(FV(Inputs!$B84/12,Q$1*12,Inputs!$B85,-Inputs!$B83),0)</f>
        <v>0</v>
      </c>
      <c r="R63" s="8">
        <f>-MAX(FV(Inputs!$B84/12,R$1*12,Inputs!$B85,-Inputs!$B83),0)</f>
        <v>0</v>
      </c>
      <c r="S63" s="8">
        <f>-MAX(FV(Inputs!$B84/12,S$1*12,Inputs!$B85,-Inputs!$B83),0)</f>
        <v>0</v>
      </c>
      <c r="T63" s="8">
        <f>-MAX(FV(Inputs!$B84/12,T$1*12,Inputs!$B85,-Inputs!$B83),0)</f>
        <v>0</v>
      </c>
      <c r="U63" s="8">
        <f>-MAX(FV(Inputs!$B84/12,U$1*12,Inputs!$B85,-Inputs!$B83),0)</f>
        <v>0</v>
      </c>
      <c r="V63" s="8">
        <f>-MAX(FV(Inputs!$B84/12,V$1*12,Inputs!$B85,-Inputs!$B83),0)</f>
        <v>0</v>
      </c>
      <c r="W63" s="8">
        <f>-MAX(FV(Inputs!$B84/12,W$1*12,Inputs!$B85,-Inputs!$B83),0)</f>
        <v>0</v>
      </c>
      <c r="X63" s="8">
        <f>-MAX(FV(Inputs!$B84/12,X$1*12,Inputs!$B85,-Inputs!$B83),0)</f>
        <v>0</v>
      </c>
      <c r="Y63" s="8">
        <f>-MAX(FV(Inputs!$B84/12,Y$1*12,Inputs!$B85,-Inputs!$B83),0)</f>
        <v>0</v>
      </c>
      <c r="Z63" s="8">
        <f>-MAX(FV(Inputs!$B84/12,Z$1*12,Inputs!$B85,-Inputs!$B83),0)</f>
        <v>0</v>
      </c>
      <c r="AA63" s="8">
        <f>-MAX(FV(Inputs!$B84/12,AA$1*12,Inputs!$B85,-Inputs!$B83),0)</f>
        <v>0</v>
      </c>
      <c r="AB63" s="8">
        <f>-MAX(FV(Inputs!$B84/12,AB$1*12,Inputs!$B85,-Inputs!$B83),0)</f>
        <v>0</v>
      </c>
      <c r="AC63" s="8">
        <f>-MAX(FV(Inputs!$B84/12,AC$1*12,Inputs!$B85,-Inputs!$B83),0)</f>
        <v>0</v>
      </c>
      <c r="AD63" s="8">
        <f>-MAX(FV(Inputs!$B84/12,AD$1*12,Inputs!$B85,-Inputs!$B83),0)</f>
        <v>0</v>
      </c>
      <c r="AE63" s="8">
        <f>-MAX(FV(Inputs!$B84/12,AE$1*12,Inputs!$B85,-Inputs!$B83),0)</f>
        <v>0</v>
      </c>
      <c r="AF63" s="8">
        <f>-MAX(FV(Inputs!$B84/12,AF$1*12,Inputs!$B85,-Inputs!$B83),0)</f>
        <v>0</v>
      </c>
      <c r="AG63" s="8">
        <f>-MAX(FV(Inputs!$B84/12,AG$1*12,Inputs!$B85,-Inputs!$B83),0)</f>
        <v>0</v>
      </c>
      <c r="AH63" s="8">
        <f>-MAX(FV(Inputs!$B84/12,AH$1*12,Inputs!$B85,-Inputs!$B83),0)</f>
        <v>0</v>
      </c>
      <c r="AI63" s="8">
        <f>-MAX(FV(Inputs!$B84/12,AI$1*12,Inputs!$B85,-Inputs!$B83),0)</f>
        <v>0</v>
      </c>
      <c r="AJ63" s="8">
        <f>-MAX(FV(Inputs!$B84/12,AJ$1*12,Inputs!$B85,-Inputs!$B83),0)</f>
        <v>0</v>
      </c>
      <c r="AK63" s="8">
        <f>-MAX(FV(Inputs!$B84/12,AK$1*12,Inputs!$B85,-Inputs!$B83),0)</f>
        <v>0</v>
      </c>
      <c r="AL63" s="8">
        <f>-MAX(FV(Inputs!$B84/12,AL$1*12,Inputs!$B85,-Inputs!$B83),0)</f>
        <v>0</v>
      </c>
      <c r="AM63" s="8">
        <f>-MAX(FV(Inputs!$B84/12,AM$1*12,Inputs!$B85,-Inputs!$B83),0)</f>
        <v>0</v>
      </c>
    </row>
    <row r="64" spans="1:39" x14ac:dyDescent="0.2">
      <c r="A64" s="4" t="str">
        <f>TEXT(Inputs!$B$60,"")</f>
        <v>Qormi</v>
      </c>
      <c r="C64" s="8">
        <f>-MAX(FV(Inputs!$B89/12,C$1*12,Inputs!$B90,-Inputs!$B88),0)</f>
        <v>-12697.714595321995</v>
      </c>
      <c r="D64" s="8">
        <f>-MAX(FV(Inputs!$B89/12,D$1*12,Inputs!$B90,-Inputs!$B88),0)</f>
        <v>-10277.63989987525</v>
      </c>
      <c r="E64" s="8">
        <f>-MAX(FV(Inputs!$B89/12,E$1*12,Inputs!$B90,-Inputs!$B88),0)</f>
        <v>-7733.7495899939004</v>
      </c>
      <c r="F64" s="8">
        <f>-MAX(FV(Inputs!$B89/12,F$1*12,Inputs!$B90,-Inputs!$B88),0)</f>
        <v>-5059.7090238560577</v>
      </c>
      <c r="G64" s="8">
        <f>-MAX(FV(Inputs!$B89/12,G$1*12,Inputs!$B90,-Inputs!$B88),0)</f>
        <v>-2248.8594673418665</v>
      </c>
      <c r="H64" s="8">
        <f>-MAX(FV(Inputs!$B89/12,H$1*12,Inputs!$B90,-Inputs!$B88),0)</f>
        <v>0</v>
      </c>
      <c r="I64" s="8">
        <f>-MAX(FV(Inputs!$B89/12,I$1*12,Inputs!$B90,-Inputs!$B88),0)</f>
        <v>0</v>
      </c>
      <c r="J64" s="8">
        <f>-MAX(FV(Inputs!$B89/12,J$1*12,Inputs!$B90,-Inputs!$B88),0)</f>
        <v>0</v>
      </c>
      <c r="K64" s="8">
        <f>-MAX(FV(Inputs!$B89/12,K$1*12,Inputs!$B90,-Inputs!$B88),0)</f>
        <v>0</v>
      </c>
      <c r="L64" s="8">
        <f>-MAX(FV(Inputs!$B89/12,L$1*12,Inputs!$B90,-Inputs!$B88),0)</f>
        <v>0</v>
      </c>
      <c r="M64" s="8">
        <f>-MAX(FV(Inputs!$B89/12,M$1*12,Inputs!$B90,-Inputs!$B88),0)</f>
        <v>0</v>
      </c>
      <c r="N64" s="8">
        <f>-MAX(FV(Inputs!$B89/12,N$1*12,Inputs!$B90,-Inputs!$B88),0)</f>
        <v>0</v>
      </c>
      <c r="O64" s="8">
        <f>-MAX(FV(Inputs!$B89/12,O$1*12,Inputs!$B90,-Inputs!$B88),0)</f>
        <v>0</v>
      </c>
      <c r="P64" s="8">
        <f>-MAX(FV(Inputs!$B89/12,P$1*12,Inputs!$B90,-Inputs!$B88),0)</f>
        <v>0</v>
      </c>
      <c r="Q64" s="8">
        <f>-MAX(FV(Inputs!$B89/12,Q$1*12,Inputs!$B90,-Inputs!$B88),0)</f>
        <v>0</v>
      </c>
      <c r="R64" s="8">
        <f>-MAX(FV(Inputs!$B89/12,R$1*12,Inputs!$B90,-Inputs!$B88),0)</f>
        <v>0</v>
      </c>
      <c r="S64" s="8">
        <f>-MAX(FV(Inputs!$B89/12,S$1*12,Inputs!$B90,-Inputs!$B88),0)</f>
        <v>0</v>
      </c>
      <c r="T64" s="8">
        <f>-MAX(FV(Inputs!$B89/12,T$1*12,Inputs!$B90,-Inputs!$B88),0)</f>
        <v>0</v>
      </c>
      <c r="U64" s="8">
        <f>-MAX(FV(Inputs!$B89/12,U$1*12,Inputs!$B90,-Inputs!$B88),0)</f>
        <v>0</v>
      </c>
      <c r="V64" s="8">
        <f>-MAX(FV(Inputs!$B89/12,V$1*12,Inputs!$B90,-Inputs!$B88),0)</f>
        <v>0</v>
      </c>
      <c r="W64" s="8">
        <f>-MAX(FV(Inputs!$B89/12,W$1*12,Inputs!$B90,-Inputs!$B88),0)</f>
        <v>0</v>
      </c>
      <c r="X64" s="8">
        <f>-MAX(FV(Inputs!$B89/12,X$1*12,Inputs!$B90,-Inputs!$B88),0)</f>
        <v>0</v>
      </c>
      <c r="Y64" s="8">
        <f>-MAX(FV(Inputs!$B89/12,Y$1*12,Inputs!$B90,-Inputs!$B88),0)</f>
        <v>0</v>
      </c>
      <c r="Z64" s="8">
        <f>-MAX(FV(Inputs!$B89/12,Z$1*12,Inputs!$B90,-Inputs!$B88),0)</f>
        <v>0</v>
      </c>
      <c r="AA64" s="8">
        <f>-MAX(FV(Inputs!$B89/12,AA$1*12,Inputs!$B90,-Inputs!$B88),0)</f>
        <v>0</v>
      </c>
      <c r="AB64" s="8">
        <f>-MAX(FV(Inputs!$B89/12,AB$1*12,Inputs!$B90,-Inputs!$B88),0)</f>
        <v>0</v>
      </c>
      <c r="AC64" s="8">
        <f>-MAX(FV(Inputs!$B89/12,AC$1*12,Inputs!$B90,-Inputs!$B88),0)</f>
        <v>0</v>
      </c>
      <c r="AD64" s="8">
        <f>-MAX(FV(Inputs!$B89/12,AD$1*12,Inputs!$B90,-Inputs!$B88),0)</f>
        <v>0</v>
      </c>
      <c r="AE64" s="8">
        <f>-MAX(FV(Inputs!$B89/12,AE$1*12,Inputs!$B90,-Inputs!$B88),0)</f>
        <v>0</v>
      </c>
      <c r="AF64" s="8">
        <f>-MAX(FV(Inputs!$B89/12,AF$1*12,Inputs!$B90,-Inputs!$B88),0)</f>
        <v>0</v>
      </c>
      <c r="AG64" s="8">
        <f>-MAX(FV(Inputs!$B89/12,AG$1*12,Inputs!$B90,-Inputs!$B88),0)</f>
        <v>0</v>
      </c>
      <c r="AH64" s="8">
        <f>-MAX(FV(Inputs!$B89/12,AH$1*12,Inputs!$B90,-Inputs!$B88),0)</f>
        <v>0</v>
      </c>
      <c r="AI64" s="8">
        <f>-MAX(FV(Inputs!$B89/12,AI$1*12,Inputs!$B90,-Inputs!$B88),0)</f>
        <v>0</v>
      </c>
      <c r="AJ64" s="8">
        <f>-MAX(FV(Inputs!$B89/12,AJ$1*12,Inputs!$B90,-Inputs!$B88),0)</f>
        <v>0</v>
      </c>
      <c r="AK64" s="8">
        <f>-MAX(FV(Inputs!$B89/12,AK$1*12,Inputs!$B90,-Inputs!$B88),0)</f>
        <v>0</v>
      </c>
      <c r="AL64" s="8">
        <f>-MAX(FV(Inputs!$B89/12,AL$1*12,Inputs!$B90,-Inputs!$B88),0)</f>
        <v>0</v>
      </c>
      <c r="AM64" s="8">
        <f>-MAX(FV(Inputs!$B89/12,AM$1*12,Inputs!$B90,-Inputs!$B88),0)</f>
        <v>0</v>
      </c>
    </row>
    <row r="65" spans="1:39" x14ac:dyDescent="0.2">
      <c r="A65" s="5" t="s">
        <v>38</v>
      </c>
      <c r="C65" s="8">
        <f>-MAX(FV(Inputs!$B94/12,C$1*12,Inputs!$B95,-Inputs!$B93),0)</f>
        <v>-3629.9331288130147</v>
      </c>
      <c r="D65" s="8">
        <f>-MAX(FV(Inputs!$B94/12,D$1*12,Inputs!$B95,-Inputs!$B93),0)</f>
        <v>-3237.0413427676731</v>
      </c>
      <c r="E65" s="8">
        <f>-MAX(FV(Inputs!$B94/12,E$1*12,Inputs!$B95,-Inputs!$B93),0)</f>
        <v>-2819.9168510595237</v>
      </c>
      <c r="F65" s="8">
        <f>-MAX(FV(Inputs!$B94/12,F$1*12,Inputs!$B95,-Inputs!$B93),0)</f>
        <v>-2377.0650334277229</v>
      </c>
      <c r="G65" s="8">
        <f>-MAX(FV(Inputs!$B94/12,G$1*12,Inputs!$B95,-Inputs!$B93),0)</f>
        <v>-1906.8990847041773</v>
      </c>
      <c r="H65" s="8">
        <f>-MAX(FV(Inputs!$B94/12,H$1*12,Inputs!$B95,-Inputs!$B93),0)</f>
        <v>-1407.7343290501685</v>
      </c>
      <c r="I65" s="8">
        <f>-MAX(FV(Inputs!$B94/12,I$1*12,Inputs!$B95,-Inputs!$B93),0)</f>
        <v>-877.78218350754105</v>
      </c>
      <c r="J65" s="8">
        <f>-MAX(FV(Inputs!$B94/12,J$1*12,Inputs!$B95,-Inputs!$B93),0)</f>
        <v>-315.14374923495234</v>
      </c>
      <c r="K65" s="8">
        <f>-MAX(FV(Inputs!$B94/12,K$1*12,Inputs!$B95,-Inputs!$B93),0)</f>
        <v>0</v>
      </c>
      <c r="L65" s="8">
        <f>-MAX(FV(Inputs!$B94/12,L$1*12,Inputs!$B95,-Inputs!$B93),0)</f>
        <v>0</v>
      </c>
      <c r="M65" s="8">
        <f>-MAX(FV(Inputs!$B94/12,M$1*12,Inputs!$B95,-Inputs!$B93),0)</f>
        <v>0</v>
      </c>
      <c r="N65" s="8">
        <f>-MAX(FV(Inputs!$B94/12,N$1*12,Inputs!$B95,-Inputs!$B93),0)</f>
        <v>0</v>
      </c>
      <c r="O65" s="8">
        <f>-MAX(FV(Inputs!$B94/12,O$1*12,Inputs!$B95,-Inputs!$B93),0)</f>
        <v>0</v>
      </c>
      <c r="P65" s="8">
        <f>-MAX(FV(Inputs!$B94/12,P$1*12,Inputs!$B95,-Inputs!$B93),0)</f>
        <v>0</v>
      </c>
      <c r="Q65" s="8">
        <f>-MAX(FV(Inputs!$B94/12,Q$1*12,Inputs!$B95,-Inputs!$B93),0)</f>
        <v>0</v>
      </c>
      <c r="R65" s="8">
        <f>-MAX(FV(Inputs!$B94/12,R$1*12,Inputs!$B95,-Inputs!$B93),0)</f>
        <v>0</v>
      </c>
      <c r="S65" s="8">
        <f>-MAX(FV(Inputs!$B94/12,S$1*12,Inputs!$B95,-Inputs!$B93),0)</f>
        <v>0</v>
      </c>
      <c r="T65" s="8">
        <f>-MAX(FV(Inputs!$B94/12,T$1*12,Inputs!$B95,-Inputs!$B93),0)</f>
        <v>0</v>
      </c>
      <c r="U65" s="8">
        <f>-MAX(FV(Inputs!$B94/12,U$1*12,Inputs!$B95,-Inputs!$B93),0)</f>
        <v>0</v>
      </c>
      <c r="V65" s="8">
        <f>-MAX(FV(Inputs!$B94/12,V$1*12,Inputs!$B95,-Inputs!$B93),0)</f>
        <v>0</v>
      </c>
      <c r="W65" s="8">
        <f>-MAX(FV(Inputs!$B94/12,W$1*12,Inputs!$B95,-Inputs!$B93),0)</f>
        <v>0</v>
      </c>
      <c r="X65" s="8">
        <f>-MAX(FV(Inputs!$B94/12,X$1*12,Inputs!$B95,-Inputs!$B93),0)</f>
        <v>0</v>
      </c>
      <c r="Y65" s="8">
        <f>-MAX(FV(Inputs!$B94/12,Y$1*12,Inputs!$B95,-Inputs!$B93),0)</f>
        <v>0</v>
      </c>
      <c r="Z65" s="8">
        <f>-MAX(FV(Inputs!$B94/12,Z$1*12,Inputs!$B95,-Inputs!$B93),0)</f>
        <v>0</v>
      </c>
      <c r="AA65" s="8">
        <f>-MAX(FV(Inputs!$B94/12,AA$1*12,Inputs!$B95,-Inputs!$B93),0)</f>
        <v>0</v>
      </c>
      <c r="AB65" s="8">
        <f>-MAX(FV(Inputs!$B94/12,AB$1*12,Inputs!$B95,-Inputs!$B93),0)</f>
        <v>0</v>
      </c>
      <c r="AC65" s="8">
        <f>-MAX(FV(Inputs!$B94/12,AC$1*12,Inputs!$B95,-Inputs!$B93),0)</f>
        <v>0</v>
      </c>
      <c r="AD65" s="8">
        <f>-MAX(FV(Inputs!$B94/12,AD$1*12,Inputs!$B95,-Inputs!$B93),0)</f>
        <v>0</v>
      </c>
      <c r="AE65" s="8">
        <f>-MAX(FV(Inputs!$B94/12,AE$1*12,Inputs!$B95,-Inputs!$B93),0)</f>
        <v>0</v>
      </c>
      <c r="AF65" s="8">
        <f>-MAX(FV(Inputs!$B94/12,AF$1*12,Inputs!$B95,-Inputs!$B93),0)</f>
        <v>0</v>
      </c>
      <c r="AG65" s="8">
        <f>-MAX(FV(Inputs!$B94/12,AG$1*12,Inputs!$B95,-Inputs!$B93),0)</f>
        <v>0</v>
      </c>
      <c r="AH65" s="8">
        <f>-MAX(FV(Inputs!$B94/12,AH$1*12,Inputs!$B95,-Inputs!$B93),0)</f>
        <v>0</v>
      </c>
      <c r="AI65" s="8">
        <f>-MAX(FV(Inputs!$B94/12,AI$1*12,Inputs!$B95,-Inputs!$B93),0)</f>
        <v>0</v>
      </c>
      <c r="AJ65" s="8">
        <f>-MAX(FV(Inputs!$B94/12,AJ$1*12,Inputs!$B95,-Inputs!$B93),0)</f>
        <v>0</v>
      </c>
      <c r="AK65" s="8">
        <f>-MAX(FV(Inputs!$B94/12,AK$1*12,Inputs!$B95,-Inputs!$B93),0)</f>
        <v>0</v>
      </c>
      <c r="AL65" s="8">
        <f>-MAX(FV(Inputs!$B94/12,AL$1*12,Inputs!$B95,-Inputs!$B93),0)</f>
        <v>0</v>
      </c>
      <c r="AM65" s="8">
        <f>-MAX(FV(Inputs!$B94/12,AM$1*12,Inputs!$B95,-Inputs!$B93),0)</f>
        <v>0</v>
      </c>
    </row>
    <row r="66" spans="1:39" x14ac:dyDescent="0.2">
      <c r="A66" s="5"/>
      <c r="C66" s="10">
        <f t="shared" ref="C66:G66" ca="1" si="206">SUM(C52:C65)</f>
        <v>1306450.1098380252</v>
      </c>
      <c r="D66" s="10">
        <f t="shared" ca="1" si="206"/>
        <v>1395707.6271802546</v>
      </c>
      <c r="E66" s="10">
        <f t="shared" ca="1" si="206"/>
        <v>1467136.1463015494</v>
      </c>
      <c r="F66" s="10">
        <f t="shared" ca="1" si="206"/>
        <v>1571603.3362318811</v>
      </c>
      <c r="G66" s="10">
        <f t="shared" ca="1" si="206"/>
        <v>1681302.697570574</v>
      </c>
      <c r="H66" s="10">
        <f t="shared" ref="H66:AM66" ca="1" si="207">SUM(H52:H65)</f>
        <v>1803377.0200058362</v>
      </c>
      <c r="I66" s="10">
        <f t="shared" ca="1" si="207"/>
        <v>1925515.1787208037</v>
      </c>
      <c r="J66" s="10">
        <f t="shared" ref="J66:AM66" ca="1" si="208">SUM(J52:J65)</f>
        <v>2035479.4655151977</v>
      </c>
      <c r="K66" s="10">
        <f t="shared" ca="1" si="208"/>
        <v>2230857.9093484082</v>
      </c>
      <c r="L66" s="10">
        <f t="shared" ca="1" si="208"/>
        <v>2337070.8546082387</v>
      </c>
      <c r="M66" s="10">
        <f t="shared" ca="1" si="208"/>
        <v>2497393.2532110862</v>
      </c>
      <c r="N66" s="10">
        <f t="shared" ca="1" si="208"/>
        <v>2665258.0876822406</v>
      </c>
      <c r="O66" s="10">
        <f t="shared" ca="1" si="208"/>
        <v>2840981.6839948334</v>
      </c>
      <c r="P66" s="10">
        <f t="shared" ca="1" si="208"/>
        <v>3024893.4362583752</v>
      </c>
      <c r="Q66" s="10">
        <f t="shared" ca="1" si="208"/>
        <v>3217336.3840928273</v>
      </c>
      <c r="R66" s="10">
        <f t="shared" ca="1" si="208"/>
        <v>3418667.819369535</v>
      </c>
      <c r="S66" s="10">
        <f t="shared" ca="1" si="208"/>
        <v>3523327.6935754293</v>
      </c>
      <c r="T66" s="10">
        <f t="shared" ca="1" si="208"/>
        <v>3639392.6550664837</v>
      </c>
      <c r="U66" s="10">
        <f t="shared" ca="1" si="208"/>
        <v>3759698.0656085555</v>
      </c>
      <c r="V66" s="10">
        <f t="shared" ca="1" si="208"/>
        <v>3884419.3743087347</v>
      </c>
      <c r="W66" s="10">
        <f t="shared" ca="1" si="208"/>
        <v>4013740.5745730298</v>
      </c>
      <c r="X66" s="10">
        <f t="shared" ca="1" si="208"/>
        <v>4127447.7822845997</v>
      </c>
      <c r="Y66" s="10">
        <f t="shared" ca="1" si="208"/>
        <v>4245130.1795230387</v>
      </c>
      <c r="Z66" s="10">
        <f t="shared" ca="1" si="208"/>
        <v>4366962.2522903671</v>
      </c>
      <c r="AA66" s="10">
        <f t="shared" ca="1" si="208"/>
        <v>4493127.9574828027</v>
      </c>
      <c r="AB66" s="10">
        <f t="shared" ca="1" si="208"/>
        <v>4623821.3304968821</v>
      </c>
      <c r="AC66" s="10">
        <f t="shared" ca="1" si="208"/>
        <v>4759247.136284628</v>
      </c>
      <c r="AD66" s="10">
        <f t="shared" ca="1" si="208"/>
        <v>4909482.3047483265</v>
      </c>
      <c r="AE66" s="10">
        <f t="shared" ca="1" si="208"/>
        <v>5065387.5029469812</v>
      </c>
      <c r="AF66" s="10">
        <f t="shared" ca="1" si="208"/>
        <v>5227222.5652391221</v>
      </c>
      <c r="AG66" s="10">
        <f t="shared" ca="1" si="208"/>
        <v>5395261.7804944972</v>
      </c>
      <c r="AH66" s="10">
        <f t="shared" ca="1" si="208"/>
        <v>5569794.8345933221</v>
      </c>
      <c r="AI66" s="10">
        <f t="shared" ca="1" si="208"/>
        <v>5751127.8210393889</v>
      </c>
      <c r="AJ66" s="10">
        <f t="shared" ca="1" si="208"/>
        <v>5939584.3248889847</v>
      </c>
      <c r="AK66" s="10">
        <f t="shared" ca="1" si="208"/>
        <v>6135506.5856054341</v>
      </c>
      <c r="AL66" s="10">
        <f t="shared" ca="1" si="208"/>
        <v>6339256.7448892687</v>
      </c>
      <c r="AM66" s="10">
        <f t="shared" ca="1" si="208"/>
        <v>6551218.1860091845</v>
      </c>
    </row>
    <row r="67" spans="1:39" x14ac:dyDescent="0.2">
      <c r="A67" s="5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</row>
    <row r="68" spans="1:39" x14ac:dyDescent="0.2">
      <c r="A68" s="35" t="s">
        <v>87</v>
      </c>
      <c r="C68" s="8">
        <f t="shared" ref="C68:AM68" ca="1" si="209">C53-buffer</f>
        <v>35752.5</v>
      </c>
      <c r="D68" s="8">
        <f t="shared" ca="1" si="209"/>
        <v>64902.8125</v>
      </c>
      <c r="E68" s="8">
        <f t="shared" ca="1" si="209"/>
        <v>74244.712499999994</v>
      </c>
      <c r="F68" s="8">
        <f t="shared" ca="1" si="209"/>
        <v>115351.48395239323</v>
      </c>
      <c r="G68" s="8">
        <f t="shared" ca="1" si="209"/>
        <v>161221.49120440619</v>
      </c>
      <c r="H68" s="8">
        <f t="shared" ca="1" si="209"/>
        <v>221189.83792477695</v>
      </c>
      <c r="I68" s="8">
        <f t="shared" ca="1" si="209"/>
        <v>288035.20366895478</v>
      </c>
      <c r="J68" s="8">
        <f t="shared" ref="J68:AM68" ca="1" si="210">J53-buffer</f>
        <v>340838.42954043212</v>
      </c>
      <c r="K68" s="8">
        <f t="shared" ca="1" si="210"/>
        <v>477397.35493851278</v>
      </c>
      <c r="L68" s="8">
        <f t="shared" ca="1" si="210"/>
        <v>525529.30292301986</v>
      </c>
      <c r="M68" s="8">
        <f t="shared" ca="1" si="210"/>
        <v>629467.06747940183</v>
      </c>
      <c r="N68" s="8">
        <f t="shared" ca="1" si="210"/>
        <v>738996.65788302326</v>
      </c>
      <c r="O68" s="8">
        <f t="shared" ca="1" si="210"/>
        <v>854355.15612641082</v>
      </c>
      <c r="P68" s="8">
        <f t="shared" ca="1" si="210"/>
        <v>975788.67696465331</v>
      </c>
      <c r="Q68" s="8">
        <f t="shared" ca="1" si="210"/>
        <v>1103552.6915839072</v>
      </c>
      <c r="R68" s="8">
        <f t="shared" ca="1" si="210"/>
        <v>1237912.3624140497</v>
      </c>
      <c r="S68" s="8">
        <f t="shared" ca="1" si="210"/>
        <v>1273210.6589462783</v>
      </c>
      <c r="T68" s="8">
        <f t="shared" ca="1" si="210"/>
        <v>1317422.0823162566</v>
      </c>
      <c r="U68" s="8">
        <f t="shared" ca="1" si="210"/>
        <v>1363274.3464270437</v>
      </c>
      <c r="V68" s="8">
        <f t="shared" ca="1" si="210"/>
        <v>1410829.3919630982</v>
      </c>
      <c r="W68" s="8">
        <f t="shared" ca="1" si="210"/>
        <v>1460151.4570412496</v>
      </c>
      <c r="X68" s="8">
        <f t="shared" ca="1" si="210"/>
        <v>1490900.2406538306</v>
      </c>
      <c r="Y68" s="8">
        <f t="shared" ca="1" si="210"/>
        <v>1522531.4010244682</v>
      </c>
      <c r="Z68" s="8">
        <f t="shared" ca="1" si="210"/>
        <v>1555078.31496845</v>
      </c>
      <c r="AA68" s="8">
        <f t="shared" ca="1" si="210"/>
        <v>1588575.7309353678</v>
      </c>
      <c r="AB68" s="8">
        <f t="shared" ca="1" si="210"/>
        <v>1623059.824358695</v>
      </c>
      <c r="AC68" s="8">
        <f t="shared" ca="1" si="210"/>
        <v>1658568.2551444201</v>
      </c>
      <c r="AD68" s="8">
        <f t="shared" ca="1" si="210"/>
        <v>1705000.9649706078</v>
      </c>
      <c r="AE68" s="8">
        <f t="shared" ca="1" si="210"/>
        <v>1753031.0633963605</v>
      </c>
      <c r="AF68" s="8">
        <f t="shared" ca="1" si="210"/>
        <v>1802719.5201560468</v>
      </c>
      <c r="AG68" s="8">
        <f t="shared" ca="1" si="210"/>
        <v>1854129.6587253201</v>
      </c>
      <c r="AH68" s="8">
        <f t="shared" ca="1" si="210"/>
        <v>1907327.2450107713</v>
      </c>
      <c r="AI68" s="8">
        <f t="shared" ca="1" si="210"/>
        <v>1962380.5792762381</v>
      </c>
      <c r="AJ68" s="8">
        <f t="shared" ca="1" si="210"/>
        <v>2019360.5914203662</v>
      </c>
      <c r="AK68" s="8">
        <f t="shared" ca="1" si="210"/>
        <v>2078340.9397239783</v>
      </c>
      <c r="AL68" s="8">
        <f t="shared" ca="1" si="210"/>
        <v>2139398.1131898882</v>
      </c>
      <c r="AM68" s="8">
        <f t="shared" ca="1" si="210"/>
        <v>2202611.5376020237</v>
      </c>
    </row>
    <row r="69" spans="1:39" x14ac:dyDescent="0.2">
      <c r="A69" s="2" t="s">
        <v>21</v>
      </c>
      <c r="C69" s="8">
        <f ca="1">IF(C68&lt;0,-C68,0)</f>
        <v>0</v>
      </c>
      <c r="D69" s="8">
        <f ca="1">IF(D68+SUM($C69:C69)&lt;0,-(D68+SUM($C69:C69)),0)</f>
        <v>0</v>
      </c>
      <c r="E69" s="8">
        <f ca="1">IF(E68+SUM($C69:D69)&lt;0,-(E68+SUM($C69:D69)),0)</f>
        <v>0</v>
      </c>
      <c r="F69" s="8">
        <f ca="1">IF(F68+SUM($C69:E69)&lt;0,-(F68+SUM($C69:E69)),0)</f>
        <v>0</v>
      </c>
      <c r="G69" s="8">
        <f ca="1">IF(G68+SUM($C69:F69)&lt;0,-(G68+SUM($C69:F69)),0)</f>
        <v>0</v>
      </c>
      <c r="H69" s="8">
        <f ca="1">IF(H68+SUM($C69:G69)&lt;0,-(H68+SUM($C69:G69)),0)</f>
        <v>0</v>
      </c>
      <c r="I69" s="8">
        <f ca="1">IF(I68+SUM($C69:H69)&lt;0,-(I68+SUM($C69:H69)),0)</f>
        <v>0</v>
      </c>
      <c r="J69" s="8">
        <f ca="1">IF(J68+SUM($C69:I69)&lt;0,-(J68+SUM($C69:I69)),0)</f>
        <v>0</v>
      </c>
      <c r="K69" s="8">
        <f ca="1">IF(K68+SUM($C69:J69)&lt;0,-(K68+SUM($C69:J69)),0)</f>
        <v>0</v>
      </c>
      <c r="L69" s="8">
        <f ca="1">IF(L68+SUM($C69:K69)&lt;0,-(L68+SUM($C69:K69)),0)</f>
        <v>0</v>
      </c>
      <c r="M69" s="8">
        <f ca="1">IF(M68+SUM($C69:L69)&lt;0,-(M68+SUM($C69:L69)),0)</f>
        <v>0</v>
      </c>
      <c r="N69" s="8">
        <f ca="1">IF(N68+SUM($C69:M69)&lt;0,-(N68+SUM($C69:M69)),0)</f>
        <v>0</v>
      </c>
      <c r="O69" s="8">
        <f ca="1">IF(O68+SUM($C69:N69)&lt;0,-(O68+SUM($C69:N69)),0)</f>
        <v>0</v>
      </c>
      <c r="P69" s="8">
        <f ca="1">IF(P68+SUM($C69:O69)&lt;0,-(P68+SUM($C69:O69)),0)</f>
        <v>0</v>
      </c>
      <c r="Q69" s="8">
        <f ca="1">IF(Q68+SUM($C69:P69)&lt;0,-(Q68+SUM($C69:P69)),0)</f>
        <v>0</v>
      </c>
      <c r="R69" s="8">
        <f ca="1">IF(R68+SUM($C69:Q69)&lt;0,-(R68+SUM($C69:Q69)),0)</f>
        <v>0</v>
      </c>
      <c r="S69" s="8">
        <f ca="1">IF(S68+SUM($C69:R69)&lt;0,-(S68+SUM($C69:R69)),0)</f>
        <v>0</v>
      </c>
      <c r="T69" s="8">
        <f ca="1">IF(T68+SUM($C69:S69)&lt;0,-(T68+SUM($C69:S69)),0)</f>
        <v>0</v>
      </c>
      <c r="U69" s="8">
        <f ca="1">IF(U68+SUM($C69:T69)&lt;0,-(U68+SUM($C69:T69)),0)</f>
        <v>0</v>
      </c>
      <c r="V69" s="8">
        <f ca="1">IF(V68+SUM($C69:U69)&lt;0,-(V68+SUM($C69:U69)),0)</f>
        <v>0</v>
      </c>
      <c r="W69" s="8">
        <f ca="1">IF(W68+SUM($C69:V69)&lt;0,-(W68+SUM($C69:V69)),0)</f>
        <v>0</v>
      </c>
      <c r="X69" s="8">
        <f ca="1">IF(X68+SUM($C69:W69)&lt;0,-(X68+SUM($C69:W69)),0)</f>
        <v>0</v>
      </c>
      <c r="Y69" s="8">
        <f ca="1">IF(Y68+SUM($C69:X69)&lt;0,-(Y68+SUM($C69:X69)),0)</f>
        <v>0</v>
      </c>
      <c r="Z69" s="8">
        <f ca="1">IF(Z68+SUM($C69:Y69)&lt;0,-(Z68+SUM($C69:Y69)),0)</f>
        <v>0</v>
      </c>
      <c r="AA69" s="8">
        <f ca="1">IF(AA68+SUM($C69:Z69)&lt;0,-(AA68+SUM($C69:Z69)),0)</f>
        <v>0</v>
      </c>
      <c r="AB69" s="8">
        <f ca="1">IF(AB68+SUM($C69:AA69)&lt;0,-(AB68+SUM($C69:AA69)),0)</f>
        <v>0</v>
      </c>
      <c r="AC69" s="8">
        <f ca="1">IF(AC68+SUM($C69:AB69)&lt;0,-(AC68+SUM($C69:AB69)),0)</f>
        <v>0</v>
      </c>
      <c r="AD69" s="8">
        <f ca="1">IF(AD68+SUM($C69:AC69)&lt;0,-(AD68+SUM($C69:AC69)),0)</f>
        <v>0</v>
      </c>
      <c r="AE69" s="8">
        <f ca="1">IF(AE68+SUM($C69:AD69)&lt;0,-(AE68+SUM($C69:AD69)),0)</f>
        <v>0</v>
      </c>
      <c r="AF69" s="8">
        <f ca="1">IF(AF68+SUM($C69:AE69)&lt;0,-(AF68+SUM($C69:AE69)),0)</f>
        <v>0</v>
      </c>
      <c r="AG69" s="8">
        <f ca="1">IF(AG68+SUM($C69:AF69)&lt;0,-(AG68+SUM($C69:AF69)),0)</f>
        <v>0</v>
      </c>
      <c r="AH69" s="8">
        <f ca="1">IF(AH68+SUM($C69:AG69)&lt;0,-(AH68+SUM($C69:AG69)),0)</f>
        <v>0</v>
      </c>
      <c r="AI69" s="8">
        <f ca="1">IF(AI68+SUM($C69:AH69)&lt;0,-(AI68+SUM($C69:AH69)),0)</f>
        <v>0</v>
      </c>
      <c r="AJ69" s="8">
        <f ca="1">IF(AJ68+SUM($C69:AI69)&lt;0,-(AJ68+SUM($C69:AI69)),0)</f>
        <v>0</v>
      </c>
      <c r="AK69" s="8">
        <f ca="1">IF(AK68+SUM($C69:AJ69)&lt;0,-(AK68+SUM($C69:AJ69)),0)</f>
        <v>0</v>
      </c>
      <c r="AL69" s="8">
        <f ca="1">IF(AL68+SUM($C69:AK69)&lt;0,-(AL68+SUM($C69:AK69)),0)</f>
        <v>0</v>
      </c>
      <c r="AM69" s="8">
        <f ca="1">IF(AM68+SUM($C69:AL69)&lt;0,-(AM68+SUM($C69:AL69)),0)</f>
        <v>0</v>
      </c>
    </row>
    <row r="70" spans="1:39" x14ac:dyDescent="0.2"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</row>
    <row r="71" spans="1:39" ht="19" x14ac:dyDescent="0.25">
      <c r="A71" s="30" t="s">
        <v>22</v>
      </c>
      <c r="B71" s="31"/>
      <c r="C71" s="32"/>
      <c r="D71" s="33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</row>
    <row r="72" spans="1:39" x14ac:dyDescent="0.2">
      <c r="A72" s="1"/>
      <c r="C72" s="8"/>
      <c r="D72" s="13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</row>
    <row r="73" spans="1:39" x14ac:dyDescent="0.2">
      <c r="A73" s="29" t="s">
        <v>28</v>
      </c>
      <c r="B73" s="31"/>
      <c r="C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</row>
    <row r="74" spans="1:39" x14ac:dyDescent="0.2">
      <c r="A74" s="4" t="s">
        <v>23</v>
      </c>
      <c r="C74" s="8">
        <f>C59</f>
        <v>32400.000000000004</v>
      </c>
      <c r="D74" s="8">
        <f t="shared" ref="D74:AM74" ca="1" si="211">C77</f>
        <v>32400.000000000004</v>
      </c>
      <c r="E74" s="8">
        <f t="shared" ca="1" si="211"/>
        <v>34992.000000000007</v>
      </c>
      <c r="F74" s="8">
        <f t="shared" ca="1" si="211"/>
        <v>37791.360000000008</v>
      </c>
      <c r="G74" s="8">
        <f t="shared" ca="1" si="211"/>
        <v>40814.668800000007</v>
      </c>
      <c r="H74" s="8">
        <f t="shared" ca="1" si="211"/>
        <v>44079.842304000005</v>
      </c>
      <c r="I74" s="8">
        <f t="shared" ca="1" si="211"/>
        <v>47606.229688320003</v>
      </c>
      <c r="J74" s="8">
        <f t="shared" ref="J74" ca="1" si="212">I77</f>
        <v>51414.728063385606</v>
      </c>
      <c r="K74" s="8">
        <f t="shared" ref="K74" ca="1" si="213">J77</f>
        <v>55527.906308456455</v>
      </c>
      <c r="L74" s="8">
        <f t="shared" ref="L74" ca="1" si="214">K77</f>
        <v>59970.138813132973</v>
      </c>
      <c r="M74" s="8">
        <f t="shared" ref="M74" ca="1" si="215">L77</f>
        <v>64767.74991818361</v>
      </c>
      <c r="N74" s="8">
        <f t="shared" ref="N74" ca="1" si="216">M77</f>
        <v>69949.169911638295</v>
      </c>
      <c r="O74" s="8">
        <f t="shared" ref="O74" ca="1" si="217">N77</f>
        <v>75545.103504569357</v>
      </c>
      <c r="P74" s="8">
        <f t="shared" ref="P74" ca="1" si="218">O77</f>
        <v>81588.711784934902</v>
      </c>
      <c r="Q74" s="8">
        <f t="shared" ref="Q74" ca="1" si="219">P77</f>
        <v>88115.808727729687</v>
      </c>
      <c r="R74" s="8">
        <f t="shared" ref="R74" ca="1" si="220">Q77</f>
        <v>95165.073425948067</v>
      </c>
      <c r="S74" s="8">
        <f t="shared" ref="S74" ca="1" si="221">R77</f>
        <v>102778.27930002392</v>
      </c>
      <c r="T74" s="8">
        <f t="shared" ref="T74" ca="1" si="222">S77</f>
        <v>111000.54164402583</v>
      </c>
      <c r="U74" s="8">
        <f t="shared" ref="U74" ca="1" si="223">T77</f>
        <v>119880.5849755479</v>
      </c>
      <c r="V74" s="8">
        <f t="shared" ref="V74" ca="1" si="224">U77</f>
        <v>129471.03177359173</v>
      </c>
      <c r="W74" s="8">
        <f t="shared" ref="W74" ca="1" si="225">V77</f>
        <v>139828.71431547907</v>
      </c>
      <c r="X74" s="8">
        <f t="shared" ref="X74" ca="1" si="226">W77</f>
        <v>151015.01146071739</v>
      </c>
      <c r="Y74" s="8">
        <f t="shared" ref="Y74" ca="1" si="227">X77</f>
        <v>163096.21237757479</v>
      </c>
      <c r="Z74" s="8">
        <f t="shared" ref="Z74" ca="1" si="228">Y77</f>
        <v>176143.90936778078</v>
      </c>
      <c r="AA74" s="8">
        <f t="shared" ref="AA74" ca="1" si="229">Z77</f>
        <v>190235.42211720324</v>
      </c>
      <c r="AB74" s="8">
        <f t="shared" ref="AB74" ca="1" si="230">AA77</f>
        <v>205454.25588657951</v>
      </c>
      <c r="AC74" s="8">
        <f t="shared" ref="AC74" ca="1" si="231">AB77</f>
        <v>221890.59635750588</v>
      </c>
      <c r="AD74" s="8">
        <f t="shared" ref="AD74" ca="1" si="232">AC77</f>
        <v>239641.84406610637</v>
      </c>
      <c r="AE74" s="8">
        <f t="shared" ref="AE74" ca="1" si="233">AD77</f>
        <v>258813.19159139489</v>
      </c>
      <c r="AF74" s="8">
        <f t="shared" ref="AF74" ca="1" si="234">AE77</f>
        <v>279518.24691870646</v>
      </c>
      <c r="AG74" s="8">
        <f t="shared" ref="AG74" ca="1" si="235">AF77</f>
        <v>301879.70667220297</v>
      </c>
      <c r="AH74" s="8">
        <f t="shared" ref="AH74" ca="1" si="236">AG77</f>
        <v>326030.0832059792</v>
      </c>
      <c r="AI74" s="8">
        <f t="shared" ref="AI74" ca="1" si="237">AH77</f>
        <v>352112.48986245756</v>
      </c>
      <c r="AJ74" s="8">
        <f t="shared" ref="AJ74" ca="1" si="238">AI77</f>
        <v>380281.48905145418</v>
      </c>
      <c r="AK74" s="8">
        <f t="shared" ref="AK74" ca="1" si="239">AJ77</f>
        <v>410704.00817557052</v>
      </c>
      <c r="AL74" s="8">
        <f t="shared" ref="AL74" ca="1" si="240">AK77</f>
        <v>443560.32882961619</v>
      </c>
      <c r="AM74" s="8">
        <f t="shared" ref="AM74" ca="1" si="241">AL77</f>
        <v>479045.15513598546</v>
      </c>
    </row>
    <row r="75" spans="1:39" x14ac:dyDescent="0.2">
      <c r="A75" s="4" t="s">
        <v>24</v>
      </c>
      <c r="C75" s="8">
        <f ca="1">-MIN( IF(C74&gt;C69/ (1 - Inputs!$B$161), C69/ (1 - Inputs!$B$161), C74), C74/ (1 - Inputs!$B$161) )</f>
        <v>0</v>
      </c>
      <c r="D75" s="8">
        <f ca="1">-MIN( IF(D74&gt;D69/ (1 - Inputs!$B$161), D69/ (1 - Inputs!$B$161), D74), D74/ (1 - Inputs!$B$161) )</f>
        <v>0</v>
      </c>
      <c r="E75" s="8">
        <f ca="1">-MIN( IF(E74&gt;E69/ (1 - Inputs!$B$161), E69/ (1 - Inputs!$B$161), E74), E74/ (1 - Inputs!$B$161) )</f>
        <v>0</v>
      </c>
      <c r="F75" s="8">
        <f ca="1">-MIN( IF(F74&gt;F69/ (1 - Inputs!$B$161), F69/ (1 - Inputs!$B$161), F74), F74/ (1 - Inputs!$B$161) )</f>
        <v>0</v>
      </c>
      <c r="G75" s="8">
        <f ca="1">-MIN( IF(G74&gt;G69/ (1 - Inputs!$B$161), G69/ (1 - Inputs!$B$161), G74), G74/ (1 - Inputs!$B$161) )</f>
        <v>0</v>
      </c>
      <c r="H75" s="8">
        <f ca="1">-MIN( IF(H74&gt;H69/ (1 - Inputs!$B$161), H69/ (1 - Inputs!$B$161), H74), H74/ (1 - Inputs!$B$161) )</f>
        <v>0</v>
      </c>
      <c r="I75" s="8">
        <f ca="1">-MIN( IF(I74&gt;I69/ (1 - Inputs!$B$161), I69/ (1 - Inputs!$B$161), I74), I74/ (1 - Inputs!$B$161) )</f>
        <v>0</v>
      </c>
      <c r="J75" s="8">
        <f ca="1">-MIN( IF(J74&gt;J69/ (1 - Inputs!$B$161), J69/ (1 - Inputs!$B$161), J74), J74/ (1 - Inputs!$B$161) )</f>
        <v>0</v>
      </c>
      <c r="K75" s="8">
        <f ca="1">-MIN( IF(K74&gt;K69/ (1 - Inputs!$B$161), K69/ (1 - Inputs!$B$161), K74), K74/ (1 - Inputs!$B$161) )</f>
        <v>0</v>
      </c>
      <c r="L75" s="8">
        <f ca="1">-MIN( IF(L74&gt;L69/ (1 - Inputs!$B$161), L69/ (1 - Inputs!$B$161), L74), L74/ (1 - Inputs!$B$161) )</f>
        <v>0</v>
      </c>
      <c r="M75" s="8">
        <f ca="1">-MIN( IF(M74&gt;M69/ (1 - Inputs!$B$161), M69/ (1 - Inputs!$B$161), M74), M74/ (1 - Inputs!$B$161) )</f>
        <v>0</v>
      </c>
      <c r="N75" s="8">
        <f ca="1">-MIN( IF(N74&gt;N69/ (1 - Inputs!$B$161), N69/ (1 - Inputs!$B$161), N74), N74/ (1 - Inputs!$B$161) )</f>
        <v>0</v>
      </c>
      <c r="O75" s="8">
        <f ca="1">-MIN( IF(O74&gt;O69/ (1 - Inputs!$B$161), O69/ (1 - Inputs!$B$161), O74), O74/ (1 - Inputs!$B$161) )</f>
        <v>0</v>
      </c>
      <c r="P75" s="8">
        <f ca="1">-MIN( IF(P74&gt;P69/ (1 - Inputs!$B$161), P69/ (1 - Inputs!$B$161), P74), P74/ (1 - Inputs!$B$161) )</f>
        <v>0</v>
      </c>
      <c r="Q75" s="8">
        <f ca="1">-MIN( IF(Q74&gt;Q69/ (1 - Inputs!$B$161), Q69/ (1 - Inputs!$B$161), Q74), Q74/ (1 - Inputs!$B$161) )</f>
        <v>0</v>
      </c>
      <c r="R75" s="8">
        <f ca="1">-MIN( IF(R74&gt;R69/ (1 - Inputs!$B$161), R69/ (1 - Inputs!$B$161), R74), R74/ (1 - Inputs!$B$161) )</f>
        <v>0</v>
      </c>
      <c r="S75" s="8">
        <f ca="1">-MIN( IF(S74&gt;S69/ (1 - Inputs!$B$161), S69/ (1 - Inputs!$B$161), S74), S74/ (1 - Inputs!$B$161) )</f>
        <v>0</v>
      </c>
      <c r="T75" s="8">
        <f ca="1">-MIN( IF(T74&gt;T69/ (1 - Inputs!$B$161), T69/ (1 - Inputs!$B$161), T74), T74/ (1 - Inputs!$B$161) )</f>
        <v>0</v>
      </c>
      <c r="U75" s="8">
        <f ca="1">-MIN( IF(U74&gt;U69/ (1 - Inputs!$B$161), U69/ (1 - Inputs!$B$161), U74), U74/ (1 - Inputs!$B$161) )</f>
        <v>0</v>
      </c>
      <c r="V75" s="8">
        <f ca="1">-MIN( IF(V74&gt;V69/ (1 - Inputs!$B$161), V69/ (1 - Inputs!$B$161), V74), V74/ (1 - Inputs!$B$161) )</f>
        <v>0</v>
      </c>
      <c r="W75" s="8">
        <f ca="1">-MIN( IF(W74&gt;W69/ (1 - Inputs!$B$161), W69/ (1 - Inputs!$B$161), W74), W74/ (1 - Inputs!$B$161) )</f>
        <v>0</v>
      </c>
      <c r="X75" s="8">
        <f ca="1">-MIN( IF(X74&gt;X69/ (1 - Inputs!$B$161), X69/ (1 - Inputs!$B$161), X74), X74/ (1 - Inputs!$B$161) )</f>
        <v>0</v>
      </c>
      <c r="Y75" s="8">
        <f ca="1">-MIN( IF(Y74&gt;Y69/ (1 - Inputs!$B$161), Y69/ (1 - Inputs!$B$161), Y74), Y74/ (1 - Inputs!$B$161) )</f>
        <v>0</v>
      </c>
      <c r="Z75" s="8">
        <f ca="1">-MIN( IF(Z74&gt;Z69/ (1 - Inputs!$B$161), Z69/ (1 - Inputs!$B$161), Z74), Z74/ (1 - Inputs!$B$161) )</f>
        <v>0</v>
      </c>
      <c r="AA75" s="8">
        <f ca="1">-MIN( IF(AA74&gt;AA69/ (1 - Inputs!$B$161), AA69/ (1 - Inputs!$B$161), AA74), AA74/ (1 - Inputs!$B$161) )</f>
        <v>0</v>
      </c>
      <c r="AB75" s="8">
        <f ca="1">-MIN( IF(AB74&gt;AB69/ (1 - Inputs!$B$161), AB69/ (1 - Inputs!$B$161), AB74), AB74/ (1 - Inputs!$B$161) )</f>
        <v>0</v>
      </c>
      <c r="AC75" s="8">
        <f ca="1">-MIN( IF(AC74&gt;AC69/ (1 - Inputs!$B$161), AC69/ (1 - Inputs!$B$161), AC74), AC74/ (1 - Inputs!$B$161) )</f>
        <v>0</v>
      </c>
      <c r="AD75" s="8">
        <f ca="1">-MIN( IF(AD74&gt;AD69/ (1 - Inputs!$B$161), AD69/ (1 - Inputs!$B$161), AD74), AD74/ (1 - Inputs!$B$161) )</f>
        <v>0</v>
      </c>
      <c r="AE75" s="8">
        <f ca="1">-MIN( IF(AE74&gt;AE69/ (1 - Inputs!$B$161), AE69/ (1 - Inputs!$B$161), AE74), AE74/ (1 - Inputs!$B$161) )</f>
        <v>0</v>
      </c>
      <c r="AF75" s="8">
        <f ca="1">-MIN( IF(AF74&gt;AF69/ (1 - Inputs!$B$161), AF69/ (1 - Inputs!$B$161), AF74), AF74/ (1 - Inputs!$B$161) )</f>
        <v>0</v>
      </c>
      <c r="AG75" s="8">
        <f ca="1">-MIN( IF(AG74&gt;AG69/ (1 - Inputs!$B$161), AG69/ (1 - Inputs!$B$161), AG74), AG74/ (1 - Inputs!$B$161) )</f>
        <v>0</v>
      </c>
      <c r="AH75" s="8">
        <f ca="1">-MIN( IF(AH74&gt;AH69/ (1 - Inputs!$B$161), AH69/ (1 - Inputs!$B$161), AH74), AH74/ (1 - Inputs!$B$161) )</f>
        <v>0</v>
      </c>
      <c r="AI75" s="8">
        <f ca="1">-MIN( IF(AI74&gt;AI69/ (1 - Inputs!$B$161), AI69/ (1 - Inputs!$B$161), AI74), AI74/ (1 - Inputs!$B$161) )</f>
        <v>0</v>
      </c>
      <c r="AJ75" s="8">
        <f ca="1">-MIN( IF(AJ74&gt;AJ69/ (1 - Inputs!$B$161), AJ69/ (1 - Inputs!$B$161), AJ74), AJ74/ (1 - Inputs!$B$161) )</f>
        <v>0</v>
      </c>
      <c r="AK75" s="8">
        <f ca="1">-MIN( IF(AK74&gt;AK69/ (1 - Inputs!$B$161), AK69/ (1 - Inputs!$B$161), AK74), AK74/ (1 - Inputs!$B$161) )</f>
        <v>0</v>
      </c>
      <c r="AL75" s="8">
        <f ca="1">-MIN( IF(AL74&gt;AL69/ (1 - Inputs!$B$161), AL69/ (1 - Inputs!$B$161), AL74), AL74/ (1 - Inputs!$B$161) )</f>
        <v>0</v>
      </c>
      <c r="AM75" s="8">
        <f ca="1">-MIN( IF(AM74&gt;AM69/ (1 - Inputs!$B$161), AM69/ (1 - Inputs!$B$161), AM74), AM74/ (1 - Inputs!$B$161) )</f>
        <v>0</v>
      </c>
    </row>
    <row r="76" spans="1:39" x14ac:dyDescent="0.2">
      <c r="A76" s="4" t="s">
        <v>25</v>
      </c>
      <c r="C76" s="8">
        <v>0</v>
      </c>
      <c r="D76" s="8">
        <f t="shared" ref="D76:G76" ca="1" si="242">SUM(D74:D75)*stinc</f>
        <v>2592.0000000000005</v>
      </c>
      <c r="E76" s="8">
        <f t="shared" ca="1" si="242"/>
        <v>2799.3600000000006</v>
      </c>
      <c r="F76" s="8">
        <f t="shared" ca="1" si="242"/>
        <v>3023.3088000000007</v>
      </c>
      <c r="G76" s="8">
        <f t="shared" ca="1" si="242"/>
        <v>3265.1735040000008</v>
      </c>
      <c r="H76" s="8">
        <f t="shared" ref="H76:AM76" ca="1" si="243">SUM(H74:H75)*stinc</f>
        <v>3526.3873843200004</v>
      </c>
      <c r="I76" s="8">
        <f t="shared" ca="1" si="243"/>
        <v>3808.4983750656002</v>
      </c>
      <c r="J76" s="8">
        <f t="shared" ref="J76:AM76" ca="1" si="244">SUM(J74:J75)*stinc</f>
        <v>4113.1782450708488</v>
      </c>
      <c r="K76" s="8">
        <f t="shared" ca="1" si="244"/>
        <v>4442.2325046765163</v>
      </c>
      <c r="L76" s="8">
        <f t="shared" ca="1" si="244"/>
        <v>4797.6111050506379</v>
      </c>
      <c r="M76" s="8">
        <f t="shared" ca="1" si="244"/>
        <v>5181.4199934546887</v>
      </c>
      <c r="N76" s="8">
        <f t="shared" ca="1" si="244"/>
        <v>5595.9335929310637</v>
      </c>
      <c r="O76" s="8">
        <f t="shared" ca="1" si="244"/>
        <v>6043.608280365549</v>
      </c>
      <c r="P76" s="8">
        <f t="shared" ca="1" si="244"/>
        <v>6527.0969427947921</v>
      </c>
      <c r="Q76" s="8">
        <f t="shared" ca="1" si="244"/>
        <v>7049.2646982183751</v>
      </c>
      <c r="R76" s="8">
        <f t="shared" ca="1" si="244"/>
        <v>7613.2058740758457</v>
      </c>
      <c r="S76" s="8">
        <f t="shared" ca="1" si="244"/>
        <v>8222.2623440019142</v>
      </c>
      <c r="T76" s="8">
        <f t="shared" ca="1" si="244"/>
        <v>8880.0433315220671</v>
      </c>
      <c r="U76" s="8">
        <f t="shared" ca="1" si="244"/>
        <v>9590.446798043833</v>
      </c>
      <c r="V76" s="8">
        <f t="shared" ca="1" si="244"/>
        <v>10357.68254188734</v>
      </c>
      <c r="W76" s="8">
        <f t="shared" ca="1" si="244"/>
        <v>11186.297145238326</v>
      </c>
      <c r="X76" s="8">
        <f t="shared" ca="1" si="244"/>
        <v>12081.200916857391</v>
      </c>
      <c r="Y76" s="8">
        <f t="shared" ca="1" si="244"/>
        <v>13047.696990205983</v>
      </c>
      <c r="Z76" s="8">
        <f t="shared" ca="1" si="244"/>
        <v>14091.512749422463</v>
      </c>
      <c r="AA76" s="8">
        <f t="shared" ca="1" si="244"/>
        <v>15218.833769376259</v>
      </c>
      <c r="AB76" s="8">
        <f t="shared" ca="1" si="244"/>
        <v>16436.340470926363</v>
      </c>
      <c r="AC76" s="8">
        <f t="shared" ca="1" si="244"/>
        <v>17751.247708600473</v>
      </c>
      <c r="AD76" s="8">
        <f t="shared" ca="1" si="244"/>
        <v>19171.347525288511</v>
      </c>
      <c r="AE76" s="8">
        <f t="shared" ca="1" si="244"/>
        <v>20705.055327311591</v>
      </c>
      <c r="AF76" s="8">
        <f t="shared" ca="1" si="244"/>
        <v>22361.459753496518</v>
      </c>
      <c r="AG76" s="8">
        <f t="shared" ca="1" si="244"/>
        <v>24150.376533776238</v>
      </c>
      <c r="AH76" s="8">
        <f t="shared" ca="1" si="244"/>
        <v>26082.406656478335</v>
      </c>
      <c r="AI76" s="8">
        <f t="shared" ca="1" si="244"/>
        <v>28168.999188996604</v>
      </c>
      <c r="AJ76" s="8">
        <f t="shared" ca="1" si="244"/>
        <v>30422.519124116334</v>
      </c>
      <c r="AK76" s="8">
        <f t="shared" ca="1" si="244"/>
        <v>32856.320654045645</v>
      </c>
      <c r="AL76" s="8">
        <f t="shared" ca="1" si="244"/>
        <v>35484.826306369294</v>
      </c>
      <c r="AM76" s="8">
        <f t="shared" ca="1" si="244"/>
        <v>38323.612410878835</v>
      </c>
    </row>
    <row r="77" spans="1:39" x14ac:dyDescent="0.2">
      <c r="A77" s="4" t="s">
        <v>26</v>
      </c>
      <c r="C77" s="8">
        <f ca="1">SUM(C74:C76)</f>
        <v>32400.000000000004</v>
      </c>
      <c r="D77" s="8">
        <f ca="1">SUM(D74:D76)</f>
        <v>34992.000000000007</v>
      </c>
      <c r="E77" s="8">
        <f t="shared" ref="E77:G77" ca="1" si="245">SUM(E74:E76)</f>
        <v>37791.360000000008</v>
      </c>
      <c r="F77" s="8">
        <f t="shared" ca="1" si="245"/>
        <v>40814.668800000007</v>
      </c>
      <c r="G77" s="8">
        <f t="shared" ca="1" si="245"/>
        <v>44079.842304000005</v>
      </c>
      <c r="H77" s="8">
        <f t="shared" ref="H77:AM77" ca="1" si="246">SUM(H74:H76)</f>
        <v>47606.229688320003</v>
      </c>
      <c r="I77" s="8">
        <f t="shared" ca="1" si="246"/>
        <v>51414.728063385606</v>
      </c>
      <c r="J77" s="8">
        <f t="shared" ref="J77:AM77" ca="1" si="247">SUM(J74:J76)</f>
        <v>55527.906308456455</v>
      </c>
      <c r="K77" s="8">
        <f t="shared" ca="1" si="247"/>
        <v>59970.138813132973</v>
      </c>
      <c r="L77" s="8">
        <f t="shared" ca="1" si="247"/>
        <v>64767.74991818361</v>
      </c>
      <c r="M77" s="8">
        <f t="shared" ca="1" si="247"/>
        <v>69949.169911638295</v>
      </c>
      <c r="N77" s="8">
        <f t="shared" ca="1" si="247"/>
        <v>75545.103504569357</v>
      </c>
      <c r="O77" s="8">
        <f t="shared" ca="1" si="247"/>
        <v>81588.711784934902</v>
      </c>
      <c r="P77" s="8">
        <f t="shared" ca="1" si="247"/>
        <v>88115.808727729687</v>
      </c>
      <c r="Q77" s="8">
        <f t="shared" ca="1" si="247"/>
        <v>95165.073425948067</v>
      </c>
      <c r="R77" s="8">
        <f t="shared" ca="1" si="247"/>
        <v>102778.27930002392</v>
      </c>
      <c r="S77" s="8">
        <f t="shared" ca="1" si="247"/>
        <v>111000.54164402583</v>
      </c>
      <c r="T77" s="8">
        <f t="shared" ca="1" si="247"/>
        <v>119880.5849755479</v>
      </c>
      <c r="U77" s="8">
        <f t="shared" ca="1" si="247"/>
        <v>129471.03177359173</v>
      </c>
      <c r="V77" s="8">
        <f t="shared" ca="1" si="247"/>
        <v>139828.71431547907</v>
      </c>
      <c r="W77" s="8">
        <f t="shared" ca="1" si="247"/>
        <v>151015.01146071739</v>
      </c>
      <c r="X77" s="8">
        <f t="shared" ca="1" si="247"/>
        <v>163096.21237757479</v>
      </c>
      <c r="Y77" s="8">
        <f t="shared" ca="1" si="247"/>
        <v>176143.90936778078</v>
      </c>
      <c r="Z77" s="8">
        <f t="shared" ca="1" si="247"/>
        <v>190235.42211720324</v>
      </c>
      <c r="AA77" s="8">
        <f t="shared" ca="1" si="247"/>
        <v>205454.25588657951</v>
      </c>
      <c r="AB77" s="8">
        <f t="shared" ca="1" si="247"/>
        <v>221890.59635750588</v>
      </c>
      <c r="AC77" s="8">
        <f t="shared" ca="1" si="247"/>
        <v>239641.84406610637</v>
      </c>
      <c r="AD77" s="8">
        <f t="shared" ca="1" si="247"/>
        <v>258813.19159139489</v>
      </c>
      <c r="AE77" s="8">
        <f t="shared" ca="1" si="247"/>
        <v>279518.24691870646</v>
      </c>
      <c r="AF77" s="8">
        <f t="shared" ca="1" si="247"/>
        <v>301879.70667220297</v>
      </c>
      <c r="AG77" s="8">
        <f t="shared" ca="1" si="247"/>
        <v>326030.0832059792</v>
      </c>
      <c r="AH77" s="8">
        <f t="shared" ca="1" si="247"/>
        <v>352112.48986245756</v>
      </c>
      <c r="AI77" s="8">
        <f t="shared" ca="1" si="247"/>
        <v>380281.48905145418</v>
      </c>
      <c r="AJ77" s="8">
        <f t="shared" ca="1" si="247"/>
        <v>410704.00817557052</v>
      </c>
      <c r="AK77" s="8">
        <f t="shared" ca="1" si="247"/>
        <v>443560.32882961619</v>
      </c>
      <c r="AL77" s="8">
        <f t="shared" ca="1" si="247"/>
        <v>479045.15513598546</v>
      </c>
      <c r="AM77" s="8">
        <f t="shared" ca="1" si="247"/>
        <v>517368.76754686428</v>
      </c>
    </row>
    <row r="78" spans="1:39" x14ac:dyDescent="0.2">
      <c r="A78" s="4" t="s">
        <v>27</v>
      </c>
      <c r="C78" s="8">
        <f ca="1">C75*Inputs!$B$161</f>
        <v>0</v>
      </c>
      <c r="D78" s="8">
        <f ca="1">D75*Inputs!$B$161</f>
        <v>0</v>
      </c>
      <c r="E78" s="8">
        <f ca="1">E75*Inputs!$B$161</f>
        <v>0</v>
      </c>
      <c r="F78" s="8">
        <f ca="1">F75*Inputs!$B$161</f>
        <v>0</v>
      </c>
      <c r="G78" s="8">
        <f ca="1">G75*Inputs!$B$161</f>
        <v>0</v>
      </c>
      <c r="H78" s="8">
        <f ca="1">H75*Inputs!$B$161</f>
        <v>0</v>
      </c>
      <c r="I78" s="8">
        <f ca="1">I75*Inputs!$B$161</f>
        <v>0</v>
      </c>
      <c r="J78" s="8">
        <f ca="1">J75*Inputs!$B$161</f>
        <v>0</v>
      </c>
      <c r="K78" s="8">
        <f ca="1">K75*Inputs!$B$161</f>
        <v>0</v>
      </c>
      <c r="L78" s="8">
        <f ca="1">L75*Inputs!$B$161</f>
        <v>0</v>
      </c>
      <c r="M78" s="8">
        <f ca="1">M75*Inputs!$B$161</f>
        <v>0</v>
      </c>
      <c r="N78" s="8">
        <f ca="1">N75*Inputs!$B$161</f>
        <v>0</v>
      </c>
      <c r="O78" s="8">
        <f ca="1">O75*Inputs!$B$161</f>
        <v>0</v>
      </c>
      <c r="P78" s="8">
        <f ca="1">P75*Inputs!$B$161</f>
        <v>0</v>
      </c>
      <c r="Q78" s="8">
        <f ca="1">Q75*Inputs!$B$161</f>
        <v>0</v>
      </c>
      <c r="R78" s="8">
        <f ca="1">R75*Inputs!$B$161</f>
        <v>0</v>
      </c>
      <c r="S78" s="8">
        <f ca="1">S75*Inputs!$B$161</f>
        <v>0</v>
      </c>
      <c r="T78" s="8">
        <f ca="1">T75*Inputs!$B$161</f>
        <v>0</v>
      </c>
      <c r="U78" s="8">
        <f ca="1">U75*Inputs!$B$161</f>
        <v>0</v>
      </c>
      <c r="V78" s="8">
        <f ca="1">V75*Inputs!$B$161</f>
        <v>0</v>
      </c>
      <c r="W78" s="8">
        <f ca="1">W75*Inputs!$B$161</f>
        <v>0</v>
      </c>
      <c r="X78" s="8">
        <f ca="1">X75*Inputs!$B$161</f>
        <v>0</v>
      </c>
      <c r="Y78" s="8">
        <f ca="1">Y75*Inputs!$B$161</f>
        <v>0</v>
      </c>
      <c r="Z78" s="8">
        <f ca="1">Z75*Inputs!$B$161</f>
        <v>0</v>
      </c>
      <c r="AA78" s="8">
        <f ca="1">AA75*Inputs!$B$161</f>
        <v>0</v>
      </c>
      <c r="AB78" s="8">
        <f ca="1">AB75*Inputs!$B$161</f>
        <v>0</v>
      </c>
      <c r="AC78" s="8">
        <f ca="1">AC75*Inputs!$B$161</f>
        <v>0</v>
      </c>
      <c r="AD78" s="8">
        <f ca="1">AD75*Inputs!$B$161</f>
        <v>0</v>
      </c>
      <c r="AE78" s="8">
        <f ca="1">AE75*Inputs!$B$161</f>
        <v>0</v>
      </c>
      <c r="AF78" s="8">
        <f ca="1">AF75*Inputs!$B$161</f>
        <v>0</v>
      </c>
      <c r="AG78" s="8">
        <f ca="1">AG75*Inputs!$B$161</f>
        <v>0</v>
      </c>
      <c r="AH78" s="8">
        <f ca="1">AH75*Inputs!$B$161</f>
        <v>0</v>
      </c>
      <c r="AI78" s="8">
        <f ca="1">AI75*Inputs!$B$161</f>
        <v>0</v>
      </c>
      <c r="AJ78" s="8">
        <f ca="1">AJ75*Inputs!$B$161</f>
        <v>0</v>
      </c>
      <c r="AK78" s="8">
        <f ca="1">AK75*Inputs!$B$161</f>
        <v>0</v>
      </c>
      <c r="AL78" s="8">
        <f ca="1">AL75*Inputs!$B$161</f>
        <v>0</v>
      </c>
      <c r="AM78" s="8">
        <f ca="1">AM75*Inputs!$B$161</f>
        <v>0</v>
      </c>
    </row>
    <row r="79" spans="1:39" x14ac:dyDescent="0.2">
      <c r="A79" s="4" t="s">
        <v>41</v>
      </c>
      <c r="C79" s="8">
        <f ca="1">-C75+C78</f>
        <v>0</v>
      </c>
      <c r="D79" s="8">
        <f t="shared" ref="D79:G79" ca="1" si="248">-D75+D78</f>
        <v>0</v>
      </c>
      <c r="E79" s="8">
        <f t="shared" ca="1" si="248"/>
        <v>0</v>
      </c>
      <c r="F79" s="8">
        <f t="shared" ca="1" si="248"/>
        <v>0</v>
      </c>
      <c r="G79" s="8">
        <f t="shared" ca="1" si="248"/>
        <v>0</v>
      </c>
      <c r="H79" s="8">
        <f t="shared" ref="H79:AM79" ca="1" si="249">-H75+H78</f>
        <v>0</v>
      </c>
      <c r="I79" s="8">
        <f t="shared" ca="1" si="249"/>
        <v>0</v>
      </c>
      <c r="J79" s="8">
        <f t="shared" ref="J79:AM79" ca="1" si="250">-J75+J78</f>
        <v>0</v>
      </c>
      <c r="K79" s="8">
        <f t="shared" ca="1" si="250"/>
        <v>0</v>
      </c>
      <c r="L79" s="8">
        <f t="shared" ca="1" si="250"/>
        <v>0</v>
      </c>
      <c r="M79" s="8">
        <f t="shared" ca="1" si="250"/>
        <v>0</v>
      </c>
      <c r="N79" s="8">
        <f t="shared" ca="1" si="250"/>
        <v>0</v>
      </c>
      <c r="O79" s="8">
        <f t="shared" ca="1" si="250"/>
        <v>0</v>
      </c>
      <c r="P79" s="8">
        <f t="shared" ca="1" si="250"/>
        <v>0</v>
      </c>
      <c r="Q79" s="8">
        <f t="shared" ca="1" si="250"/>
        <v>0</v>
      </c>
      <c r="R79" s="8">
        <f t="shared" ca="1" si="250"/>
        <v>0</v>
      </c>
      <c r="S79" s="8">
        <f t="shared" ca="1" si="250"/>
        <v>0</v>
      </c>
      <c r="T79" s="8">
        <f t="shared" ca="1" si="250"/>
        <v>0</v>
      </c>
      <c r="U79" s="8">
        <f t="shared" ca="1" si="250"/>
        <v>0</v>
      </c>
      <c r="V79" s="8">
        <f t="shared" ca="1" si="250"/>
        <v>0</v>
      </c>
      <c r="W79" s="8">
        <f t="shared" ca="1" si="250"/>
        <v>0</v>
      </c>
      <c r="X79" s="8">
        <f t="shared" ca="1" si="250"/>
        <v>0</v>
      </c>
      <c r="Y79" s="8">
        <f t="shared" ca="1" si="250"/>
        <v>0</v>
      </c>
      <c r="Z79" s="8">
        <f t="shared" ca="1" si="250"/>
        <v>0</v>
      </c>
      <c r="AA79" s="8">
        <f t="shared" ca="1" si="250"/>
        <v>0</v>
      </c>
      <c r="AB79" s="8">
        <f t="shared" ca="1" si="250"/>
        <v>0</v>
      </c>
      <c r="AC79" s="8">
        <f t="shared" ca="1" si="250"/>
        <v>0</v>
      </c>
      <c r="AD79" s="8">
        <f t="shared" ca="1" si="250"/>
        <v>0</v>
      </c>
      <c r="AE79" s="8">
        <f t="shared" ca="1" si="250"/>
        <v>0</v>
      </c>
      <c r="AF79" s="8">
        <f t="shared" ca="1" si="250"/>
        <v>0</v>
      </c>
      <c r="AG79" s="8">
        <f t="shared" ca="1" si="250"/>
        <v>0</v>
      </c>
      <c r="AH79" s="8">
        <f t="shared" ca="1" si="250"/>
        <v>0</v>
      </c>
      <c r="AI79" s="8">
        <f t="shared" ca="1" si="250"/>
        <v>0</v>
      </c>
      <c r="AJ79" s="8">
        <f t="shared" ca="1" si="250"/>
        <v>0</v>
      </c>
      <c r="AK79" s="8">
        <f t="shared" ca="1" si="250"/>
        <v>0</v>
      </c>
      <c r="AL79" s="8">
        <f t="shared" ca="1" si="250"/>
        <v>0</v>
      </c>
      <c r="AM79" s="8">
        <f t="shared" ca="1" si="250"/>
        <v>0</v>
      </c>
    </row>
    <row r="80" spans="1:39" x14ac:dyDescent="0.2">
      <c r="A80" s="5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</row>
    <row r="81" spans="1:39" x14ac:dyDescent="0.2">
      <c r="A81" s="4" t="s">
        <v>87</v>
      </c>
      <c r="C81" s="8">
        <f ca="1">C68+SUM($C79:C79)</f>
        <v>35752.5</v>
      </c>
      <c r="D81" s="8">
        <f ca="1">D68+SUM($C79:D79)</f>
        <v>64902.8125</v>
      </c>
      <c r="E81" s="8">
        <f ca="1">E68+SUM($C79:E79)</f>
        <v>74244.712499999994</v>
      </c>
      <c r="F81" s="8">
        <f ca="1">F68+SUM($C79:F79)</f>
        <v>115351.48395239323</v>
      </c>
      <c r="G81" s="8">
        <f ca="1">G68+SUM($C79:G79)</f>
        <v>161221.49120440619</v>
      </c>
      <c r="H81" s="8">
        <f ca="1">H68+SUM($C79:H79)</f>
        <v>221189.83792477695</v>
      </c>
      <c r="I81" s="8">
        <f ca="1">I68+SUM($C79:I79)</f>
        <v>288035.20366895478</v>
      </c>
      <c r="J81" s="8">
        <f ca="1">J68+SUM($C79:J79)</f>
        <v>340838.42954043212</v>
      </c>
      <c r="K81" s="8">
        <f ca="1">K68+SUM($C79:K79)</f>
        <v>477397.35493851278</v>
      </c>
      <c r="L81" s="8">
        <f ca="1">L68+SUM($C79:L79)</f>
        <v>525529.30292301986</v>
      </c>
      <c r="M81" s="8">
        <f ca="1">M68+SUM($C79:M79)</f>
        <v>629467.06747940183</v>
      </c>
      <c r="N81" s="8">
        <f ca="1">N68+SUM($C79:N79)</f>
        <v>738996.65788302326</v>
      </c>
      <c r="O81" s="8">
        <f ca="1">O68+SUM($C79:O79)</f>
        <v>854355.15612641082</v>
      </c>
      <c r="P81" s="8">
        <f ca="1">P68+SUM($C79:P79)</f>
        <v>975788.67696465331</v>
      </c>
      <c r="Q81" s="8">
        <f ca="1">Q68+SUM($C79:Q79)</f>
        <v>1103552.6915839072</v>
      </c>
      <c r="R81" s="8">
        <f ca="1">R68+SUM($C79:R79)</f>
        <v>1237912.3624140497</v>
      </c>
      <c r="S81" s="8">
        <f ca="1">S68+SUM($C79:S79)</f>
        <v>1273210.6589462783</v>
      </c>
      <c r="T81" s="8">
        <f ca="1">T68+SUM($C79:T79)</f>
        <v>1317422.0823162566</v>
      </c>
      <c r="U81" s="8">
        <f ca="1">U68+SUM($C79:U79)</f>
        <v>1363274.3464270437</v>
      </c>
      <c r="V81" s="8">
        <f ca="1">V68+SUM($C79:V79)</f>
        <v>1410829.3919630982</v>
      </c>
      <c r="W81" s="8">
        <f ca="1">W68+SUM($C79:W79)</f>
        <v>1460151.4570412496</v>
      </c>
      <c r="X81" s="8">
        <f ca="1">X68+SUM($C79:X79)</f>
        <v>1490900.2406538306</v>
      </c>
      <c r="Y81" s="8">
        <f ca="1">Y68+SUM($C79:Y79)</f>
        <v>1522531.4010244682</v>
      </c>
      <c r="Z81" s="8">
        <f ca="1">Z68+SUM($C79:Z79)</f>
        <v>1555078.31496845</v>
      </c>
      <c r="AA81" s="8">
        <f ca="1">AA68+SUM($C79:AA79)</f>
        <v>1588575.7309353678</v>
      </c>
      <c r="AB81" s="8">
        <f ca="1">AB68+SUM($C79:AB79)</f>
        <v>1623059.824358695</v>
      </c>
      <c r="AC81" s="8">
        <f ca="1">AC68+SUM($C79:AC79)</f>
        <v>1658568.2551444201</v>
      </c>
      <c r="AD81" s="8">
        <f ca="1">AD68+SUM($C79:AD79)</f>
        <v>1705000.9649706078</v>
      </c>
      <c r="AE81" s="8">
        <f ca="1">AE68+SUM($C79:AE79)</f>
        <v>1753031.0633963605</v>
      </c>
      <c r="AF81" s="8">
        <f ca="1">AF68+SUM($C79:AF79)</f>
        <v>1802719.5201560468</v>
      </c>
      <c r="AG81" s="8">
        <f ca="1">AG68+SUM($C79:AG79)</f>
        <v>1854129.6587253201</v>
      </c>
      <c r="AH81" s="8">
        <f ca="1">AH68+SUM($C79:AH79)</f>
        <v>1907327.2450107713</v>
      </c>
      <c r="AI81" s="8">
        <f ca="1">AI68+SUM($C79:AI79)</f>
        <v>1962380.5792762381</v>
      </c>
      <c r="AJ81" s="8">
        <f ca="1">AJ68+SUM($C79:AJ79)</f>
        <v>2019360.5914203662</v>
      </c>
      <c r="AK81" s="8">
        <f ca="1">AK68+SUM($C79:AK79)</f>
        <v>2078340.9397239783</v>
      </c>
      <c r="AL81" s="8">
        <f ca="1">AL68+SUM($C79:AL79)</f>
        <v>2139398.1131898882</v>
      </c>
      <c r="AM81" s="8">
        <f ca="1">AM68+SUM($C79:AM79)</f>
        <v>2202611.5376020237</v>
      </c>
    </row>
    <row r="82" spans="1:39" x14ac:dyDescent="0.2">
      <c r="A82" s="4" t="s">
        <v>21</v>
      </c>
      <c r="C82" s="8">
        <f ca="1">IF(C81&lt;0,C81,0)</f>
        <v>0</v>
      </c>
      <c r="D82" s="8">
        <f ca="1">IF(D81+SUM($C82:C82)&lt;0,-(D81+SUM($C82:C82)),0)</f>
        <v>0</v>
      </c>
      <c r="E82" s="8">
        <f ca="1">IF(E81+SUM($C82:D82)&lt;0,-(E81+SUM($C82:D82)),0)</f>
        <v>0</v>
      </c>
      <c r="F82" s="8">
        <f ca="1">IF(F81+SUM($C82:E82)&lt;0,-(F81+SUM($C82:E82)),0)</f>
        <v>0</v>
      </c>
      <c r="G82" s="8">
        <f ca="1">IF(G81+SUM($C82:F82)&lt;0,-(G81+SUM($C82:F82)),0)</f>
        <v>0</v>
      </c>
      <c r="H82" s="8">
        <f ca="1">IF(H81+SUM($C82:G82)&lt;0,-(H81+SUM($C82:G82)),0)</f>
        <v>0</v>
      </c>
      <c r="I82" s="8">
        <f ca="1">IF(I81+SUM($C82:H82)&lt;0,-(I81+SUM($C82:H82)),0)</f>
        <v>0</v>
      </c>
      <c r="J82" s="8">
        <f ca="1">IF(J81+SUM($C82:I82)&lt;0,-(J81+SUM($C82:I82)),0)</f>
        <v>0</v>
      </c>
      <c r="K82" s="8">
        <f ca="1">IF(K81+SUM($C82:J82)&lt;0,-(K81+SUM($C82:J82)),0)</f>
        <v>0</v>
      </c>
      <c r="L82" s="8">
        <f ca="1">IF(L81+SUM($C82:K82)&lt;0,-(L81+SUM($C82:K82)),0)</f>
        <v>0</v>
      </c>
      <c r="M82" s="8">
        <f ca="1">IF(M81+SUM($C82:L82)&lt;0,-(M81+SUM($C82:L82)),0)</f>
        <v>0</v>
      </c>
      <c r="N82" s="8">
        <f ca="1">IF(N81+SUM($C82:M82)&lt;0,-(N81+SUM($C82:M82)),0)</f>
        <v>0</v>
      </c>
      <c r="O82" s="8">
        <f ca="1">IF(O81+SUM($C82:N82)&lt;0,-(O81+SUM($C82:N82)),0)</f>
        <v>0</v>
      </c>
      <c r="P82" s="8">
        <f ca="1">IF(P81+SUM($C82:O82)&lt;0,-(P81+SUM($C82:O82)),0)</f>
        <v>0</v>
      </c>
      <c r="Q82" s="8">
        <f ca="1">IF(Q81+SUM($C82:P82)&lt;0,-(Q81+SUM($C82:P82)),0)</f>
        <v>0</v>
      </c>
      <c r="R82" s="8">
        <f ca="1">IF(R81+SUM($C82:Q82)&lt;0,-(R81+SUM($C82:Q82)),0)</f>
        <v>0</v>
      </c>
      <c r="S82" s="8">
        <f ca="1">IF(S81+SUM($C82:R82)&lt;0,-(S81+SUM($C82:R82)),0)</f>
        <v>0</v>
      </c>
      <c r="T82" s="8">
        <f ca="1">IF(T81+SUM($C82:S82)&lt;0,-(T81+SUM($C82:S82)),0)</f>
        <v>0</v>
      </c>
      <c r="U82" s="8">
        <f ca="1">IF(U81+SUM($C82:T82)&lt;0,-(U81+SUM($C82:T82)),0)</f>
        <v>0</v>
      </c>
      <c r="V82" s="8">
        <f ca="1">IF(V81+SUM($C82:U82)&lt;0,-(V81+SUM($C82:U82)),0)</f>
        <v>0</v>
      </c>
      <c r="W82" s="8">
        <f ca="1">IF(W81+SUM($C82:V82)&lt;0,-(W81+SUM($C82:V82)),0)</f>
        <v>0</v>
      </c>
      <c r="X82" s="8">
        <f ca="1">IF(X81+SUM($C82:W82)&lt;0,-(X81+SUM($C82:W82)),0)</f>
        <v>0</v>
      </c>
      <c r="Y82" s="8">
        <f ca="1">IF(Y81+SUM($C82:X82)&lt;0,-(Y81+SUM($C82:X82)),0)</f>
        <v>0</v>
      </c>
      <c r="Z82" s="8">
        <f ca="1">IF(Z81+SUM($C82:Y82)&lt;0,-(Z81+SUM($C82:Y82)),0)</f>
        <v>0</v>
      </c>
      <c r="AA82" s="8">
        <f ca="1">IF(AA81+SUM($C82:Z82)&lt;0,-(AA81+SUM($C82:Z82)),0)</f>
        <v>0</v>
      </c>
      <c r="AB82" s="8">
        <f ca="1">IF(AB81+SUM($C82:AA82)&lt;0,-(AB81+SUM($C82:AA82)),0)</f>
        <v>0</v>
      </c>
      <c r="AC82" s="8">
        <f ca="1">IF(AC81+SUM($C82:AB82)&lt;0,-(AC81+SUM($C82:AB82)),0)</f>
        <v>0</v>
      </c>
      <c r="AD82" s="8">
        <f ca="1">IF(AD81+SUM($C82:AC82)&lt;0,-(AD81+SUM($C82:AC82)),0)</f>
        <v>0</v>
      </c>
      <c r="AE82" s="8">
        <f ca="1">IF(AE81+SUM($C82:AD82)&lt;0,-(AE81+SUM($C82:AD82)),0)</f>
        <v>0</v>
      </c>
      <c r="AF82" s="8">
        <f ca="1">IF(AF81+SUM($C82:AE82)&lt;0,-(AF81+SUM($C82:AE82)),0)</f>
        <v>0</v>
      </c>
      <c r="AG82" s="8">
        <f ca="1">IF(AG81+SUM($C82:AF82)&lt;0,-(AG81+SUM($C82:AF82)),0)</f>
        <v>0</v>
      </c>
      <c r="AH82" s="8">
        <f ca="1">IF(AH81+SUM($C82:AG82)&lt;0,-(AH81+SUM($C82:AG82)),0)</f>
        <v>0</v>
      </c>
      <c r="AI82" s="8">
        <f ca="1">IF(AI81+SUM($C82:AH82)&lt;0,-(AI81+SUM($C82:AH82)),0)</f>
        <v>0</v>
      </c>
      <c r="AJ82" s="8">
        <f ca="1">IF(AJ81+SUM($C82:AI82)&lt;0,-(AJ81+SUM($C82:AI82)),0)</f>
        <v>0</v>
      </c>
      <c r="AK82" s="8">
        <f ca="1">IF(AK81+SUM($C82:AJ82)&lt;0,-(AK81+SUM($C82:AJ82)),0)</f>
        <v>0</v>
      </c>
      <c r="AL82" s="8">
        <f ca="1">IF(AL81+SUM($C82:AK82)&lt;0,-(AL81+SUM($C82:AK82)),0)</f>
        <v>0</v>
      </c>
      <c r="AM82" s="8">
        <f ca="1">IF(AM81+SUM($C82:AL82)&lt;0,-(AM81+SUM($C82:AL82)),0)</f>
        <v>0</v>
      </c>
    </row>
    <row r="83" spans="1:39" x14ac:dyDescent="0.2">
      <c r="A83" s="4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</row>
    <row r="84" spans="1:39" x14ac:dyDescent="0.2">
      <c r="A84" s="29" t="str">
        <f>IF(Inputs!$B$165=6,IFERROR(_xlfn.XLOOKUP($B84,Inputs!$B$166:$B$168,Inputs!$A$166:$A$168,,0,1),""),IFERROR(_xlfn.XLOOKUP($B84,Inputs!$C$166:$C$168,Inputs!$A$166:$A$168,,0,1),""))</f>
        <v>Gzira</v>
      </c>
      <c r="B84" s="31">
        <v>1</v>
      </c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</row>
    <row r="85" spans="1:39" x14ac:dyDescent="0.2">
      <c r="A85" s="4" t="s">
        <v>23</v>
      </c>
      <c r="C85" s="8">
        <f>IFERROR(VLOOKUP($A84,$A$52:$H$66,C$1+2,FALSE),0)</f>
        <v>154500</v>
      </c>
      <c r="D85" s="8">
        <f ca="1">C88</f>
        <v>154500</v>
      </c>
      <c r="E85" s="8">
        <f t="shared" ref="E85" ca="1" si="251">D88</f>
        <v>159135</v>
      </c>
      <c r="F85" s="8">
        <f t="shared" ref="F85" ca="1" si="252">E88</f>
        <v>163909.04999999999</v>
      </c>
      <c r="G85" s="8">
        <f t="shared" ref="G85:AM85" ca="1" si="253">F88</f>
        <v>168826.32149999999</v>
      </c>
      <c r="H85" s="8">
        <f t="shared" ca="1" si="253"/>
        <v>173891.111145</v>
      </c>
      <c r="I85" s="8">
        <f t="shared" ca="1" si="253"/>
        <v>179107.84447934999</v>
      </c>
      <c r="J85" s="8">
        <f t="shared" ref="J85" ca="1" si="254">I88</f>
        <v>184481.0798137305</v>
      </c>
      <c r="K85" s="8">
        <f t="shared" ref="K85" ca="1" si="255">J88</f>
        <v>190015.51220814241</v>
      </c>
      <c r="L85" s="8">
        <f t="shared" ref="L85" ca="1" si="256">K88</f>
        <v>195715.97757438666</v>
      </c>
      <c r="M85" s="8">
        <f t="shared" ref="M85" ca="1" si="257">L88</f>
        <v>201587.45690161825</v>
      </c>
      <c r="N85" s="8">
        <f t="shared" ref="N85" ca="1" si="258">M88</f>
        <v>207635.08060866679</v>
      </c>
      <c r="O85" s="8">
        <f t="shared" ref="O85" ca="1" si="259">N88</f>
        <v>213864.13302692678</v>
      </c>
      <c r="P85" s="8">
        <f t="shared" ref="P85" ca="1" si="260">O88</f>
        <v>220280.05701773459</v>
      </c>
      <c r="Q85" s="8">
        <f t="shared" ref="Q85" ca="1" si="261">P88</f>
        <v>226888.45872826662</v>
      </c>
      <c r="R85" s="8">
        <f t="shared" ref="R85" ca="1" si="262">Q88</f>
        <v>233695.11249011461</v>
      </c>
      <c r="S85" s="8">
        <f t="shared" ref="S85" ca="1" si="263">R88</f>
        <v>240705.96586481805</v>
      </c>
      <c r="T85" s="8">
        <f t="shared" ref="T85" ca="1" si="264">S88</f>
        <v>247927.1448407626</v>
      </c>
      <c r="U85" s="8">
        <f t="shared" ref="U85" ca="1" si="265">T88</f>
        <v>255364.95918598547</v>
      </c>
      <c r="V85" s="8">
        <f t="shared" ref="V85" ca="1" si="266">U88</f>
        <v>263025.90796156501</v>
      </c>
      <c r="W85" s="8">
        <f t="shared" ref="W85" ca="1" si="267">V88</f>
        <v>270916.68520041194</v>
      </c>
      <c r="X85" s="8">
        <f t="shared" ref="X85" ca="1" si="268">W88</f>
        <v>279044.18575642433</v>
      </c>
      <c r="Y85" s="8">
        <f t="shared" ref="Y85" ca="1" si="269">X88</f>
        <v>287415.51132911706</v>
      </c>
      <c r="Z85" s="8">
        <f t="shared" ref="Z85" ca="1" si="270">Y88</f>
        <v>296037.97666899057</v>
      </c>
      <c r="AA85" s="8">
        <f t="shared" ref="AA85" ca="1" si="271">Z88</f>
        <v>304919.11596906028</v>
      </c>
      <c r="AB85" s="8">
        <f t="shared" ref="AB85" ca="1" si="272">AA88</f>
        <v>314066.68944813206</v>
      </c>
      <c r="AC85" s="8">
        <f t="shared" ref="AC85" ca="1" si="273">AB88</f>
        <v>323488.69013157603</v>
      </c>
      <c r="AD85" s="8">
        <f t="shared" ref="AD85" ca="1" si="274">AC88</f>
        <v>333193.35083552334</v>
      </c>
      <c r="AE85" s="8">
        <f t="shared" ref="AE85" ca="1" si="275">AD88</f>
        <v>343189.15136058902</v>
      </c>
      <c r="AF85" s="8">
        <f t="shared" ref="AF85" ca="1" si="276">AE88</f>
        <v>353484.8259014067</v>
      </c>
      <c r="AG85" s="8">
        <f t="shared" ref="AG85" ca="1" si="277">AF88</f>
        <v>364089.37067844887</v>
      </c>
      <c r="AH85" s="8">
        <f t="shared" ref="AH85" ca="1" si="278">AG88</f>
        <v>375012.05179880233</v>
      </c>
      <c r="AI85" s="8">
        <f t="shared" ref="AI85" ca="1" si="279">AH88</f>
        <v>386262.41335276642</v>
      </c>
      <c r="AJ85" s="8">
        <f t="shared" ref="AJ85" ca="1" si="280">AI88</f>
        <v>397850.28575334942</v>
      </c>
      <c r="AK85" s="8">
        <f t="shared" ref="AK85" ca="1" si="281">AJ88</f>
        <v>409785.79432594992</v>
      </c>
      <c r="AL85" s="8">
        <f t="shared" ref="AL85" ca="1" si="282">AK88</f>
        <v>422079.36815572839</v>
      </c>
      <c r="AM85" s="8">
        <f t="shared" ref="AM85" ca="1" si="283">AL88</f>
        <v>434741.74920040026</v>
      </c>
    </row>
    <row r="86" spans="1:39" x14ac:dyDescent="0.2">
      <c r="A86" s="4" t="s">
        <v>24</v>
      </c>
      <c r="C86" s="8">
        <f ca="1">-IF(SUM(C82:D82)&gt;0,C85,0)</f>
        <v>0</v>
      </c>
      <c r="D86" s="8">
        <f ca="1">-IF(E82&gt;0,D85,0)</f>
        <v>0</v>
      </c>
      <c r="E86" s="8">
        <f ca="1">-IF(F82&gt;0,E85,0)</f>
        <v>0</v>
      </c>
      <c r="F86" s="8">
        <f ca="1">-IF(G82&gt;0,F85,0)</f>
        <v>0</v>
      </c>
      <c r="G86" s="8">
        <f t="shared" ref="G86:AL86" ca="1" si="284">-IF(H82&gt;0,G85,0)</f>
        <v>0</v>
      </c>
      <c r="H86" s="8">
        <f t="shared" ca="1" si="284"/>
        <v>0</v>
      </c>
      <c r="I86" s="8">
        <f t="shared" ca="1" si="284"/>
        <v>0</v>
      </c>
      <c r="J86" s="8">
        <f t="shared" ref="J86" ca="1" si="285">-IF(K82&gt;0,J85,0)</f>
        <v>0</v>
      </c>
      <c r="K86" s="8">
        <f t="shared" ref="K86" ca="1" si="286">-IF(L82&gt;0,K85,0)</f>
        <v>0</v>
      </c>
      <c r="L86" s="8">
        <f t="shared" ref="L86" ca="1" si="287">-IF(M82&gt;0,L85,0)</f>
        <v>0</v>
      </c>
      <c r="M86" s="8">
        <f t="shared" ref="M86" ca="1" si="288">-IF(N82&gt;0,M85,0)</f>
        <v>0</v>
      </c>
      <c r="N86" s="8">
        <f t="shared" ref="N86" ca="1" si="289">-IF(O82&gt;0,N85,0)</f>
        <v>0</v>
      </c>
      <c r="O86" s="8">
        <f t="shared" ref="O86" ca="1" si="290">-IF(P82&gt;0,O85,0)</f>
        <v>0</v>
      </c>
      <c r="P86" s="8">
        <f t="shared" ref="P86" ca="1" si="291">-IF(Q82&gt;0,P85,0)</f>
        <v>0</v>
      </c>
      <c r="Q86" s="8">
        <f t="shared" ref="Q86" ca="1" si="292">-IF(R82&gt;0,Q85,0)</f>
        <v>0</v>
      </c>
      <c r="R86" s="8">
        <f t="shared" ref="R86" ca="1" si="293">-IF(S82&gt;0,R85,0)</f>
        <v>0</v>
      </c>
      <c r="S86" s="8">
        <f t="shared" ref="S86" ca="1" si="294">-IF(T82&gt;0,S85,0)</f>
        <v>0</v>
      </c>
      <c r="T86" s="8">
        <f t="shared" ref="T86" ca="1" si="295">-IF(U82&gt;0,T85,0)</f>
        <v>0</v>
      </c>
      <c r="U86" s="8">
        <f t="shared" ref="U86" ca="1" si="296">-IF(V82&gt;0,U85,0)</f>
        <v>0</v>
      </c>
      <c r="V86" s="8">
        <f t="shared" ref="V86" ca="1" si="297">-IF(W82&gt;0,V85,0)</f>
        <v>0</v>
      </c>
      <c r="W86" s="8">
        <f t="shared" ref="W86" ca="1" si="298">-IF(X82&gt;0,W85,0)</f>
        <v>0</v>
      </c>
      <c r="X86" s="8">
        <f t="shared" ref="X86" ca="1" si="299">-IF(Y82&gt;0,X85,0)</f>
        <v>0</v>
      </c>
      <c r="Y86" s="8">
        <f t="shared" ref="Y86" ca="1" si="300">-IF(Z82&gt;0,Y85,0)</f>
        <v>0</v>
      </c>
      <c r="Z86" s="8">
        <f t="shared" ref="Z86" ca="1" si="301">-IF(AA82&gt;0,Z85,0)</f>
        <v>0</v>
      </c>
      <c r="AA86" s="8">
        <f t="shared" ref="AA86" ca="1" si="302">-IF(AB82&gt;0,AA85,0)</f>
        <v>0</v>
      </c>
      <c r="AB86" s="8">
        <f t="shared" ref="AB86" ca="1" si="303">-IF(AC82&gt;0,AB85,0)</f>
        <v>0</v>
      </c>
      <c r="AC86" s="8">
        <f t="shared" ref="AC86" ca="1" si="304">-IF(AD82&gt;0,AC85,0)</f>
        <v>0</v>
      </c>
      <c r="AD86" s="8">
        <f t="shared" ref="AD86" ca="1" si="305">-IF(AE82&gt;0,AD85,0)</f>
        <v>0</v>
      </c>
      <c r="AE86" s="8">
        <f t="shared" ref="AE86" ca="1" si="306">-IF(AF82&gt;0,AE85,0)</f>
        <v>0</v>
      </c>
      <c r="AF86" s="8">
        <f t="shared" ref="AF86" ca="1" si="307">-IF(AG82&gt;0,AF85,0)</f>
        <v>0</v>
      </c>
      <c r="AG86" s="8">
        <f t="shared" ref="AG86" ca="1" si="308">-IF(AH82&gt;0,AG85,0)</f>
        <v>0</v>
      </c>
      <c r="AH86" s="8">
        <f t="shared" ref="AH86" ca="1" si="309">-IF(AI82&gt;0,AH85,0)</f>
        <v>0</v>
      </c>
      <c r="AI86" s="8">
        <f t="shared" ref="AI86" ca="1" si="310">-IF(AJ82&gt;0,AI85,0)</f>
        <v>0</v>
      </c>
      <c r="AJ86" s="8">
        <f t="shared" ref="AJ86" ca="1" si="311">-IF(AK82&gt;0,AJ85,0)</f>
        <v>0</v>
      </c>
      <c r="AK86" s="8">
        <f t="shared" ref="AK86" ca="1" si="312">-IF(AL82&gt;0,AK85,0)</f>
        <v>0</v>
      </c>
      <c r="AL86" s="8">
        <f t="shared" ref="AL86" ca="1" si="313">-IF(AM82&gt;0,AL85,0)</f>
        <v>0</v>
      </c>
      <c r="AM86" s="8">
        <f t="shared" ref="AM86" si="314">-IF(AN82&gt;0,AM85,0)</f>
        <v>0</v>
      </c>
    </row>
    <row r="87" spans="1:39" x14ac:dyDescent="0.2">
      <c r="A87" s="4" t="s">
        <v>25</v>
      </c>
      <c r="C87" s="8">
        <v>0</v>
      </c>
      <c r="D87" s="8">
        <f t="shared" ref="D87:G87" ca="1" si="315">SUM(D85:D86)*princ</f>
        <v>4635</v>
      </c>
      <c r="E87" s="8">
        <f t="shared" ca="1" si="315"/>
        <v>4774.05</v>
      </c>
      <c r="F87" s="8">
        <f t="shared" ca="1" si="315"/>
        <v>4917.2714999999998</v>
      </c>
      <c r="G87" s="8">
        <f t="shared" ca="1" si="315"/>
        <v>5064.7896449999998</v>
      </c>
      <c r="H87" s="8">
        <f t="shared" ref="H87:AM87" ca="1" si="316">SUM(H85:H86)*princ</f>
        <v>5216.7333343499995</v>
      </c>
      <c r="I87" s="8">
        <f t="shared" ca="1" si="316"/>
        <v>5373.2353343804998</v>
      </c>
      <c r="J87" s="8">
        <f t="shared" ref="J87:AM87" ca="1" si="317">SUM(J85:J86)*princ</f>
        <v>5534.4323944119151</v>
      </c>
      <c r="K87" s="8">
        <f t="shared" ca="1" si="317"/>
        <v>5700.4653662442715</v>
      </c>
      <c r="L87" s="8">
        <f t="shared" ca="1" si="317"/>
        <v>5871.4793272316001</v>
      </c>
      <c r="M87" s="8">
        <f t="shared" ca="1" si="317"/>
        <v>6047.6237070485477</v>
      </c>
      <c r="N87" s="8">
        <f t="shared" ca="1" si="317"/>
        <v>6229.0524182600038</v>
      </c>
      <c r="O87" s="8">
        <f t="shared" ca="1" si="317"/>
        <v>6415.9239908078034</v>
      </c>
      <c r="P87" s="8">
        <f t="shared" ca="1" si="317"/>
        <v>6608.4017105320372</v>
      </c>
      <c r="Q87" s="8">
        <f t="shared" ca="1" si="317"/>
        <v>6806.6537618479979</v>
      </c>
      <c r="R87" s="8">
        <f t="shared" ca="1" si="317"/>
        <v>7010.853374703438</v>
      </c>
      <c r="S87" s="8">
        <f t="shared" ca="1" si="317"/>
        <v>7221.178975944541</v>
      </c>
      <c r="T87" s="8">
        <f t="shared" ca="1" si="317"/>
        <v>7437.8143452228778</v>
      </c>
      <c r="U87" s="8">
        <f t="shared" ca="1" si="317"/>
        <v>7660.9487755795635</v>
      </c>
      <c r="V87" s="8">
        <f t="shared" ca="1" si="317"/>
        <v>7890.7772388469502</v>
      </c>
      <c r="W87" s="8">
        <f t="shared" ca="1" si="317"/>
        <v>8127.5005560123582</v>
      </c>
      <c r="X87" s="8">
        <f t="shared" ca="1" si="317"/>
        <v>8371.3255726927291</v>
      </c>
      <c r="Y87" s="8">
        <f t="shared" ca="1" si="317"/>
        <v>8622.4653398735118</v>
      </c>
      <c r="Z87" s="8">
        <f t="shared" ca="1" si="317"/>
        <v>8881.1393000697171</v>
      </c>
      <c r="AA87" s="8">
        <f t="shared" ca="1" si="317"/>
        <v>9147.5734790718088</v>
      </c>
      <c r="AB87" s="8">
        <f t="shared" ca="1" si="317"/>
        <v>9422.000683443961</v>
      </c>
      <c r="AC87" s="8">
        <f t="shared" ca="1" si="317"/>
        <v>9704.6607039472801</v>
      </c>
      <c r="AD87" s="8">
        <f t="shared" ca="1" si="317"/>
        <v>9995.8005250656988</v>
      </c>
      <c r="AE87" s="8">
        <f t="shared" ca="1" si="317"/>
        <v>10295.67454081767</v>
      </c>
      <c r="AF87" s="8">
        <f t="shared" ca="1" si="317"/>
        <v>10604.544777042202</v>
      </c>
      <c r="AG87" s="8">
        <f t="shared" ca="1" si="317"/>
        <v>10922.681120353465</v>
      </c>
      <c r="AH87" s="8">
        <f t="shared" ca="1" si="317"/>
        <v>11250.36155396407</v>
      </c>
      <c r="AI87" s="8">
        <f t="shared" ca="1" si="317"/>
        <v>11587.872400582992</v>
      </c>
      <c r="AJ87" s="8">
        <f t="shared" ca="1" si="317"/>
        <v>11935.508572600482</v>
      </c>
      <c r="AK87" s="8">
        <f t="shared" ca="1" si="317"/>
        <v>12293.573829778497</v>
      </c>
      <c r="AL87" s="8">
        <f t="shared" ca="1" si="317"/>
        <v>12662.381044671851</v>
      </c>
      <c r="AM87" s="8">
        <f t="shared" ca="1" si="317"/>
        <v>13042.252476012007</v>
      </c>
    </row>
    <row r="88" spans="1:39" x14ac:dyDescent="0.2">
      <c r="A88" s="4" t="s">
        <v>26</v>
      </c>
      <c r="C88" s="8">
        <f ca="1">SUM(C85:C87)</f>
        <v>154500</v>
      </c>
      <c r="D88" s="8">
        <f t="shared" ref="D88" ca="1" si="318">SUM(D85:D87)</f>
        <v>159135</v>
      </c>
      <c r="E88" s="8">
        <f t="shared" ref="E88" ca="1" si="319">SUM(E85:E87)</f>
        <v>163909.04999999999</v>
      </c>
      <c r="F88" s="8">
        <f t="shared" ref="F88" ca="1" si="320">SUM(F85:F87)</f>
        <v>168826.32149999999</v>
      </c>
      <c r="G88" s="8">
        <f t="shared" ref="G88" ca="1" si="321">SUM(G85:G87)</f>
        <v>173891.111145</v>
      </c>
      <c r="H88" s="8">
        <f t="shared" ref="H88:AM88" ca="1" si="322">SUM(H85:H87)</f>
        <v>179107.84447934999</v>
      </c>
      <c r="I88" s="8">
        <f t="shared" ca="1" si="322"/>
        <v>184481.0798137305</v>
      </c>
      <c r="J88" s="8">
        <f t="shared" ref="J88:AM88" ca="1" si="323">SUM(J85:J87)</f>
        <v>190015.51220814241</v>
      </c>
      <c r="K88" s="8">
        <f t="shared" ca="1" si="323"/>
        <v>195715.97757438666</v>
      </c>
      <c r="L88" s="8">
        <f t="shared" ca="1" si="323"/>
        <v>201587.45690161825</v>
      </c>
      <c r="M88" s="8">
        <f t="shared" ca="1" si="323"/>
        <v>207635.08060866679</v>
      </c>
      <c r="N88" s="8">
        <f t="shared" ca="1" si="323"/>
        <v>213864.13302692678</v>
      </c>
      <c r="O88" s="8">
        <f t="shared" ca="1" si="323"/>
        <v>220280.05701773459</v>
      </c>
      <c r="P88" s="8">
        <f t="shared" ca="1" si="323"/>
        <v>226888.45872826662</v>
      </c>
      <c r="Q88" s="8">
        <f t="shared" ca="1" si="323"/>
        <v>233695.11249011461</v>
      </c>
      <c r="R88" s="8">
        <f t="shared" ca="1" si="323"/>
        <v>240705.96586481805</v>
      </c>
      <c r="S88" s="8">
        <f t="shared" ca="1" si="323"/>
        <v>247927.1448407626</v>
      </c>
      <c r="T88" s="8">
        <f t="shared" ca="1" si="323"/>
        <v>255364.95918598547</v>
      </c>
      <c r="U88" s="8">
        <f t="shared" ca="1" si="323"/>
        <v>263025.90796156501</v>
      </c>
      <c r="V88" s="8">
        <f t="shared" ca="1" si="323"/>
        <v>270916.68520041194</v>
      </c>
      <c r="W88" s="8">
        <f t="shared" ca="1" si="323"/>
        <v>279044.18575642433</v>
      </c>
      <c r="X88" s="8">
        <f t="shared" ca="1" si="323"/>
        <v>287415.51132911706</v>
      </c>
      <c r="Y88" s="8">
        <f t="shared" ca="1" si="323"/>
        <v>296037.97666899057</v>
      </c>
      <c r="Z88" s="8">
        <f t="shared" ca="1" si="323"/>
        <v>304919.11596906028</v>
      </c>
      <c r="AA88" s="8">
        <f t="shared" ca="1" si="323"/>
        <v>314066.68944813206</v>
      </c>
      <c r="AB88" s="8">
        <f t="shared" ca="1" si="323"/>
        <v>323488.69013157603</v>
      </c>
      <c r="AC88" s="8">
        <f t="shared" ca="1" si="323"/>
        <v>333193.35083552334</v>
      </c>
      <c r="AD88" s="8">
        <f t="shared" ca="1" si="323"/>
        <v>343189.15136058902</v>
      </c>
      <c r="AE88" s="8">
        <f t="shared" ca="1" si="323"/>
        <v>353484.8259014067</v>
      </c>
      <c r="AF88" s="8">
        <f t="shared" ca="1" si="323"/>
        <v>364089.37067844887</v>
      </c>
      <c r="AG88" s="8">
        <f t="shared" ca="1" si="323"/>
        <v>375012.05179880233</v>
      </c>
      <c r="AH88" s="8">
        <f t="shared" ca="1" si="323"/>
        <v>386262.41335276642</v>
      </c>
      <c r="AI88" s="8">
        <f t="shared" ca="1" si="323"/>
        <v>397850.28575334942</v>
      </c>
      <c r="AJ88" s="8">
        <f t="shared" ca="1" si="323"/>
        <v>409785.79432594992</v>
      </c>
      <c r="AK88" s="8">
        <f t="shared" ca="1" si="323"/>
        <v>422079.36815572839</v>
      </c>
      <c r="AL88" s="8">
        <f t="shared" ca="1" si="323"/>
        <v>434741.74920040026</v>
      </c>
      <c r="AM88" s="8">
        <f t="shared" ca="1" si="323"/>
        <v>447784.00167641224</v>
      </c>
    </row>
    <row r="89" spans="1:39" x14ac:dyDescent="0.2">
      <c r="A89" s="4" t="s">
        <v>27</v>
      </c>
      <c r="C89" s="8">
        <f ca="1">C86*Inputs!$B$163</f>
        <v>0</v>
      </c>
      <c r="D89" s="8">
        <f ca="1">D86*Inputs!$B$163</f>
        <v>0</v>
      </c>
      <c r="E89" s="8">
        <f ca="1">E86*Inputs!$B$163</f>
        <v>0</v>
      </c>
      <c r="F89" s="8">
        <f ca="1">F86*Inputs!$B$163</f>
        <v>0</v>
      </c>
      <c r="G89" s="8">
        <f ca="1">G86*Inputs!$B$163</f>
        <v>0</v>
      </c>
      <c r="H89" s="8">
        <f ca="1">H86*Inputs!$B$163</f>
        <v>0</v>
      </c>
      <c r="I89" s="8">
        <f ca="1">I86*Inputs!$B$163</f>
        <v>0</v>
      </c>
      <c r="J89" s="8">
        <f ca="1">J86*Inputs!$B$163</f>
        <v>0</v>
      </c>
      <c r="K89" s="8">
        <f ca="1">K86*Inputs!$B$163</f>
        <v>0</v>
      </c>
      <c r="L89" s="8">
        <f ca="1">L86*Inputs!$B$163</f>
        <v>0</v>
      </c>
      <c r="M89" s="8">
        <f ca="1">M86*Inputs!$B$163</f>
        <v>0</v>
      </c>
      <c r="N89" s="8">
        <f ca="1">N86*Inputs!$B$163</f>
        <v>0</v>
      </c>
      <c r="O89" s="8">
        <f ca="1">O86*Inputs!$B$163</f>
        <v>0</v>
      </c>
      <c r="P89" s="8">
        <f ca="1">P86*Inputs!$B$163</f>
        <v>0</v>
      </c>
      <c r="Q89" s="8">
        <f ca="1">Q86*Inputs!$B$163</f>
        <v>0</v>
      </c>
      <c r="R89" s="8">
        <f ca="1">R86*Inputs!$B$163</f>
        <v>0</v>
      </c>
      <c r="S89" s="8">
        <f ca="1">S86*Inputs!$B$163</f>
        <v>0</v>
      </c>
      <c r="T89" s="8">
        <f ca="1">T86*Inputs!$B$163</f>
        <v>0</v>
      </c>
      <c r="U89" s="8">
        <f ca="1">U86*Inputs!$B$163</f>
        <v>0</v>
      </c>
      <c r="V89" s="8">
        <f ca="1">V86*Inputs!$B$163</f>
        <v>0</v>
      </c>
      <c r="W89" s="8">
        <f ca="1">W86*Inputs!$B$163</f>
        <v>0</v>
      </c>
      <c r="X89" s="8">
        <f ca="1">X86*Inputs!$B$163</f>
        <v>0</v>
      </c>
      <c r="Y89" s="8">
        <f ca="1">Y86*Inputs!$B$163</f>
        <v>0</v>
      </c>
      <c r="Z89" s="8">
        <f ca="1">Z86*Inputs!$B$163</f>
        <v>0</v>
      </c>
      <c r="AA89" s="8">
        <f ca="1">AA86*Inputs!$B$163</f>
        <v>0</v>
      </c>
      <c r="AB89" s="8">
        <f ca="1">AB86*Inputs!$B$163</f>
        <v>0</v>
      </c>
      <c r="AC89" s="8">
        <f ca="1">AC86*Inputs!$B$163</f>
        <v>0</v>
      </c>
      <c r="AD89" s="8">
        <f ca="1">AD86*Inputs!$B$163</f>
        <v>0</v>
      </c>
      <c r="AE89" s="8">
        <f ca="1">AE86*Inputs!$B$163</f>
        <v>0</v>
      </c>
      <c r="AF89" s="8">
        <f ca="1">AF86*Inputs!$B$163</f>
        <v>0</v>
      </c>
      <c r="AG89" s="8">
        <f ca="1">AG86*Inputs!$B$163</f>
        <v>0</v>
      </c>
      <c r="AH89" s="8">
        <f ca="1">AH86*Inputs!$B$163</f>
        <v>0</v>
      </c>
      <c r="AI89" s="8">
        <f ca="1">AI86*Inputs!$B$163</f>
        <v>0</v>
      </c>
      <c r="AJ89" s="8">
        <f ca="1">AJ86*Inputs!$B$163</f>
        <v>0</v>
      </c>
      <c r="AK89" s="8">
        <f ca="1">AK86*Inputs!$B$163</f>
        <v>0</v>
      </c>
      <c r="AL89" s="8">
        <f ca="1">AL86*Inputs!$B$163</f>
        <v>0</v>
      </c>
      <c r="AM89" s="8">
        <f>AM86*Inputs!$B$163</f>
        <v>0</v>
      </c>
    </row>
    <row r="90" spans="1:39" x14ac:dyDescent="0.2">
      <c r="A90" s="4" t="s">
        <v>34</v>
      </c>
      <c r="C90" s="8">
        <f>IFERROR(-IF(C85=0,VLOOKUP($A84,$7:$10,C$1+2,FALSE),0),0)</f>
        <v>0</v>
      </c>
      <c r="D90" s="8">
        <f ca="1">IFERROR(-IF(D85=0,VLOOKUP($A84,$7:$10,D$1+2,FALSE),0),0)</f>
        <v>0</v>
      </c>
      <c r="E90" s="8">
        <f ca="1">IFERROR(-IF(E85=0,VLOOKUP($A84,$7:$10,E$1+2,FALSE),0),0)</f>
        <v>0</v>
      </c>
      <c r="F90" s="8">
        <f ca="1">IFERROR(-IF(F85=0,VLOOKUP($A84,$7:$10,F$1+2,FALSE),0),0)</f>
        <v>0</v>
      </c>
      <c r="G90" s="8">
        <f ca="1">IFERROR(-IF(G85=0,VLOOKUP($A84,$7:$10,G$1+2,FALSE),0),0)</f>
        <v>0</v>
      </c>
      <c r="H90" s="8">
        <f ca="1">IFERROR(-IF(H85=0,VLOOKUP($A84,$7:$10,H$1+2,FALSE),0),0)</f>
        <v>0</v>
      </c>
      <c r="I90" s="8">
        <f ca="1">IFERROR(-IF(I85=0,VLOOKUP($A84,$7:$10,I$1+2,FALSE),0),0)</f>
        <v>0</v>
      </c>
      <c r="J90" s="8">
        <f t="shared" ref="J90:AM90" ca="1" si="324">IFERROR(-IF(J85=0,VLOOKUP($A84,$7:$10,J$1+2,FALSE),0),0)</f>
        <v>0</v>
      </c>
      <c r="K90" s="8">
        <f t="shared" ca="1" si="324"/>
        <v>0</v>
      </c>
      <c r="L90" s="8">
        <f t="shared" ca="1" si="324"/>
        <v>0</v>
      </c>
      <c r="M90" s="8">
        <f t="shared" ca="1" si="324"/>
        <v>0</v>
      </c>
      <c r="N90" s="8">
        <f t="shared" ca="1" si="324"/>
        <v>0</v>
      </c>
      <c r="O90" s="8">
        <f t="shared" ca="1" si="324"/>
        <v>0</v>
      </c>
      <c r="P90" s="8">
        <f t="shared" ca="1" si="324"/>
        <v>0</v>
      </c>
      <c r="Q90" s="8">
        <f t="shared" ca="1" si="324"/>
        <v>0</v>
      </c>
      <c r="R90" s="8">
        <f t="shared" ca="1" si="324"/>
        <v>0</v>
      </c>
      <c r="S90" s="8">
        <f t="shared" ca="1" si="324"/>
        <v>0</v>
      </c>
      <c r="T90" s="8">
        <f t="shared" ca="1" si="324"/>
        <v>0</v>
      </c>
      <c r="U90" s="8">
        <f t="shared" ca="1" si="324"/>
        <v>0</v>
      </c>
      <c r="V90" s="8">
        <f t="shared" ca="1" si="324"/>
        <v>0</v>
      </c>
      <c r="W90" s="8">
        <f t="shared" ca="1" si="324"/>
        <v>0</v>
      </c>
      <c r="X90" s="8">
        <f t="shared" ca="1" si="324"/>
        <v>0</v>
      </c>
      <c r="Y90" s="8">
        <f t="shared" ca="1" si="324"/>
        <v>0</v>
      </c>
      <c r="Z90" s="8">
        <f t="shared" ca="1" si="324"/>
        <v>0</v>
      </c>
      <c r="AA90" s="8">
        <f t="shared" ca="1" si="324"/>
        <v>0</v>
      </c>
      <c r="AB90" s="8">
        <f t="shared" ca="1" si="324"/>
        <v>0</v>
      </c>
      <c r="AC90" s="8">
        <f t="shared" ca="1" si="324"/>
        <v>0</v>
      </c>
      <c r="AD90" s="8">
        <f t="shared" ca="1" si="324"/>
        <v>0</v>
      </c>
      <c r="AE90" s="8">
        <f t="shared" ca="1" si="324"/>
        <v>0</v>
      </c>
      <c r="AF90" s="8">
        <f t="shared" ca="1" si="324"/>
        <v>0</v>
      </c>
      <c r="AG90" s="8">
        <f t="shared" ca="1" si="324"/>
        <v>0</v>
      </c>
      <c r="AH90" s="8">
        <f t="shared" ca="1" si="324"/>
        <v>0</v>
      </c>
      <c r="AI90" s="8">
        <f t="shared" ca="1" si="324"/>
        <v>0</v>
      </c>
      <c r="AJ90" s="8">
        <f t="shared" ca="1" si="324"/>
        <v>0</v>
      </c>
      <c r="AK90" s="8">
        <f t="shared" ca="1" si="324"/>
        <v>0</v>
      </c>
      <c r="AL90" s="8">
        <f t="shared" ca="1" si="324"/>
        <v>0</v>
      </c>
      <c r="AM90" s="8">
        <f t="shared" ca="1" si="324"/>
        <v>0</v>
      </c>
    </row>
    <row r="91" spans="1:39" x14ac:dyDescent="0.2">
      <c r="A91" s="4" t="s">
        <v>54</v>
      </c>
      <c r="C91" s="8">
        <f>IFERROR(IF(C85=0,VLOOKUP($A84,$33:$36,C$1+2,FALSE),0),0)</f>
        <v>0</v>
      </c>
      <c r="D91" s="8">
        <f ca="1">IFERROR(IF(D85=0,VLOOKUP($A84,$33:$36,D$1+2,FALSE),0),0)</f>
        <v>0</v>
      </c>
      <c r="E91" s="8">
        <f ca="1">IFERROR(IF(E85=0,VLOOKUP($A84,$33:$36,E$1+2,FALSE),0),0)</f>
        <v>0</v>
      </c>
      <c r="F91" s="8">
        <f ca="1">IFERROR(IF(F85=0,VLOOKUP($A84,$33:$36,F$1+2,FALSE),0),0)</f>
        <v>0</v>
      </c>
      <c r="G91" s="8">
        <f ca="1">IFERROR(IF(G85=0,VLOOKUP($A84,$33:$36,G$1+2,FALSE),0),0)</f>
        <v>0</v>
      </c>
      <c r="H91" s="8">
        <f ca="1">IFERROR(IF(H85=0,VLOOKUP($A84,$33:$36,H$1+2,FALSE),0),0)</f>
        <v>0</v>
      </c>
      <c r="I91" s="8">
        <f ca="1">IFERROR(IF(I85=0,VLOOKUP($A84,$33:$36,I$1+2,FALSE),0),0)</f>
        <v>0</v>
      </c>
      <c r="J91" s="8">
        <f t="shared" ref="J91:AM91" ca="1" si="325">IFERROR(IF(J85=0,VLOOKUP($A84,$33:$36,J$1+2,FALSE),0),0)</f>
        <v>0</v>
      </c>
      <c r="K91" s="8">
        <f t="shared" ca="1" si="325"/>
        <v>0</v>
      </c>
      <c r="L91" s="8">
        <f t="shared" ca="1" si="325"/>
        <v>0</v>
      </c>
      <c r="M91" s="8">
        <f t="shared" ca="1" si="325"/>
        <v>0</v>
      </c>
      <c r="N91" s="8">
        <f t="shared" ca="1" si="325"/>
        <v>0</v>
      </c>
      <c r="O91" s="8">
        <f t="shared" ca="1" si="325"/>
        <v>0</v>
      </c>
      <c r="P91" s="8">
        <f t="shared" ca="1" si="325"/>
        <v>0</v>
      </c>
      <c r="Q91" s="8">
        <f t="shared" ca="1" si="325"/>
        <v>0</v>
      </c>
      <c r="R91" s="8">
        <f t="shared" ca="1" si="325"/>
        <v>0</v>
      </c>
      <c r="S91" s="8">
        <f t="shared" ca="1" si="325"/>
        <v>0</v>
      </c>
      <c r="T91" s="8">
        <f t="shared" ca="1" si="325"/>
        <v>0</v>
      </c>
      <c r="U91" s="8">
        <f t="shared" ca="1" si="325"/>
        <v>0</v>
      </c>
      <c r="V91" s="8">
        <f t="shared" ca="1" si="325"/>
        <v>0</v>
      </c>
      <c r="W91" s="8">
        <f t="shared" ca="1" si="325"/>
        <v>0</v>
      </c>
      <c r="X91" s="8">
        <f t="shared" ca="1" si="325"/>
        <v>0</v>
      </c>
      <c r="Y91" s="8">
        <f t="shared" ca="1" si="325"/>
        <v>0</v>
      </c>
      <c r="Z91" s="8">
        <f t="shared" ca="1" si="325"/>
        <v>0</v>
      </c>
      <c r="AA91" s="8">
        <f t="shared" ca="1" si="325"/>
        <v>0</v>
      </c>
      <c r="AB91" s="8">
        <f t="shared" ca="1" si="325"/>
        <v>0</v>
      </c>
      <c r="AC91" s="8">
        <f t="shared" ca="1" si="325"/>
        <v>0</v>
      </c>
      <c r="AD91" s="8">
        <f t="shared" ca="1" si="325"/>
        <v>0</v>
      </c>
      <c r="AE91" s="8">
        <f t="shared" ca="1" si="325"/>
        <v>0</v>
      </c>
      <c r="AF91" s="8">
        <f t="shared" ca="1" si="325"/>
        <v>0</v>
      </c>
      <c r="AG91" s="8">
        <f t="shared" ca="1" si="325"/>
        <v>0</v>
      </c>
      <c r="AH91" s="8">
        <f t="shared" ca="1" si="325"/>
        <v>0</v>
      </c>
      <c r="AI91" s="8">
        <f t="shared" ca="1" si="325"/>
        <v>0</v>
      </c>
      <c r="AJ91" s="8">
        <f t="shared" ca="1" si="325"/>
        <v>0</v>
      </c>
      <c r="AK91" s="8">
        <f t="shared" ca="1" si="325"/>
        <v>0</v>
      </c>
      <c r="AL91" s="8">
        <f t="shared" ca="1" si="325"/>
        <v>0</v>
      </c>
      <c r="AM91" s="8">
        <f t="shared" ca="1" si="325"/>
        <v>0</v>
      </c>
    </row>
    <row r="92" spans="1:39" x14ac:dyDescent="0.2">
      <c r="A92" s="4" t="s">
        <v>40</v>
      </c>
      <c r="B92" s="16" t="str">
        <f>A84</f>
        <v>Gzira</v>
      </c>
      <c r="C92" s="8">
        <f ca="1">IF(AND(C85&gt;0,C88=0),VLOOKUP($A84,$61:$64,C$1+2,FALSE),0)</f>
        <v>0</v>
      </c>
      <c r="D92" s="8">
        <f ca="1">IF(AND(D85&gt;0,D88=0),VLOOKUP($A84,$61:$64,D$1+2,FALSE),0)</f>
        <v>0</v>
      </c>
      <c r="E92" s="8">
        <f ca="1">IF(AND(E85&gt;0,E88=0),VLOOKUP($A84,$61:$64,E$1+2,FALSE),0)</f>
        <v>0</v>
      </c>
      <c r="F92" s="8">
        <f ca="1">IF(AND(F85&gt;0,F88=0),VLOOKUP($A84,$61:$64,F$1+2,FALSE),0)</f>
        <v>0</v>
      </c>
      <c r="G92" s="8">
        <f ca="1">IF(AND(G85&gt;0,G88=0),VLOOKUP($A84,$61:$64,G$1+2,FALSE),0)</f>
        <v>0</v>
      </c>
      <c r="H92" s="8">
        <f ca="1">IF(AND(H85&gt;0,H88=0),VLOOKUP($A84,$61:$64,H$1+2,FALSE),0)</f>
        <v>0</v>
      </c>
      <c r="I92" s="8">
        <f ca="1">IF(AND(I85&gt;0,I88=0),VLOOKUP($A84,$61:$64,I$1+2,FALSE),0)</f>
        <v>0</v>
      </c>
      <c r="J92" s="8">
        <f t="shared" ref="J92:AM92" ca="1" si="326">IF(AND(J85&gt;0,J88=0),VLOOKUP($A84,$61:$64,J$1+2,FALSE),0)</f>
        <v>0</v>
      </c>
      <c r="K92" s="8">
        <f t="shared" ca="1" si="326"/>
        <v>0</v>
      </c>
      <c r="L92" s="8">
        <f t="shared" ca="1" si="326"/>
        <v>0</v>
      </c>
      <c r="M92" s="8">
        <f t="shared" ca="1" si="326"/>
        <v>0</v>
      </c>
      <c r="N92" s="8">
        <f t="shared" ca="1" si="326"/>
        <v>0</v>
      </c>
      <c r="O92" s="8">
        <f t="shared" ca="1" si="326"/>
        <v>0</v>
      </c>
      <c r="P92" s="8">
        <f t="shared" ca="1" si="326"/>
        <v>0</v>
      </c>
      <c r="Q92" s="8">
        <f t="shared" ca="1" si="326"/>
        <v>0</v>
      </c>
      <c r="R92" s="8">
        <f t="shared" ca="1" si="326"/>
        <v>0</v>
      </c>
      <c r="S92" s="8">
        <f t="shared" ca="1" si="326"/>
        <v>0</v>
      </c>
      <c r="T92" s="8">
        <f t="shared" ca="1" si="326"/>
        <v>0</v>
      </c>
      <c r="U92" s="8">
        <f t="shared" ca="1" si="326"/>
        <v>0</v>
      </c>
      <c r="V92" s="8">
        <f t="shared" ca="1" si="326"/>
        <v>0</v>
      </c>
      <c r="W92" s="8">
        <f t="shared" ca="1" si="326"/>
        <v>0</v>
      </c>
      <c r="X92" s="8">
        <f t="shared" ca="1" si="326"/>
        <v>0</v>
      </c>
      <c r="Y92" s="8">
        <f t="shared" ca="1" si="326"/>
        <v>0</v>
      </c>
      <c r="Z92" s="8">
        <f t="shared" ca="1" si="326"/>
        <v>0</v>
      </c>
      <c r="AA92" s="8">
        <f t="shared" ca="1" si="326"/>
        <v>0</v>
      </c>
      <c r="AB92" s="8">
        <f t="shared" ca="1" si="326"/>
        <v>0</v>
      </c>
      <c r="AC92" s="8">
        <f t="shared" ca="1" si="326"/>
        <v>0</v>
      </c>
      <c r="AD92" s="8">
        <f t="shared" ca="1" si="326"/>
        <v>0</v>
      </c>
      <c r="AE92" s="8">
        <f t="shared" ca="1" si="326"/>
        <v>0</v>
      </c>
      <c r="AF92" s="8">
        <f t="shared" ca="1" si="326"/>
        <v>0</v>
      </c>
      <c r="AG92" s="8">
        <f t="shared" ca="1" si="326"/>
        <v>0</v>
      </c>
      <c r="AH92" s="8">
        <f t="shared" ca="1" si="326"/>
        <v>0</v>
      </c>
      <c r="AI92" s="8">
        <f t="shared" ca="1" si="326"/>
        <v>0</v>
      </c>
      <c r="AJ92" s="8">
        <f t="shared" ca="1" si="326"/>
        <v>0</v>
      </c>
      <c r="AK92" s="8">
        <f t="shared" ca="1" si="326"/>
        <v>0</v>
      </c>
      <c r="AL92" s="8">
        <f t="shared" ca="1" si="326"/>
        <v>0</v>
      </c>
      <c r="AM92" s="8">
        <f t="shared" ca="1" si="326"/>
        <v>0</v>
      </c>
    </row>
    <row r="93" spans="1:39" x14ac:dyDescent="0.2">
      <c r="A93" s="4" t="s">
        <v>41</v>
      </c>
      <c r="C93" s="8">
        <f ca="1">-C86+SUM(C89:C92)</f>
        <v>0</v>
      </c>
      <c r="D93" s="8">
        <f t="shared" ref="D93" ca="1" si="327">-D86+SUM(D89:D92)</f>
        <v>0</v>
      </c>
      <c r="E93" s="8">
        <f t="shared" ref="E93" ca="1" si="328">-E86+SUM(E89:E92)</f>
        <v>0</v>
      </c>
      <c r="F93" s="8">
        <f t="shared" ref="F93" ca="1" si="329">-F86+SUM(F89:F92)</f>
        <v>0</v>
      </c>
      <c r="G93" s="8">
        <f t="shared" ref="G93" ca="1" si="330">-G86+SUM(G89:G92)</f>
        <v>0</v>
      </c>
      <c r="H93" s="8">
        <f t="shared" ref="H93:AM93" ca="1" si="331">-H86+SUM(H89:H92)</f>
        <v>0</v>
      </c>
      <c r="I93" s="8">
        <f t="shared" ca="1" si="331"/>
        <v>0</v>
      </c>
      <c r="J93" s="8">
        <f t="shared" ref="J93:AM93" ca="1" si="332">-J86+SUM(J89:J92)</f>
        <v>0</v>
      </c>
      <c r="K93" s="8">
        <f t="shared" ca="1" si="332"/>
        <v>0</v>
      </c>
      <c r="L93" s="8">
        <f t="shared" ca="1" si="332"/>
        <v>0</v>
      </c>
      <c r="M93" s="8">
        <f t="shared" ca="1" si="332"/>
        <v>0</v>
      </c>
      <c r="N93" s="8">
        <f t="shared" ca="1" si="332"/>
        <v>0</v>
      </c>
      <c r="O93" s="8">
        <f t="shared" ca="1" si="332"/>
        <v>0</v>
      </c>
      <c r="P93" s="8">
        <f t="shared" ca="1" si="332"/>
        <v>0</v>
      </c>
      <c r="Q93" s="8">
        <f t="shared" ca="1" si="332"/>
        <v>0</v>
      </c>
      <c r="R93" s="8">
        <f t="shared" ca="1" si="332"/>
        <v>0</v>
      </c>
      <c r="S93" s="8">
        <f t="shared" ca="1" si="332"/>
        <v>0</v>
      </c>
      <c r="T93" s="8">
        <f t="shared" ca="1" si="332"/>
        <v>0</v>
      </c>
      <c r="U93" s="8">
        <f t="shared" ca="1" si="332"/>
        <v>0</v>
      </c>
      <c r="V93" s="8">
        <f t="shared" ca="1" si="332"/>
        <v>0</v>
      </c>
      <c r="W93" s="8">
        <f t="shared" ca="1" si="332"/>
        <v>0</v>
      </c>
      <c r="X93" s="8">
        <f t="shared" ca="1" si="332"/>
        <v>0</v>
      </c>
      <c r="Y93" s="8">
        <f t="shared" ca="1" si="332"/>
        <v>0</v>
      </c>
      <c r="Z93" s="8">
        <f t="shared" ca="1" si="332"/>
        <v>0</v>
      </c>
      <c r="AA93" s="8">
        <f t="shared" ca="1" si="332"/>
        <v>0</v>
      </c>
      <c r="AB93" s="8">
        <f t="shared" ca="1" si="332"/>
        <v>0</v>
      </c>
      <c r="AC93" s="8">
        <f t="shared" ca="1" si="332"/>
        <v>0</v>
      </c>
      <c r="AD93" s="8">
        <f t="shared" ca="1" si="332"/>
        <v>0</v>
      </c>
      <c r="AE93" s="8">
        <f t="shared" ca="1" si="332"/>
        <v>0</v>
      </c>
      <c r="AF93" s="8">
        <f t="shared" ca="1" si="332"/>
        <v>0</v>
      </c>
      <c r="AG93" s="8">
        <f t="shared" ca="1" si="332"/>
        <v>0</v>
      </c>
      <c r="AH93" s="8">
        <f t="shared" ca="1" si="332"/>
        <v>0</v>
      </c>
      <c r="AI93" s="8">
        <f t="shared" ca="1" si="332"/>
        <v>0</v>
      </c>
      <c r="AJ93" s="8">
        <f t="shared" ca="1" si="332"/>
        <v>0</v>
      </c>
      <c r="AK93" s="8">
        <f t="shared" ca="1" si="332"/>
        <v>0</v>
      </c>
      <c r="AL93" s="8">
        <f t="shared" ca="1" si="332"/>
        <v>0</v>
      </c>
      <c r="AM93" s="8">
        <f t="shared" ca="1" si="332"/>
        <v>0</v>
      </c>
    </row>
    <row r="94" spans="1:39" x14ac:dyDescent="0.2">
      <c r="A94" s="4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</row>
    <row r="95" spans="1:39" x14ac:dyDescent="0.2">
      <c r="A95" s="4" t="s">
        <v>87</v>
      </c>
      <c r="C95" s="8">
        <f ca="1">C81+SUM($C93:C93)</f>
        <v>35752.5</v>
      </c>
      <c r="D95" s="8">
        <f ca="1">D81+SUM($C93:D93)</f>
        <v>64902.8125</v>
      </c>
      <c r="E95" s="8">
        <f ca="1">E81+SUM($C93:E93)</f>
        <v>74244.712499999994</v>
      </c>
      <c r="F95" s="8">
        <f ca="1">F81+SUM($C93:F93)</f>
        <v>115351.48395239323</v>
      </c>
      <c r="G95" s="8">
        <f ca="1">G81+SUM($C93:G93)</f>
        <v>161221.49120440619</v>
      </c>
      <c r="H95" s="8">
        <f ca="1">H81+SUM($C93:H93)</f>
        <v>221189.83792477695</v>
      </c>
      <c r="I95" s="8">
        <f ca="1">I81+SUM($C93:I93)</f>
        <v>288035.20366895478</v>
      </c>
      <c r="J95" s="8">
        <f ca="1">J81+SUM($C93:J93)</f>
        <v>340838.42954043212</v>
      </c>
      <c r="K95" s="8">
        <f ca="1">K81+SUM($C93:K93)</f>
        <v>477397.35493851278</v>
      </c>
      <c r="L95" s="8">
        <f ca="1">L81+SUM($C93:L93)</f>
        <v>525529.30292301986</v>
      </c>
      <c r="M95" s="8">
        <f ca="1">M81+SUM($C93:M93)</f>
        <v>629467.06747940183</v>
      </c>
      <c r="N95" s="8">
        <f ca="1">N81+SUM($C93:N93)</f>
        <v>738996.65788302326</v>
      </c>
      <c r="O95" s="8">
        <f ca="1">O81+SUM($C93:O93)</f>
        <v>854355.15612641082</v>
      </c>
      <c r="P95" s="8">
        <f ca="1">P81+SUM($C93:P93)</f>
        <v>975788.67696465331</v>
      </c>
      <c r="Q95" s="8">
        <f ca="1">Q81+SUM($C93:Q93)</f>
        <v>1103552.6915839072</v>
      </c>
      <c r="R95" s="8">
        <f ca="1">R81+SUM($C93:R93)</f>
        <v>1237912.3624140497</v>
      </c>
      <c r="S95" s="8">
        <f ca="1">S81+SUM($C93:S93)</f>
        <v>1273210.6589462783</v>
      </c>
      <c r="T95" s="8">
        <f ca="1">T81+SUM($C93:T93)</f>
        <v>1317422.0823162566</v>
      </c>
      <c r="U95" s="8">
        <f ca="1">U81+SUM($C93:U93)</f>
        <v>1363274.3464270437</v>
      </c>
      <c r="V95" s="8">
        <f ca="1">V81+SUM($C93:V93)</f>
        <v>1410829.3919630982</v>
      </c>
      <c r="W95" s="8">
        <f ca="1">W81+SUM($C93:W93)</f>
        <v>1460151.4570412496</v>
      </c>
      <c r="X95" s="8">
        <f ca="1">X81+SUM($C93:X93)</f>
        <v>1490900.2406538306</v>
      </c>
      <c r="Y95" s="8">
        <f ca="1">Y81+SUM($C93:Y93)</f>
        <v>1522531.4010244682</v>
      </c>
      <c r="Z95" s="8">
        <f ca="1">Z81+SUM($C93:Z93)</f>
        <v>1555078.31496845</v>
      </c>
      <c r="AA95" s="8">
        <f ca="1">AA81+SUM($C93:AA93)</f>
        <v>1588575.7309353678</v>
      </c>
      <c r="AB95" s="8">
        <f ca="1">AB81+SUM($C93:AB93)</f>
        <v>1623059.824358695</v>
      </c>
      <c r="AC95" s="8">
        <f ca="1">AC81+SUM($C93:AC93)</f>
        <v>1658568.2551444201</v>
      </c>
      <c r="AD95" s="8">
        <f ca="1">AD81+SUM($C93:AD93)</f>
        <v>1705000.9649706078</v>
      </c>
      <c r="AE95" s="8">
        <f ca="1">AE81+SUM($C93:AE93)</f>
        <v>1753031.0633963605</v>
      </c>
      <c r="AF95" s="8">
        <f ca="1">AF81+SUM($C93:AF93)</f>
        <v>1802719.5201560468</v>
      </c>
      <c r="AG95" s="8">
        <f ca="1">AG81+SUM($C93:AG93)</f>
        <v>1854129.6587253201</v>
      </c>
      <c r="AH95" s="8">
        <f ca="1">AH81+SUM($C93:AH93)</f>
        <v>1907327.2450107713</v>
      </c>
      <c r="AI95" s="8">
        <f ca="1">AI81+SUM($C93:AI93)</f>
        <v>1962380.5792762381</v>
      </c>
      <c r="AJ95" s="8">
        <f ca="1">AJ81+SUM($C93:AJ93)</f>
        <v>2019360.5914203662</v>
      </c>
      <c r="AK95" s="8">
        <f ca="1">AK81+SUM($C93:AK93)</f>
        <v>2078340.9397239783</v>
      </c>
      <c r="AL95" s="8">
        <f ca="1">AL81+SUM($C93:AL93)</f>
        <v>2139398.1131898882</v>
      </c>
      <c r="AM95" s="8">
        <f ca="1">AM81+SUM($C93:AM93)</f>
        <v>2202611.5376020237</v>
      </c>
    </row>
    <row r="96" spans="1:39" x14ac:dyDescent="0.2">
      <c r="A96" s="4" t="s">
        <v>84</v>
      </c>
      <c r="C96" s="8">
        <f t="shared" ref="C96:AM96" ca="1" si="333">MAX(C95+buffer,0)-MAX(C$81+buffer,0)</f>
        <v>0</v>
      </c>
      <c r="D96" s="8">
        <f t="shared" ca="1" si="333"/>
        <v>0</v>
      </c>
      <c r="E96" s="8">
        <f t="shared" ca="1" si="333"/>
        <v>0</v>
      </c>
      <c r="F96" s="8">
        <f t="shared" ca="1" si="333"/>
        <v>0</v>
      </c>
      <c r="G96" s="8">
        <f t="shared" ca="1" si="333"/>
        <v>0</v>
      </c>
      <c r="H96" s="8">
        <f t="shared" ca="1" si="333"/>
        <v>0</v>
      </c>
      <c r="I96" s="8">
        <f t="shared" ca="1" si="333"/>
        <v>0</v>
      </c>
      <c r="J96" s="8">
        <f t="shared" ref="J96:AM96" ca="1" si="334">MAX(J95+buffer,0)-MAX(J$81+buffer,0)</f>
        <v>0</v>
      </c>
      <c r="K96" s="8">
        <f t="shared" ca="1" si="334"/>
        <v>0</v>
      </c>
      <c r="L96" s="8">
        <f t="shared" ca="1" si="334"/>
        <v>0</v>
      </c>
      <c r="M96" s="8">
        <f t="shared" ca="1" si="334"/>
        <v>0</v>
      </c>
      <c r="N96" s="8">
        <f t="shared" ca="1" si="334"/>
        <v>0</v>
      </c>
      <c r="O96" s="8">
        <f t="shared" ca="1" si="334"/>
        <v>0</v>
      </c>
      <c r="P96" s="8">
        <f t="shared" ca="1" si="334"/>
        <v>0</v>
      </c>
      <c r="Q96" s="8">
        <f t="shared" ca="1" si="334"/>
        <v>0</v>
      </c>
      <c r="R96" s="8">
        <f t="shared" ca="1" si="334"/>
        <v>0</v>
      </c>
      <c r="S96" s="8">
        <f t="shared" ca="1" si="334"/>
        <v>0</v>
      </c>
      <c r="T96" s="8">
        <f t="shared" ca="1" si="334"/>
        <v>0</v>
      </c>
      <c r="U96" s="8">
        <f t="shared" ca="1" si="334"/>
        <v>0</v>
      </c>
      <c r="V96" s="8">
        <f t="shared" ca="1" si="334"/>
        <v>0</v>
      </c>
      <c r="W96" s="8">
        <f t="shared" ca="1" si="334"/>
        <v>0</v>
      </c>
      <c r="X96" s="8">
        <f t="shared" ca="1" si="334"/>
        <v>0</v>
      </c>
      <c r="Y96" s="8">
        <f t="shared" ca="1" si="334"/>
        <v>0</v>
      </c>
      <c r="Z96" s="8">
        <f t="shared" ca="1" si="334"/>
        <v>0</v>
      </c>
      <c r="AA96" s="8">
        <f t="shared" ca="1" si="334"/>
        <v>0</v>
      </c>
      <c r="AB96" s="8">
        <f t="shared" ca="1" si="334"/>
        <v>0</v>
      </c>
      <c r="AC96" s="8">
        <f t="shared" ca="1" si="334"/>
        <v>0</v>
      </c>
      <c r="AD96" s="8">
        <f t="shared" ca="1" si="334"/>
        <v>0</v>
      </c>
      <c r="AE96" s="8">
        <f t="shared" ca="1" si="334"/>
        <v>0</v>
      </c>
      <c r="AF96" s="8">
        <f t="shared" ca="1" si="334"/>
        <v>0</v>
      </c>
      <c r="AG96" s="8">
        <f t="shared" ca="1" si="334"/>
        <v>0</v>
      </c>
      <c r="AH96" s="8">
        <f t="shared" ca="1" si="334"/>
        <v>0</v>
      </c>
      <c r="AI96" s="8">
        <f t="shared" ca="1" si="334"/>
        <v>0</v>
      </c>
      <c r="AJ96" s="8">
        <f t="shared" ca="1" si="334"/>
        <v>0</v>
      </c>
      <c r="AK96" s="8">
        <f t="shared" ca="1" si="334"/>
        <v>0</v>
      </c>
      <c r="AL96" s="8">
        <f t="shared" ca="1" si="334"/>
        <v>0</v>
      </c>
      <c r="AM96" s="8">
        <f t="shared" ca="1" si="334"/>
        <v>0</v>
      </c>
    </row>
    <row r="97" spans="1:39" x14ac:dyDescent="0.2">
      <c r="A97" s="4" t="s">
        <v>85</v>
      </c>
      <c r="C97" s="8">
        <f ca="1">C96*Inputs!$B$149</f>
        <v>0</v>
      </c>
      <c r="D97" s="8">
        <f ca="1">D96*Inputs!$B$149</f>
        <v>0</v>
      </c>
      <c r="E97" s="8">
        <f ca="1">E96*Inputs!$B$149</f>
        <v>0</v>
      </c>
      <c r="F97" s="8">
        <f ca="1">F96*Inputs!$B$149</f>
        <v>0</v>
      </c>
      <c r="G97" s="8">
        <f ca="1">G96*Inputs!$B$149</f>
        <v>0</v>
      </c>
      <c r="H97" s="8">
        <f ca="1">H96*Inputs!$B$149</f>
        <v>0</v>
      </c>
      <c r="I97" s="8">
        <f ca="1">I96*Inputs!$B$149</f>
        <v>0</v>
      </c>
      <c r="J97" s="8">
        <f ca="1">J96*Inputs!$B$149</f>
        <v>0</v>
      </c>
      <c r="K97" s="8">
        <f ca="1">K96*Inputs!$B$149</f>
        <v>0</v>
      </c>
      <c r="L97" s="8">
        <f ca="1">L96*Inputs!$B$149</f>
        <v>0</v>
      </c>
      <c r="M97" s="8">
        <f ca="1">M96*Inputs!$B$149</f>
        <v>0</v>
      </c>
      <c r="N97" s="8">
        <f ca="1">N96*Inputs!$B$149</f>
        <v>0</v>
      </c>
      <c r="O97" s="8">
        <f ca="1">O96*Inputs!$B$149</f>
        <v>0</v>
      </c>
      <c r="P97" s="8">
        <f ca="1">P96*Inputs!$B$149</f>
        <v>0</v>
      </c>
      <c r="Q97" s="8">
        <f ca="1">Q96*Inputs!$B$149</f>
        <v>0</v>
      </c>
      <c r="R97" s="8">
        <f ca="1">R96*Inputs!$B$149</f>
        <v>0</v>
      </c>
      <c r="S97" s="8">
        <f ca="1">S96*Inputs!$B$149</f>
        <v>0</v>
      </c>
      <c r="T97" s="8">
        <f ca="1">T96*Inputs!$B$149</f>
        <v>0</v>
      </c>
      <c r="U97" s="8">
        <f ca="1">U96*Inputs!$B$149</f>
        <v>0</v>
      </c>
      <c r="V97" s="8">
        <f ca="1">V96*Inputs!$B$149</f>
        <v>0</v>
      </c>
      <c r="W97" s="8">
        <f ca="1">W96*Inputs!$B$149</f>
        <v>0</v>
      </c>
      <c r="X97" s="8">
        <f ca="1">X96*Inputs!$B$149</f>
        <v>0</v>
      </c>
      <c r="Y97" s="8">
        <f ca="1">Y96*Inputs!$B$149</f>
        <v>0</v>
      </c>
      <c r="Z97" s="8">
        <f ca="1">Z96*Inputs!$B$149</f>
        <v>0</v>
      </c>
      <c r="AA97" s="8">
        <f ca="1">AA96*Inputs!$B$149</f>
        <v>0</v>
      </c>
      <c r="AB97" s="8">
        <f ca="1">AB96*Inputs!$B$149</f>
        <v>0</v>
      </c>
      <c r="AC97" s="8">
        <f ca="1">AC96*Inputs!$B$149</f>
        <v>0</v>
      </c>
      <c r="AD97" s="8">
        <f ca="1">AD96*Inputs!$B$149</f>
        <v>0</v>
      </c>
      <c r="AE97" s="8">
        <f ca="1">AE96*Inputs!$B$149</f>
        <v>0</v>
      </c>
      <c r="AF97" s="8">
        <f ca="1">AF96*Inputs!$B$149</f>
        <v>0</v>
      </c>
      <c r="AG97" s="8">
        <f ca="1">AG96*Inputs!$B$149</f>
        <v>0</v>
      </c>
      <c r="AH97" s="8">
        <f ca="1">AH96*Inputs!$B$149</f>
        <v>0</v>
      </c>
      <c r="AI97" s="8">
        <f ca="1">AI96*Inputs!$B$149</f>
        <v>0</v>
      </c>
      <c r="AJ97" s="8">
        <f ca="1">AJ96*Inputs!$B$149</f>
        <v>0</v>
      </c>
      <c r="AK97" s="8">
        <f ca="1">AK96*Inputs!$B$149</f>
        <v>0</v>
      </c>
      <c r="AL97" s="8">
        <f ca="1">AL96*Inputs!$B$149</f>
        <v>0</v>
      </c>
      <c r="AM97" s="8">
        <f ca="1">AM96*Inputs!$B$149</f>
        <v>0</v>
      </c>
    </row>
    <row r="98" spans="1:39" x14ac:dyDescent="0.2">
      <c r="A98" s="4" t="s">
        <v>168</v>
      </c>
      <c r="C98" s="8">
        <f ca="1">C95+SUM($C97:C97)</f>
        <v>35752.5</v>
      </c>
      <c r="D98" s="8">
        <f ca="1">D95+SUM($C97:D97)</f>
        <v>64902.8125</v>
      </c>
      <c r="E98" s="8">
        <f ca="1">E95+SUM($C97:E97)</f>
        <v>74244.712499999994</v>
      </c>
      <c r="F98" s="8">
        <f ca="1">F95+SUM($C97:F97)</f>
        <v>115351.48395239323</v>
      </c>
      <c r="G98" s="8">
        <f ca="1">G95+SUM($C97:G97)</f>
        <v>161221.49120440619</v>
      </c>
      <c r="H98" s="8">
        <f ca="1">H95+SUM($C97:H97)</f>
        <v>221189.83792477695</v>
      </c>
      <c r="I98" s="8">
        <f ca="1">I95+SUM($C97:I97)</f>
        <v>288035.20366895478</v>
      </c>
      <c r="J98" s="8">
        <f ca="1">J95+SUM($C97:J97)</f>
        <v>340838.42954043212</v>
      </c>
      <c r="K98" s="8">
        <f ca="1">K95+SUM($C97:K97)</f>
        <v>477397.35493851278</v>
      </c>
      <c r="L98" s="8">
        <f ca="1">L95+SUM($C97:L97)</f>
        <v>525529.30292301986</v>
      </c>
      <c r="M98" s="8">
        <f ca="1">M95+SUM($C97:M97)</f>
        <v>629467.06747940183</v>
      </c>
      <c r="N98" s="8">
        <f ca="1">N95+SUM($C97:N97)</f>
        <v>738996.65788302326</v>
      </c>
      <c r="O98" s="8">
        <f ca="1">O95+SUM($C97:O97)</f>
        <v>854355.15612641082</v>
      </c>
      <c r="P98" s="8">
        <f ca="1">P95+SUM($C97:P97)</f>
        <v>975788.67696465331</v>
      </c>
      <c r="Q98" s="8">
        <f ca="1">Q95+SUM($C97:Q97)</f>
        <v>1103552.6915839072</v>
      </c>
      <c r="R98" s="8">
        <f ca="1">R95+SUM($C97:R97)</f>
        <v>1237912.3624140497</v>
      </c>
      <c r="S98" s="8">
        <f ca="1">S95+SUM($C97:S97)</f>
        <v>1273210.6589462783</v>
      </c>
      <c r="T98" s="8">
        <f ca="1">T95+SUM($C97:T97)</f>
        <v>1317422.0823162566</v>
      </c>
      <c r="U98" s="8">
        <f ca="1">U95+SUM($C97:U97)</f>
        <v>1363274.3464270437</v>
      </c>
      <c r="V98" s="8">
        <f ca="1">V95+SUM($C97:V97)</f>
        <v>1410829.3919630982</v>
      </c>
      <c r="W98" s="8">
        <f ca="1">W95+SUM($C97:W97)</f>
        <v>1460151.4570412496</v>
      </c>
      <c r="X98" s="8">
        <f ca="1">X95+SUM($C97:X97)</f>
        <v>1490900.2406538306</v>
      </c>
      <c r="Y98" s="8">
        <f ca="1">Y95+SUM($C97:Y97)</f>
        <v>1522531.4010244682</v>
      </c>
      <c r="Z98" s="8">
        <f ca="1">Z95+SUM($C97:Z97)</f>
        <v>1555078.31496845</v>
      </c>
      <c r="AA98" s="8">
        <f ca="1">AA95+SUM($C97:AA97)</f>
        <v>1588575.7309353678</v>
      </c>
      <c r="AB98" s="8">
        <f ca="1">AB95+SUM($C97:AB97)</f>
        <v>1623059.824358695</v>
      </c>
      <c r="AC98" s="8">
        <f ca="1">AC95+SUM($C97:AC97)</f>
        <v>1658568.2551444201</v>
      </c>
      <c r="AD98" s="8">
        <f ca="1">AD95+SUM($C97:AD97)</f>
        <v>1705000.9649706078</v>
      </c>
      <c r="AE98" s="8">
        <f ca="1">AE95+SUM($C97:AE97)</f>
        <v>1753031.0633963605</v>
      </c>
      <c r="AF98" s="8">
        <f ca="1">AF95+SUM($C97:AF97)</f>
        <v>1802719.5201560468</v>
      </c>
      <c r="AG98" s="8">
        <f ca="1">AG95+SUM($C97:AG97)</f>
        <v>1854129.6587253201</v>
      </c>
      <c r="AH98" s="8">
        <f ca="1">AH95+SUM($C97:AH97)</f>
        <v>1907327.2450107713</v>
      </c>
      <c r="AI98" s="8">
        <f ca="1">AI95+SUM($C97:AI97)</f>
        <v>1962380.5792762381</v>
      </c>
      <c r="AJ98" s="8">
        <f ca="1">AJ95+SUM($C97:AJ97)</f>
        <v>2019360.5914203662</v>
      </c>
      <c r="AK98" s="8">
        <f ca="1">AK95+SUM($C97:AK97)</f>
        <v>2078340.9397239783</v>
      </c>
      <c r="AL98" s="8">
        <f ca="1">AL95+SUM($C97:AL97)</f>
        <v>2139398.1131898882</v>
      </c>
      <c r="AM98" s="8">
        <f ca="1">AM95+SUM($C97:AM97)</f>
        <v>2202611.5376020237</v>
      </c>
    </row>
    <row r="99" spans="1:39" x14ac:dyDescent="0.2">
      <c r="A99" s="4" t="s">
        <v>21</v>
      </c>
      <c r="C99" s="8">
        <f ca="1">IF(C98&lt;0,C95,0)</f>
        <v>0</v>
      </c>
      <c r="D99" s="8">
        <f ca="1">IF(D98+SUM($C99:C99)&lt;0,-(D98+SUM($C99:C99)),0)</f>
        <v>0</v>
      </c>
      <c r="E99" s="8">
        <f ca="1">IF(E98+SUM($C99:D99)&lt;0,-(E98+SUM($C99:D99)),0)</f>
        <v>0</v>
      </c>
      <c r="F99" s="8">
        <f ca="1">IF(F98+SUM($C99:E99)&lt;0,-(F98+SUM($C99:E99)),0)</f>
        <v>0</v>
      </c>
      <c r="G99" s="8">
        <f ca="1">IF(G98+SUM($C99:F99)&lt;0,-(G98+SUM($C99:F99)),0)</f>
        <v>0</v>
      </c>
      <c r="H99" s="8">
        <f ca="1">IF(H98+SUM($C99:G99)&lt;0,-(H98+SUM($C99:G99)),0)</f>
        <v>0</v>
      </c>
      <c r="I99" s="8">
        <f ca="1">IF(I98+SUM($C99:H99)&lt;0,-(I98+SUM($C99:H99)),0)</f>
        <v>0</v>
      </c>
      <c r="J99" s="8">
        <f ca="1">IF(J98+SUM($C99:I99)&lt;0,-(J98+SUM($C99:I99)),0)</f>
        <v>0</v>
      </c>
      <c r="K99" s="8">
        <f ca="1">IF(K98+SUM($C99:J99)&lt;0,-(K98+SUM($C99:J99)),0)</f>
        <v>0</v>
      </c>
      <c r="L99" s="8">
        <f ca="1">IF(L98+SUM($C99:K99)&lt;0,-(L98+SUM($C99:K99)),0)</f>
        <v>0</v>
      </c>
      <c r="M99" s="8">
        <f ca="1">IF(M98+SUM($C99:L99)&lt;0,-(M98+SUM($C99:L99)),0)</f>
        <v>0</v>
      </c>
      <c r="N99" s="8">
        <f ca="1">IF(N98+SUM($C99:M99)&lt;0,-(N98+SUM($C99:M99)),0)</f>
        <v>0</v>
      </c>
      <c r="O99" s="8">
        <f ca="1">IF(O98+SUM($C99:N99)&lt;0,-(O98+SUM($C99:N99)),0)</f>
        <v>0</v>
      </c>
      <c r="P99" s="8">
        <f ca="1">IF(P98+SUM($C99:O99)&lt;0,-(P98+SUM($C99:O99)),0)</f>
        <v>0</v>
      </c>
      <c r="Q99" s="8">
        <f ca="1">IF(Q98+SUM($C99:P99)&lt;0,-(Q98+SUM($C99:P99)),0)</f>
        <v>0</v>
      </c>
      <c r="R99" s="8">
        <f ca="1">IF(R98+SUM($C99:Q99)&lt;0,-(R98+SUM($C99:Q99)),0)</f>
        <v>0</v>
      </c>
      <c r="S99" s="8">
        <f ca="1">IF(S98+SUM($C99:R99)&lt;0,-(S98+SUM($C99:R99)),0)</f>
        <v>0</v>
      </c>
      <c r="T99" s="8">
        <f ca="1">IF(T98+SUM($C99:S99)&lt;0,-(T98+SUM($C99:S99)),0)</f>
        <v>0</v>
      </c>
      <c r="U99" s="8">
        <f ca="1">IF(U98+SUM($C99:T99)&lt;0,-(U98+SUM($C99:T99)),0)</f>
        <v>0</v>
      </c>
      <c r="V99" s="8">
        <f ca="1">IF(V98+SUM($C99:U99)&lt;0,-(V98+SUM($C99:U99)),0)</f>
        <v>0</v>
      </c>
      <c r="W99" s="8">
        <f ca="1">IF(W98+SUM($C99:V99)&lt;0,-(W98+SUM($C99:V99)),0)</f>
        <v>0</v>
      </c>
      <c r="X99" s="8">
        <f ca="1">IF(X98+SUM($C99:W99)&lt;0,-(X98+SUM($C99:W99)),0)</f>
        <v>0</v>
      </c>
      <c r="Y99" s="8">
        <f ca="1">IF(Y98+SUM($C99:X99)&lt;0,-(Y98+SUM($C99:X99)),0)</f>
        <v>0</v>
      </c>
      <c r="Z99" s="8">
        <f ca="1">IF(Z98+SUM($C99:Y99)&lt;0,-(Z98+SUM($C99:Y99)),0)</f>
        <v>0</v>
      </c>
      <c r="AA99" s="8">
        <f ca="1">IF(AA98+SUM($C99:Z99)&lt;0,-(AA98+SUM($C99:Z99)),0)</f>
        <v>0</v>
      </c>
      <c r="AB99" s="8">
        <f ca="1">IF(AB98+SUM($C99:AA99)&lt;0,-(AB98+SUM($C99:AA99)),0)</f>
        <v>0</v>
      </c>
      <c r="AC99" s="8">
        <f ca="1">IF(AC98+SUM($C99:AB99)&lt;0,-(AC98+SUM($C99:AB99)),0)</f>
        <v>0</v>
      </c>
      <c r="AD99" s="8">
        <f ca="1">IF(AD98+SUM($C99:AC99)&lt;0,-(AD98+SUM($C99:AC99)),0)</f>
        <v>0</v>
      </c>
      <c r="AE99" s="8">
        <f ca="1">IF(AE98+SUM($C99:AD99)&lt;0,-(AE98+SUM($C99:AD99)),0)</f>
        <v>0</v>
      </c>
      <c r="AF99" s="8">
        <f ca="1">IF(AF98+SUM($C99:AE99)&lt;0,-(AF98+SUM($C99:AE99)),0)</f>
        <v>0</v>
      </c>
      <c r="AG99" s="8">
        <f ca="1">IF(AG98+SUM($C99:AF99)&lt;0,-(AG98+SUM($C99:AF99)),0)</f>
        <v>0</v>
      </c>
      <c r="AH99" s="8">
        <f ca="1">IF(AH98+SUM($C99:AG99)&lt;0,-(AH98+SUM($C99:AG99)),0)</f>
        <v>0</v>
      </c>
      <c r="AI99" s="8">
        <f ca="1">IF(AI98+SUM($C99:AH99)&lt;0,-(AI98+SUM($C99:AH99)),0)</f>
        <v>0</v>
      </c>
      <c r="AJ99" s="8">
        <f ca="1">IF(AJ98+SUM($C99:AI99)&lt;0,-(AJ98+SUM($C99:AI99)),0)</f>
        <v>0</v>
      </c>
      <c r="AK99" s="8">
        <f ca="1">IF(AK98+SUM($C99:AJ99)&lt;0,-(AK98+SUM($C99:AJ99)),0)</f>
        <v>0</v>
      </c>
      <c r="AL99" s="8">
        <f ca="1">IF(AL98+SUM($C99:AK99)&lt;0,-(AL98+SUM($C99:AK99)),0)</f>
        <v>0</v>
      </c>
      <c r="AM99" s="8">
        <f ca="1">IF(AM98+SUM($C99:AL99)&lt;0,-(AM98+SUM($C99:AL99)),0)</f>
        <v>0</v>
      </c>
    </row>
    <row r="100" spans="1:39" x14ac:dyDescent="0.2"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</row>
    <row r="101" spans="1:39" x14ac:dyDescent="0.2">
      <c r="A101" s="29" t="str">
        <f>IF(Inputs!$B$165=6,IFERROR(_xlfn.XLOOKUP($B101,Inputs!$B$166:$B$168,Inputs!$A$166:$A$168,,0,1),""),IFERROR(_xlfn.XLOOKUP($B101,Inputs!$C$166:$C$168,Inputs!$A$166:$A$168,,0,1),""))</f>
        <v>Qormi</v>
      </c>
      <c r="B101" s="31">
        <v>2</v>
      </c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</row>
    <row r="102" spans="1:39" x14ac:dyDescent="0.2">
      <c r="A102" s="4" t="s">
        <v>23</v>
      </c>
      <c r="C102" s="8">
        <f>IFERROR(VLOOKUP($A101,$A$52:$H$66,C$1+2,FALSE),0)</f>
        <v>226600</v>
      </c>
      <c r="D102" s="8">
        <f ca="1">C105</f>
        <v>226600</v>
      </c>
      <c r="E102" s="8">
        <f t="shared" ref="E102" ca="1" si="335">D105</f>
        <v>233398</v>
      </c>
      <c r="F102" s="8">
        <f t="shared" ref="F102" ca="1" si="336">E105</f>
        <v>240399.94</v>
      </c>
      <c r="G102" s="8">
        <f t="shared" ref="G102:AM102" ca="1" si="337">F105</f>
        <v>247611.9382</v>
      </c>
      <c r="H102" s="8">
        <f t="shared" ca="1" si="337"/>
        <v>255040.29634600002</v>
      </c>
      <c r="I102" s="8">
        <f t="shared" ca="1" si="337"/>
        <v>262691.50523638004</v>
      </c>
      <c r="J102" s="8">
        <f t="shared" ref="J102" ca="1" si="338">I105</f>
        <v>270572.25039347145</v>
      </c>
      <c r="K102" s="8">
        <f t="shared" ref="K102" ca="1" si="339">J105</f>
        <v>278689.41790527559</v>
      </c>
      <c r="L102" s="8">
        <f t="shared" ref="L102" ca="1" si="340">K105</f>
        <v>287050.10044243385</v>
      </c>
      <c r="M102" s="8">
        <f t="shared" ref="M102" ca="1" si="341">L105</f>
        <v>295661.60345570685</v>
      </c>
      <c r="N102" s="8">
        <f t="shared" ref="N102" ca="1" si="342">M105</f>
        <v>304531.45155937807</v>
      </c>
      <c r="O102" s="8">
        <f t="shared" ref="O102" ca="1" si="343">N105</f>
        <v>313667.39510615938</v>
      </c>
      <c r="P102" s="8">
        <f t="shared" ref="P102" ca="1" si="344">O105</f>
        <v>323077.41695934418</v>
      </c>
      <c r="Q102" s="8">
        <f t="shared" ref="Q102" ca="1" si="345">P105</f>
        <v>332769.73946812452</v>
      </c>
      <c r="R102" s="8">
        <f t="shared" ref="R102" ca="1" si="346">Q105</f>
        <v>342752.83165216824</v>
      </c>
      <c r="S102" s="8">
        <f t="shared" ref="S102" ca="1" si="347">R105</f>
        <v>353035.4166017333</v>
      </c>
      <c r="T102" s="8">
        <f t="shared" ref="T102" ca="1" si="348">S105</f>
        <v>363626.47909978533</v>
      </c>
      <c r="U102" s="8">
        <f t="shared" ref="U102" ca="1" si="349">T105</f>
        <v>374535.27347277891</v>
      </c>
      <c r="V102" s="8">
        <f t="shared" ref="V102" ca="1" si="350">U105</f>
        <v>385771.33167696226</v>
      </c>
      <c r="W102" s="8">
        <f t="shared" ref="W102" ca="1" si="351">V105</f>
        <v>397344.47162727115</v>
      </c>
      <c r="X102" s="8">
        <f t="shared" ref="X102" ca="1" si="352">W105</f>
        <v>409264.80577608931</v>
      </c>
      <c r="Y102" s="8">
        <f t="shared" ref="Y102" ca="1" si="353">X105</f>
        <v>421542.74994937197</v>
      </c>
      <c r="Z102" s="8">
        <f t="shared" ref="Z102" ca="1" si="354">Y105</f>
        <v>434189.03244785313</v>
      </c>
      <c r="AA102" s="8">
        <f t="shared" ref="AA102" ca="1" si="355">Z105</f>
        <v>447214.70342128869</v>
      </c>
      <c r="AB102" s="8">
        <f t="shared" ref="AB102" ca="1" si="356">AA105</f>
        <v>460631.14452392736</v>
      </c>
      <c r="AC102" s="8">
        <f t="shared" ref="AC102" ca="1" si="357">AB105</f>
        <v>474450.07885964517</v>
      </c>
      <c r="AD102" s="8">
        <f t="shared" ref="AD102" ca="1" si="358">AC105</f>
        <v>488683.58122543455</v>
      </c>
      <c r="AE102" s="8">
        <f t="shared" ref="AE102" ca="1" si="359">AD105</f>
        <v>503344.08866219758</v>
      </c>
      <c r="AF102" s="8">
        <f t="shared" ref="AF102" ca="1" si="360">AE105</f>
        <v>518444.41132206353</v>
      </c>
      <c r="AG102" s="8">
        <f t="shared" ref="AG102" ca="1" si="361">AF105</f>
        <v>533997.74366172543</v>
      </c>
      <c r="AH102" s="8">
        <f t="shared" ref="AH102" ca="1" si="362">AG105</f>
        <v>550017.67597157718</v>
      </c>
      <c r="AI102" s="8">
        <f t="shared" ref="AI102" ca="1" si="363">AH105</f>
        <v>566518.2062507245</v>
      </c>
      <c r="AJ102" s="8">
        <f t="shared" ref="AJ102" ca="1" si="364">AI105</f>
        <v>583513.75243824627</v>
      </c>
      <c r="AK102" s="8">
        <f t="shared" ref="AK102" ca="1" si="365">AJ105</f>
        <v>601019.1650113936</v>
      </c>
      <c r="AL102" s="8">
        <f t="shared" ref="AL102" ca="1" si="366">AK105</f>
        <v>619049.73996173544</v>
      </c>
      <c r="AM102" s="8">
        <f t="shared" ref="AM102" ca="1" si="367">AL105</f>
        <v>637621.23216058745</v>
      </c>
    </row>
    <row r="103" spans="1:39" x14ac:dyDescent="0.2">
      <c r="A103" s="4" t="s">
        <v>24</v>
      </c>
      <c r="C103" s="8">
        <f ca="1">-IF(SUM(C99:D99)&gt;0,C102,0)</f>
        <v>0</v>
      </c>
      <c r="D103" s="8">
        <f ca="1">-IF(E99&gt;0,D102,0)</f>
        <v>0</v>
      </c>
      <c r="E103" s="8">
        <f ca="1">-IF(F99&gt;0,E102,0)</f>
        <v>0</v>
      </c>
      <c r="F103" s="8">
        <f ca="1">-IF(G99&gt;0,F102,0)</f>
        <v>0</v>
      </c>
      <c r="G103" s="8">
        <f t="shared" ref="G103:AL103" ca="1" si="368">-IF(H99&gt;0,G102,0)</f>
        <v>0</v>
      </c>
      <c r="H103" s="8">
        <f t="shared" ca="1" si="368"/>
        <v>0</v>
      </c>
      <c r="I103" s="8">
        <f t="shared" ca="1" si="368"/>
        <v>0</v>
      </c>
      <c r="J103" s="8">
        <f t="shared" ref="J103" ca="1" si="369">-IF(K99&gt;0,J102,0)</f>
        <v>0</v>
      </c>
      <c r="K103" s="8">
        <f t="shared" ref="K103" ca="1" si="370">-IF(L99&gt;0,K102,0)</f>
        <v>0</v>
      </c>
      <c r="L103" s="8">
        <f t="shared" ref="L103" ca="1" si="371">-IF(M99&gt;0,L102,0)</f>
        <v>0</v>
      </c>
      <c r="M103" s="8">
        <f t="shared" ref="M103" ca="1" si="372">-IF(N99&gt;0,M102,0)</f>
        <v>0</v>
      </c>
      <c r="N103" s="8">
        <f t="shared" ref="N103" ca="1" si="373">-IF(O99&gt;0,N102,0)</f>
        <v>0</v>
      </c>
      <c r="O103" s="8">
        <f t="shared" ref="O103" ca="1" si="374">-IF(P99&gt;0,O102,0)</f>
        <v>0</v>
      </c>
      <c r="P103" s="8">
        <f t="shared" ref="P103" ca="1" si="375">-IF(Q99&gt;0,P102,0)</f>
        <v>0</v>
      </c>
      <c r="Q103" s="8">
        <f t="shared" ref="Q103" ca="1" si="376">-IF(R99&gt;0,Q102,0)</f>
        <v>0</v>
      </c>
      <c r="R103" s="8">
        <f t="shared" ref="R103" ca="1" si="377">-IF(S99&gt;0,R102,0)</f>
        <v>0</v>
      </c>
      <c r="S103" s="8">
        <f t="shared" ref="S103" ca="1" si="378">-IF(T99&gt;0,S102,0)</f>
        <v>0</v>
      </c>
      <c r="T103" s="8">
        <f t="shared" ref="T103" ca="1" si="379">-IF(U99&gt;0,T102,0)</f>
        <v>0</v>
      </c>
      <c r="U103" s="8">
        <f t="shared" ref="U103" ca="1" si="380">-IF(V99&gt;0,U102,0)</f>
        <v>0</v>
      </c>
      <c r="V103" s="8">
        <f t="shared" ref="V103" ca="1" si="381">-IF(W99&gt;0,V102,0)</f>
        <v>0</v>
      </c>
      <c r="W103" s="8">
        <f t="shared" ref="W103" ca="1" si="382">-IF(X99&gt;0,W102,0)</f>
        <v>0</v>
      </c>
      <c r="X103" s="8">
        <f t="shared" ref="X103" ca="1" si="383">-IF(Y99&gt;0,X102,0)</f>
        <v>0</v>
      </c>
      <c r="Y103" s="8">
        <f t="shared" ref="Y103" ca="1" si="384">-IF(Z99&gt;0,Y102,0)</f>
        <v>0</v>
      </c>
      <c r="Z103" s="8">
        <f t="shared" ref="Z103" ca="1" si="385">-IF(AA99&gt;0,Z102,0)</f>
        <v>0</v>
      </c>
      <c r="AA103" s="8">
        <f t="shared" ref="AA103" ca="1" si="386">-IF(AB99&gt;0,AA102,0)</f>
        <v>0</v>
      </c>
      <c r="AB103" s="8">
        <f t="shared" ref="AB103" ca="1" si="387">-IF(AC99&gt;0,AB102,0)</f>
        <v>0</v>
      </c>
      <c r="AC103" s="8">
        <f t="shared" ref="AC103" ca="1" si="388">-IF(AD99&gt;0,AC102,0)</f>
        <v>0</v>
      </c>
      <c r="AD103" s="8">
        <f t="shared" ref="AD103" ca="1" si="389">-IF(AE99&gt;0,AD102,0)</f>
        <v>0</v>
      </c>
      <c r="AE103" s="8">
        <f t="shared" ref="AE103" ca="1" si="390">-IF(AF99&gt;0,AE102,0)</f>
        <v>0</v>
      </c>
      <c r="AF103" s="8">
        <f t="shared" ref="AF103" ca="1" si="391">-IF(AG99&gt;0,AF102,0)</f>
        <v>0</v>
      </c>
      <c r="AG103" s="8">
        <f t="shared" ref="AG103" ca="1" si="392">-IF(AH99&gt;0,AG102,0)</f>
        <v>0</v>
      </c>
      <c r="AH103" s="8">
        <f t="shared" ref="AH103" ca="1" si="393">-IF(AI99&gt;0,AH102,0)</f>
        <v>0</v>
      </c>
      <c r="AI103" s="8">
        <f t="shared" ref="AI103" ca="1" si="394">-IF(AJ99&gt;0,AI102,0)</f>
        <v>0</v>
      </c>
      <c r="AJ103" s="8">
        <f t="shared" ref="AJ103" ca="1" si="395">-IF(AK99&gt;0,AJ102,0)</f>
        <v>0</v>
      </c>
      <c r="AK103" s="8">
        <f t="shared" ref="AK103" ca="1" si="396">-IF(AL99&gt;0,AK102,0)</f>
        <v>0</v>
      </c>
      <c r="AL103" s="8">
        <f t="shared" ref="AL103" ca="1" si="397">-IF(AM99&gt;0,AL102,0)</f>
        <v>0</v>
      </c>
      <c r="AM103" s="8">
        <f t="shared" ref="AM103" si="398">-IF(AN99&gt;0,AM102,0)</f>
        <v>0</v>
      </c>
    </row>
    <row r="104" spans="1:39" x14ac:dyDescent="0.2">
      <c r="A104" s="4" t="s">
        <v>25</v>
      </c>
      <c r="C104" s="8">
        <v>0</v>
      </c>
      <c r="D104" s="8">
        <f t="shared" ref="D104:G104" ca="1" si="399">SUM(D102:D103)*princ</f>
        <v>6798</v>
      </c>
      <c r="E104" s="8">
        <f t="shared" ca="1" si="399"/>
        <v>7001.94</v>
      </c>
      <c r="F104" s="8">
        <f t="shared" ca="1" si="399"/>
        <v>7211.9982</v>
      </c>
      <c r="G104" s="8">
        <f t="shared" ca="1" si="399"/>
        <v>7428.3581459999996</v>
      </c>
      <c r="H104" s="8">
        <f t="shared" ref="H104:AM104" ca="1" si="400">SUM(H102:H103)*princ</f>
        <v>7651.2088903800004</v>
      </c>
      <c r="I104" s="8">
        <f t="shared" ca="1" si="400"/>
        <v>7880.7451570914009</v>
      </c>
      <c r="J104" s="8">
        <f t="shared" ref="J104:AM104" ca="1" si="401">SUM(J102:J103)*princ</f>
        <v>8117.167511804143</v>
      </c>
      <c r="K104" s="8">
        <f t="shared" ca="1" si="401"/>
        <v>8360.6825371582672</v>
      </c>
      <c r="L104" s="8">
        <f t="shared" ca="1" si="401"/>
        <v>8611.5030132730153</v>
      </c>
      <c r="M104" s="8">
        <f t="shared" ca="1" si="401"/>
        <v>8869.8481036712055</v>
      </c>
      <c r="N104" s="8">
        <f t="shared" ca="1" si="401"/>
        <v>9135.9435467813419</v>
      </c>
      <c r="O104" s="8">
        <f t="shared" ca="1" si="401"/>
        <v>9410.0218531847804</v>
      </c>
      <c r="P104" s="8">
        <f t="shared" ca="1" si="401"/>
        <v>9692.3225087803257</v>
      </c>
      <c r="Q104" s="8">
        <f t="shared" ca="1" si="401"/>
        <v>9983.092184043735</v>
      </c>
      <c r="R104" s="8">
        <f t="shared" ca="1" si="401"/>
        <v>10282.584949565047</v>
      </c>
      <c r="S104" s="8">
        <f t="shared" ca="1" si="401"/>
        <v>10591.062498051999</v>
      </c>
      <c r="T104" s="8">
        <f t="shared" ca="1" si="401"/>
        <v>10908.79437299356</v>
      </c>
      <c r="U104" s="8">
        <f t="shared" ca="1" si="401"/>
        <v>11236.058204183366</v>
      </c>
      <c r="V104" s="8">
        <f t="shared" ca="1" si="401"/>
        <v>11573.139950308867</v>
      </c>
      <c r="W104" s="8">
        <f t="shared" ca="1" si="401"/>
        <v>11920.334148818134</v>
      </c>
      <c r="X104" s="8">
        <f t="shared" ca="1" si="401"/>
        <v>12277.944173282678</v>
      </c>
      <c r="Y104" s="8">
        <f t="shared" ca="1" si="401"/>
        <v>12646.282498481158</v>
      </c>
      <c r="Z104" s="8">
        <f t="shared" ca="1" si="401"/>
        <v>13025.670973435594</v>
      </c>
      <c r="AA104" s="8">
        <f t="shared" ca="1" si="401"/>
        <v>13416.441102638661</v>
      </c>
      <c r="AB104" s="8">
        <f t="shared" ca="1" si="401"/>
        <v>13818.93433571782</v>
      </c>
      <c r="AC104" s="8">
        <f t="shared" ca="1" si="401"/>
        <v>14233.502365789354</v>
      </c>
      <c r="AD104" s="8">
        <f t="shared" ca="1" si="401"/>
        <v>14660.507436763037</v>
      </c>
      <c r="AE104" s="8">
        <f t="shared" ca="1" si="401"/>
        <v>15100.322659865928</v>
      </c>
      <c r="AF104" s="8">
        <f t="shared" ca="1" si="401"/>
        <v>15553.332339661905</v>
      </c>
      <c r="AG104" s="8">
        <f t="shared" ca="1" si="401"/>
        <v>16019.932309851762</v>
      </c>
      <c r="AH104" s="8">
        <f t="shared" ca="1" si="401"/>
        <v>16500.530279147315</v>
      </c>
      <c r="AI104" s="8">
        <f t="shared" ca="1" si="401"/>
        <v>16995.546187521733</v>
      </c>
      <c r="AJ104" s="8">
        <f t="shared" ca="1" si="401"/>
        <v>17505.412573147387</v>
      </c>
      <c r="AK104" s="8">
        <f t="shared" ca="1" si="401"/>
        <v>18030.574950341808</v>
      </c>
      <c r="AL104" s="8">
        <f t="shared" ca="1" si="401"/>
        <v>18571.492198852062</v>
      </c>
      <c r="AM104" s="8">
        <f t="shared" ca="1" si="401"/>
        <v>19128.636964817622</v>
      </c>
    </row>
    <row r="105" spans="1:39" x14ac:dyDescent="0.2">
      <c r="A105" s="4" t="s">
        <v>26</v>
      </c>
      <c r="C105" s="8">
        <f ca="1">SUM(C102:C104)</f>
        <v>226600</v>
      </c>
      <c r="D105" s="8">
        <f t="shared" ref="D105:G105" ca="1" si="402">SUM(D102:D104)</f>
        <v>233398</v>
      </c>
      <c r="E105" s="8">
        <f t="shared" ca="1" si="402"/>
        <v>240399.94</v>
      </c>
      <c r="F105" s="8">
        <f t="shared" ca="1" si="402"/>
        <v>247611.9382</v>
      </c>
      <c r="G105" s="8">
        <f t="shared" ca="1" si="402"/>
        <v>255040.29634600002</v>
      </c>
      <c r="H105" s="8">
        <f t="shared" ref="H105:AM105" ca="1" si="403">SUM(H102:H104)</f>
        <v>262691.50523638004</v>
      </c>
      <c r="I105" s="8">
        <f t="shared" ca="1" si="403"/>
        <v>270572.25039347145</v>
      </c>
      <c r="J105" s="8">
        <f t="shared" ref="J105:AM105" ca="1" si="404">SUM(J102:J104)</f>
        <v>278689.41790527559</v>
      </c>
      <c r="K105" s="8">
        <f t="shared" ca="1" si="404"/>
        <v>287050.10044243385</v>
      </c>
      <c r="L105" s="8">
        <f t="shared" ca="1" si="404"/>
        <v>295661.60345570685</v>
      </c>
      <c r="M105" s="8">
        <f t="shared" ca="1" si="404"/>
        <v>304531.45155937807</v>
      </c>
      <c r="N105" s="8">
        <f t="shared" ca="1" si="404"/>
        <v>313667.39510615938</v>
      </c>
      <c r="O105" s="8">
        <f t="shared" ca="1" si="404"/>
        <v>323077.41695934418</v>
      </c>
      <c r="P105" s="8">
        <f t="shared" ca="1" si="404"/>
        <v>332769.73946812452</v>
      </c>
      <c r="Q105" s="8">
        <f t="shared" ca="1" si="404"/>
        <v>342752.83165216824</v>
      </c>
      <c r="R105" s="8">
        <f t="shared" ca="1" si="404"/>
        <v>353035.4166017333</v>
      </c>
      <c r="S105" s="8">
        <f t="shared" ca="1" si="404"/>
        <v>363626.47909978533</v>
      </c>
      <c r="T105" s="8">
        <f t="shared" ca="1" si="404"/>
        <v>374535.27347277891</v>
      </c>
      <c r="U105" s="8">
        <f t="shared" ca="1" si="404"/>
        <v>385771.33167696226</v>
      </c>
      <c r="V105" s="8">
        <f t="shared" ca="1" si="404"/>
        <v>397344.47162727115</v>
      </c>
      <c r="W105" s="8">
        <f t="shared" ca="1" si="404"/>
        <v>409264.80577608931</v>
      </c>
      <c r="X105" s="8">
        <f t="shared" ca="1" si="404"/>
        <v>421542.74994937197</v>
      </c>
      <c r="Y105" s="8">
        <f t="shared" ca="1" si="404"/>
        <v>434189.03244785313</v>
      </c>
      <c r="Z105" s="8">
        <f t="shared" ca="1" si="404"/>
        <v>447214.70342128869</v>
      </c>
      <c r="AA105" s="8">
        <f t="shared" ca="1" si="404"/>
        <v>460631.14452392736</v>
      </c>
      <c r="AB105" s="8">
        <f t="shared" ca="1" si="404"/>
        <v>474450.07885964517</v>
      </c>
      <c r="AC105" s="8">
        <f t="shared" ca="1" si="404"/>
        <v>488683.58122543455</v>
      </c>
      <c r="AD105" s="8">
        <f t="shared" ca="1" si="404"/>
        <v>503344.08866219758</v>
      </c>
      <c r="AE105" s="8">
        <f t="shared" ca="1" si="404"/>
        <v>518444.41132206353</v>
      </c>
      <c r="AF105" s="8">
        <f t="shared" ca="1" si="404"/>
        <v>533997.74366172543</v>
      </c>
      <c r="AG105" s="8">
        <f t="shared" ca="1" si="404"/>
        <v>550017.67597157718</v>
      </c>
      <c r="AH105" s="8">
        <f t="shared" ca="1" si="404"/>
        <v>566518.2062507245</v>
      </c>
      <c r="AI105" s="8">
        <f t="shared" ca="1" si="404"/>
        <v>583513.75243824627</v>
      </c>
      <c r="AJ105" s="8">
        <f t="shared" ca="1" si="404"/>
        <v>601019.1650113936</v>
      </c>
      <c r="AK105" s="8">
        <f t="shared" ca="1" si="404"/>
        <v>619049.73996173544</v>
      </c>
      <c r="AL105" s="8">
        <f t="shared" ca="1" si="404"/>
        <v>637621.23216058745</v>
      </c>
      <c r="AM105" s="8">
        <f t="shared" ca="1" si="404"/>
        <v>656749.86912540509</v>
      </c>
    </row>
    <row r="106" spans="1:39" x14ac:dyDescent="0.2">
      <c r="A106" s="4" t="s">
        <v>27</v>
      </c>
      <c r="C106" s="8">
        <f ca="1">C103*Inputs!$B$163</f>
        <v>0</v>
      </c>
      <c r="D106" s="8">
        <f ca="1">D103*Inputs!$B$163</f>
        <v>0</v>
      </c>
      <c r="E106" s="8">
        <f ca="1">E103*Inputs!$B$163</f>
        <v>0</v>
      </c>
      <c r="F106" s="8">
        <f ca="1">F103*Inputs!$B$163</f>
        <v>0</v>
      </c>
      <c r="G106" s="8">
        <f ca="1">G103*Inputs!$B$163</f>
        <v>0</v>
      </c>
      <c r="H106" s="8">
        <f ca="1">H103*Inputs!$B$163</f>
        <v>0</v>
      </c>
      <c r="I106" s="8">
        <f ca="1">I103*Inputs!$B$163</f>
        <v>0</v>
      </c>
      <c r="J106" s="8">
        <f ca="1">J103*Inputs!$B$163</f>
        <v>0</v>
      </c>
      <c r="K106" s="8">
        <f ca="1">K103*Inputs!$B$163</f>
        <v>0</v>
      </c>
      <c r="L106" s="8">
        <f ca="1">L103*Inputs!$B$163</f>
        <v>0</v>
      </c>
      <c r="M106" s="8">
        <f ca="1">M103*Inputs!$B$163</f>
        <v>0</v>
      </c>
      <c r="N106" s="8">
        <f ca="1">N103*Inputs!$B$163</f>
        <v>0</v>
      </c>
      <c r="O106" s="8">
        <f ca="1">O103*Inputs!$B$163</f>
        <v>0</v>
      </c>
      <c r="P106" s="8">
        <f ca="1">P103*Inputs!$B$163</f>
        <v>0</v>
      </c>
      <c r="Q106" s="8">
        <f ca="1">Q103*Inputs!$B$163</f>
        <v>0</v>
      </c>
      <c r="R106" s="8">
        <f ca="1">R103*Inputs!$B$163</f>
        <v>0</v>
      </c>
      <c r="S106" s="8">
        <f ca="1">S103*Inputs!$B$163</f>
        <v>0</v>
      </c>
      <c r="T106" s="8">
        <f ca="1">T103*Inputs!$B$163</f>
        <v>0</v>
      </c>
      <c r="U106" s="8">
        <f ca="1">U103*Inputs!$B$163</f>
        <v>0</v>
      </c>
      <c r="V106" s="8">
        <f ca="1">V103*Inputs!$B$163</f>
        <v>0</v>
      </c>
      <c r="W106" s="8">
        <f ca="1">W103*Inputs!$B$163</f>
        <v>0</v>
      </c>
      <c r="X106" s="8">
        <f ca="1">X103*Inputs!$B$163</f>
        <v>0</v>
      </c>
      <c r="Y106" s="8">
        <f ca="1">Y103*Inputs!$B$163</f>
        <v>0</v>
      </c>
      <c r="Z106" s="8">
        <f ca="1">Z103*Inputs!$B$163</f>
        <v>0</v>
      </c>
      <c r="AA106" s="8">
        <f ca="1">AA103*Inputs!$B$163</f>
        <v>0</v>
      </c>
      <c r="AB106" s="8">
        <f ca="1">AB103*Inputs!$B$163</f>
        <v>0</v>
      </c>
      <c r="AC106" s="8">
        <f ca="1">AC103*Inputs!$B$163</f>
        <v>0</v>
      </c>
      <c r="AD106" s="8">
        <f ca="1">AD103*Inputs!$B$163</f>
        <v>0</v>
      </c>
      <c r="AE106" s="8">
        <f ca="1">AE103*Inputs!$B$163</f>
        <v>0</v>
      </c>
      <c r="AF106" s="8">
        <f ca="1">AF103*Inputs!$B$163</f>
        <v>0</v>
      </c>
      <c r="AG106" s="8">
        <f ca="1">AG103*Inputs!$B$163</f>
        <v>0</v>
      </c>
      <c r="AH106" s="8">
        <f ca="1">AH103*Inputs!$B$163</f>
        <v>0</v>
      </c>
      <c r="AI106" s="8">
        <f ca="1">AI103*Inputs!$B$163</f>
        <v>0</v>
      </c>
      <c r="AJ106" s="8">
        <f ca="1">AJ103*Inputs!$B$163</f>
        <v>0</v>
      </c>
      <c r="AK106" s="8">
        <f ca="1">AK103*Inputs!$B$163</f>
        <v>0</v>
      </c>
      <c r="AL106" s="8">
        <f ca="1">AL103*Inputs!$B$163</f>
        <v>0</v>
      </c>
      <c r="AM106" s="8">
        <f>AM103*Inputs!$B$163</f>
        <v>0</v>
      </c>
    </row>
    <row r="107" spans="1:39" x14ac:dyDescent="0.2">
      <c r="A107" s="4" t="s">
        <v>34</v>
      </c>
      <c r="C107" s="8">
        <f>IFERROR(-IF(C102=0,VLOOKUP($A101,$7:$10,C$1+2,FALSE),0),0)</f>
        <v>0</v>
      </c>
      <c r="D107" s="8">
        <f ca="1">IFERROR(-IF(D102=0,VLOOKUP($A101,$7:$10,D$1+2,FALSE),0),0)</f>
        <v>0</v>
      </c>
      <c r="E107" s="8">
        <f ca="1">IFERROR(-IF(E102=0,VLOOKUP($A101,$7:$10,E$1+2,FALSE),0),0)</f>
        <v>0</v>
      </c>
      <c r="F107" s="8">
        <f ca="1">IFERROR(-IF(F102=0,VLOOKUP($A101,$7:$10,F$1+2,FALSE),0),0)</f>
        <v>0</v>
      </c>
      <c r="G107" s="8">
        <f ca="1">IFERROR(-IF(G102=0,VLOOKUP($A101,$7:$10,G$1+2,FALSE),0),0)</f>
        <v>0</v>
      </c>
      <c r="H107" s="8">
        <f ca="1">IFERROR(-IF(H102=0,VLOOKUP($A101,$7:$10,H$1+2,FALSE),0),0)</f>
        <v>0</v>
      </c>
      <c r="I107" s="8">
        <f ca="1">IFERROR(-IF(I102=0,VLOOKUP($A101,$7:$10,I$1+2,FALSE),0),0)</f>
        <v>0</v>
      </c>
      <c r="J107" s="8">
        <f t="shared" ref="J107:AM107" ca="1" si="405">IFERROR(-IF(J102=0,VLOOKUP($A101,$7:$10,J$1+2,FALSE),0),0)</f>
        <v>0</v>
      </c>
      <c r="K107" s="8">
        <f t="shared" ca="1" si="405"/>
        <v>0</v>
      </c>
      <c r="L107" s="8">
        <f t="shared" ca="1" si="405"/>
        <v>0</v>
      </c>
      <c r="M107" s="8">
        <f t="shared" ca="1" si="405"/>
        <v>0</v>
      </c>
      <c r="N107" s="8">
        <f t="shared" ca="1" si="405"/>
        <v>0</v>
      </c>
      <c r="O107" s="8">
        <f t="shared" ca="1" si="405"/>
        <v>0</v>
      </c>
      <c r="P107" s="8">
        <f t="shared" ca="1" si="405"/>
        <v>0</v>
      </c>
      <c r="Q107" s="8">
        <f t="shared" ca="1" si="405"/>
        <v>0</v>
      </c>
      <c r="R107" s="8">
        <f t="shared" ca="1" si="405"/>
        <v>0</v>
      </c>
      <c r="S107" s="8">
        <f t="shared" ca="1" si="405"/>
        <v>0</v>
      </c>
      <c r="T107" s="8">
        <f t="shared" ca="1" si="405"/>
        <v>0</v>
      </c>
      <c r="U107" s="8">
        <f t="shared" ca="1" si="405"/>
        <v>0</v>
      </c>
      <c r="V107" s="8">
        <f t="shared" ca="1" si="405"/>
        <v>0</v>
      </c>
      <c r="W107" s="8">
        <f t="shared" ca="1" si="405"/>
        <v>0</v>
      </c>
      <c r="X107" s="8">
        <f t="shared" ca="1" si="405"/>
        <v>0</v>
      </c>
      <c r="Y107" s="8">
        <f t="shared" ca="1" si="405"/>
        <v>0</v>
      </c>
      <c r="Z107" s="8">
        <f t="shared" ca="1" si="405"/>
        <v>0</v>
      </c>
      <c r="AA107" s="8">
        <f t="shared" ca="1" si="405"/>
        <v>0</v>
      </c>
      <c r="AB107" s="8">
        <f t="shared" ca="1" si="405"/>
        <v>0</v>
      </c>
      <c r="AC107" s="8">
        <f t="shared" ca="1" si="405"/>
        <v>0</v>
      </c>
      <c r="AD107" s="8">
        <f t="shared" ca="1" si="405"/>
        <v>0</v>
      </c>
      <c r="AE107" s="8">
        <f t="shared" ca="1" si="405"/>
        <v>0</v>
      </c>
      <c r="AF107" s="8">
        <f t="shared" ca="1" si="405"/>
        <v>0</v>
      </c>
      <c r="AG107" s="8">
        <f t="shared" ca="1" si="405"/>
        <v>0</v>
      </c>
      <c r="AH107" s="8">
        <f t="shared" ca="1" si="405"/>
        <v>0</v>
      </c>
      <c r="AI107" s="8">
        <f t="shared" ca="1" si="405"/>
        <v>0</v>
      </c>
      <c r="AJ107" s="8">
        <f t="shared" ca="1" si="405"/>
        <v>0</v>
      </c>
      <c r="AK107" s="8">
        <f t="shared" ca="1" si="405"/>
        <v>0</v>
      </c>
      <c r="AL107" s="8">
        <f t="shared" ca="1" si="405"/>
        <v>0</v>
      </c>
      <c r="AM107" s="8">
        <f t="shared" ca="1" si="405"/>
        <v>0</v>
      </c>
    </row>
    <row r="108" spans="1:39" x14ac:dyDescent="0.2">
      <c r="A108" s="4" t="s">
        <v>54</v>
      </c>
      <c r="C108" s="8">
        <f>IFERROR(IF(C102=0,VLOOKUP($A101,$33:$36,C$1+2,FALSE),0),0)</f>
        <v>0</v>
      </c>
      <c r="D108" s="8">
        <f ca="1">IFERROR(IF(D102=0,VLOOKUP($A101,$33:$36,D$1+2,FALSE),0),0)</f>
        <v>0</v>
      </c>
      <c r="E108" s="8">
        <f ca="1">IFERROR(IF(E102=0,VLOOKUP($A101,$33:$36,E$1+2,FALSE),0),0)</f>
        <v>0</v>
      </c>
      <c r="F108" s="8">
        <f ca="1">IFERROR(IF(F102=0,VLOOKUP($A101,$33:$36,F$1+2,FALSE),0),0)</f>
        <v>0</v>
      </c>
      <c r="G108" s="8">
        <f ca="1">IFERROR(IF(G102=0,VLOOKUP($A101,$33:$36,G$1+2,FALSE),0),0)</f>
        <v>0</v>
      </c>
      <c r="H108" s="8">
        <f ca="1">IFERROR(IF(H102=0,VLOOKUP($A101,$33:$36,H$1+2,FALSE),0),0)</f>
        <v>0</v>
      </c>
      <c r="I108" s="8">
        <f ca="1">IFERROR(IF(I102=0,VLOOKUP($A101,$33:$36,I$1+2,FALSE),0),0)</f>
        <v>0</v>
      </c>
      <c r="J108" s="8">
        <f t="shared" ref="J108:AM108" ca="1" si="406">IFERROR(IF(J102=0,VLOOKUP($A101,$33:$36,J$1+2,FALSE),0),0)</f>
        <v>0</v>
      </c>
      <c r="K108" s="8">
        <f t="shared" ca="1" si="406"/>
        <v>0</v>
      </c>
      <c r="L108" s="8">
        <f t="shared" ca="1" si="406"/>
        <v>0</v>
      </c>
      <c r="M108" s="8">
        <f t="shared" ca="1" si="406"/>
        <v>0</v>
      </c>
      <c r="N108" s="8">
        <f t="shared" ca="1" si="406"/>
        <v>0</v>
      </c>
      <c r="O108" s="8">
        <f t="shared" ca="1" si="406"/>
        <v>0</v>
      </c>
      <c r="P108" s="8">
        <f t="shared" ca="1" si="406"/>
        <v>0</v>
      </c>
      <c r="Q108" s="8">
        <f t="shared" ca="1" si="406"/>
        <v>0</v>
      </c>
      <c r="R108" s="8">
        <f t="shared" ca="1" si="406"/>
        <v>0</v>
      </c>
      <c r="S108" s="8">
        <f t="shared" ca="1" si="406"/>
        <v>0</v>
      </c>
      <c r="T108" s="8">
        <f t="shared" ca="1" si="406"/>
        <v>0</v>
      </c>
      <c r="U108" s="8">
        <f t="shared" ca="1" si="406"/>
        <v>0</v>
      </c>
      <c r="V108" s="8">
        <f t="shared" ca="1" si="406"/>
        <v>0</v>
      </c>
      <c r="W108" s="8">
        <f t="shared" ca="1" si="406"/>
        <v>0</v>
      </c>
      <c r="X108" s="8">
        <f t="shared" ca="1" si="406"/>
        <v>0</v>
      </c>
      <c r="Y108" s="8">
        <f t="shared" ca="1" si="406"/>
        <v>0</v>
      </c>
      <c r="Z108" s="8">
        <f t="shared" ca="1" si="406"/>
        <v>0</v>
      </c>
      <c r="AA108" s="8">
        <f t="shared" ca="1" si="406"/>
        <v>0</v>
      </c>
      <c r="AB108" s="8">
        <f t="shared" ca="1" si="406"/>
        <v>0</v>
      </c>
      <c r="AC108" s="8">
        <f t="shared" ca="1" si="406"/>
        <v>0</v>
      </c>
      <c r="AD108" s="8">
        <f t="shared" ca="1" si="406"/>
        <v>0</v>
      </c>
      <c r="AE108" s="8">
        <f t="shared" ca="1" si="406"/>
        <v>0</v>
      </c>
      <c r="AF108" s="8">
        <f t="shared" ca="1" si="406"/>
        <v>0</v>
      </c>
      <c r="AG108" s="8">
        <f t="shared" ca="1" si="406"/>
        <v>0</v>
      </c>
      <c r="AH108" s="8">
        <f t="shared" ca="1" si="406"/>
        <v>0</v>
      </c>
      <c r="AI108" s="8">
        <f t="shared" ca="1" si="406"/>
        <v>0</v>
      </c>
      <c r="AJ108" s="8">
        <f t="shared" ca="1" si="406"/>
        <v>0</v>
      </c>
      <c r="AK108" s="8">
        <f t="shared" ca="1" si="406"/>
        <v>0</v>
      </c>
      <c r="AL108" s="8">
        <f t="shared" ca="1" si="406"/>
        <v>0</v>
      </c>
      <c r="AM108" s="8">
        <f t="shared" ca="1" si="406"/>
        <v>0</v>
      </c>
    </row>
    <row r="109" spans="1:39" x14ac:dyDescent="0.2">
      <c r="A109" s="4" t="s">
        <v>40</v>
      </c>
      <c r="B109" s="16" t="str">
        <f>A101</f>
        <v>Qormi</v>
      </c>
      <c r="C109" s="8">
        <f ca="1">IF(AND(C102&gt;0,C105=0),VLOOKUP($A101,$61:$64,C$1+2,FALSE),0)</f>
        <v>0</v>
      </c>
      <c r="D109" s="8">
        <f ca="1">IF(AND(D102&gt;0,D105=0),VLOOKUP($A101,$61:$64,D$1+2,FALSE),0)</f>
        <v>0</v>
      </c>
      <c r="E109" s="8">
        <f ca="1">IF(AND(E102&gt;0,E105=0),VLOOKUP($A101,$61:$64,E$1+2,FALSE),0)</f>
        <v>0</v>
      </c>
      <c r="F109" s="8">
        <f ca="1">IF(AND(F102&gt;0,F105=0),VLOOKUP($A101,$61:$64,F$1+2,FALSE),0)</f>
        <v>0</v>
      </c>
      <c r="G109" s="8">
        <f ca="1">IF(AND(G102&gt;0,G105=0),VLOOKUP($A101,$61:$64,G$1+2,FALSE),0)</f>
        <v>0</v>
      </c>
      <c r="H109" s="8">
        <f ca="1">IF(AND(H102&gt;0,H105=0),VLOOKUP($A101,$61:$64,H$1+2,FALSE),0)</f>
        <v>0</v>
      </c>
      <c r="I109" s="8">
        <f ca="1">IF(AND(I102&gt;0,I105=0),VLOOKUP($A101,$61:$64,I$1+2,FALSE),0)</f>
        <v>0</v>
      </c>
      <c r="J109" s="8">
        <f t="shared" ref="J109:AM109" ca="1" si="407">IF(AND(J102&gt;0,J105=0),VLOOKUP($A101,$61:$64,J$1+2,FALSE),0)</f>
        <v>0</v>
      </c>
      <c r="K109" s="8">
        <f t="shared" ca="1" si="407"/>
        <v>0</v>
      </c>
      <c r="L109" s="8">
        <f t="shared" ca="1" si="407"/>
        <v>0</v>
      </c>
      <c r="M109" s="8">
        <f t="shared" ca="1" si="407"/>
        <v>0</v>
      </c>
      <c r="N109" s="8">
        <f t="shared" ca="1" si="407"/>
        <v>0</v>
      </c>
      <c r="O109" s="8">
        <f t="shared" ca="1" si="407"/>
        <v>0</v>
      </c>
      <c r="P109" s="8">
        <f t="shared" ca="1" si="407"/>
        <v>0</v>
      </c>
      <c r="Q109" s="8">
        <f t="shared" ca="1" si="407"/>
        <v>0</v>
      </c>
      <c r="R109" s="8">
        <f t="shared" ca="1" si="407"/>
        <v>0</v>
      </c>
      <c r="S109" s="8">
        <f t="shared" ca="1" si="407"/>
        <v>0</v>
      </c>
      <c r="T109" s="8">
        <f t="shared" ca="1" si="407"/>
        <v>0</v>
      </c>
      <c r="U109" s="8">
        <f t="shared" ca="1" si="407"/>
        <v>0</v>
      </c>
      <c r="V109" s="8">
        <f t="shared" ca="1" si="407"/>
        <v>0</v>
      </c>
      <c r="W109" s="8">
        <f t="shared" ca="1" si="407"/>
        <v>0</v>
      </c>
      <c r="X109" s="8">
        <f t="shared" ca="1" si="407"/>
        <v>0</v>
      </c>
      <c r="Y109" s="8">
        <f t="shared" ca="1" si="407"/>
        <v>0</v>
      </c>
      <c r="Z109" s="8">
        <f t="shared" ca="1" si="407"/>
        <v>0</v>
      </c>
      <c r="AA109" s="8">
        <f t="shared" ca="1" si="407"/>
        <v>0</v>
      </c>
      <c r="AB109" s="8">
        <f t="shared" ca="1" si="407"/>
        <v>0</v>
      </c>
      <c r="AC109" s="8">
        <f t="shared" ca="1" si="407"/>
        <v>0</v>
      </c>
      <c r="AD109" s="8">
        <f t="shared" ca="1" si="407"/>
        <v>0</v>
      </c>
      <c r="AE109" s="8">
        <f t="shared" ca="1" si="407"/>
        <v>0</v>
      </c>
      <c r="AF109" s="8">
        <f t="shared" ca="1" si="407"/>
        <v>0</v>
      </c>
      <c r="AG109" s="8">
        <f t="shared" ca="1" si="407"/>
        <v>0</v>
      </c>
      <c r="AH109" s="8">
        <f t="shared" ca="1" si="407"/>
        <v>0</v>
      </c>
      <c r="AI109" s="8">
        <f t="shared" ca="1" si="407"/>
        <v>0</v>
      </c>
      <c r="AJ109" s="8">
        <f t="shared" ca="1" si="407"/>
        <v>0</v>
      </c>
      <c r="AK109" s="8">
        <f t="shared" ca="1" si="407"/>
        <v>0</v>
      </c>
      <c r="AL109" s="8">
        <f t="shared" ca="1" si="407"/>
        <v>0</v>
      </c>
      <c r="AM109" s="8">
        <f t="shared" ca="1" si="407"/>
        <v>0</v>
      </c>
    </row>
    <row r="110" spans="1:39" x14ac:dyDescent="0.2">
      <c r="A110" s="4" t="s">
        <v>41</v>
      </c>
      <c r="C110" s="8">
        <f ca="1">-C103+SUM(C106:C109)</f>
        <v>0</v>
      </c>
      <c r="D110" s="8">
        <f t="shared" ref="D110" ca="1" si="408">-D103+SUM(D106:D109)</f>
        <v>0</v>
      </c>
      <c r="E110" s="8">
        <f t="shared" ref="E110:G110" ca="1" si="409">-E103+SUM(E106:E109)</f>
        <v>0</v>
      </c>
      <c r="F110" s="8">
        <f t="shared" ca="1" si="409"/>
        <v>0</v>
      </c>
      <c r="G110" s="8">
        <f t="shared" ca="1" si="409"/>
        <v>0</v>
      </c>
      <c r="H110" s="8">
        <f t="shared" ref="H110:AM110" ca="1" si="410">-H103+SUM(H106:H109)</f>
        <v>0</v>
      </c>
      <c r="I110" s="8">
        <f t="shared" ca="1" si="410"/>
        <v>0</v>
      </c>
      <c r="J110" s="8">
        <f t="shared" ref="J110:AM110" ca="1" si="411">-J103+SUM(J106:J109)</f>
        <v>0</v>
      </c>
      <c r="K110" s="8">
        <f t="shared" ca="1" si="411"/>
        <v>0</v>
      </c>
      <c r="L110" s="8">
        <f t="shared" ca="1" si="411"/>
        <v>0</v>
      </c>
      <c r="M110" s="8">
        <f t="shared" ca="1" si="411"/>
        <v>0</v>
      </c>
      <c r="N110" s="8">
        <f t="shared" ca="1" si="411"/>
        <v>0</v>
      </c>
      <c r="O110" s="8">
        <f t="shared" ca="1" si="411"/>
        <v>0</v>
      </c>
      <c r="P110" s="8">
        <f t="shared" ca="1" si="411"/>
        <v>0</v>
      </c>
      <c r="Q110" s="8">
        <f t="shared" ca="1" si="411"/>
        <v>0</v>
      </c>
      <c r="R110" s="8">
        <f t="shared" ca="1" si="411"/>
        <v>0</v>
      </c>
      <c r="S110" s="8">
        <f t="shared" ca="1" si="411"/>
        <v>0</v>
      </c>
      <c r="T110" s="8">
        <f t="shared" ca="1" si="411"/>
        <v>0</v>
      </c>
      <c r="U110" s="8">
        <f t="shared" ca="1" si="411"/>
        <v>0</v>
      </c>
      <c r="V110" s="8">
        <f t="shared" ca="1" si="411"/>
        <v>0</v>
      </c>
      <c r="W110" s="8">
        <f t="shared" ca="1" si="411"/>
        <v>0</v>
      </c>
      <c r="X110" s="8">
        <f t="shared" ca="1" si="411"/>
        <v>0</v>
      </c>
      <c r="Y110" s="8">
        <f t="shared" ca="1" si="411"/>
        <v>0</v>
      </c>
      <c r="Z110" s="8">
        <f t="shared" ca="1" si="411"/>
        <v>0</v>
      </c>
      <c r="AA110" s="8">
        <f t="shared" ca="1" si="411"/>
        <v>0</v>
      </c>
      <c r="AB110" s="8">
        <f t="shared" ca="1" si="411"/>
        <v>0</v>
      </c>
      <c r="AC110" s="8">
        <f t="shared" ca="1" si="411"/>
        <v>0</v>
      </c>
      <c r="AD110" s="8">
        <f t="shared" ca="1" si="411"/>
        <v>0</v>
      </c>
      <c r="AE110" s="8">
        <f t="shared" ca="1" si="411"/>
        <v>0</v>
      </c>
      <c r="AF110" s="8">
        <f t="shared" ca="1" si="411"/>
        <v>0</v>
      </c>
      <c r="AG110" s="8">
        <f t="shared" ca="1" si="411"/>
        <v>0</v>
      </c>
      <c r="AH110" s="8">
        <f t="shared" ca="1" si="411"/>
        <v>0</v>
      </c>
      <c r="AI110" s="8">
        <f t="shared" ca="1" si="411"/>
        <v>0</v>
      </c>
      <c r="AJ110" s="8">
        <f t="shared" ca="1" si="411"/>
        <v>0</v>
      </c>
      <c r="AK110" s="8">
        <f t="shared" ca="1" si="411"/>
        <v>0</v>
      </c>
      <c r="AL110" s="8">
        <f t="shared" ca="1" si="411"/>
        <v>0</v>
      </c>
      <c r="AM110" s="8">
        <f t="shared" ca="1" si="411"/>
        <v>0</v>
      </c>
    </row>
    <row r="111" spans="1:39" x14ac:dyDescent="0.2">
      <c r="A111" s="4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</row>
    <row r="112" spans="1:39" x14ac:dyDescent="0.2">
      <c r="A112" s="4" t="s">
        <v>87</v>
      </c>
      <c r="C112" s="8">
        <f ca="1">C98+SUM($C110:C110)</f>
        <v>35752.5</v>
      </c>
      <c r="D112" s="8">
        <f ca="1">D98+SUM($C110:D110)</f>
        <v>64902.8125</v>
      </c>
      <c r="E112" s="8">
        <f ca="1">E98+SUM($C110:E110)</f>
        <v>74244.712499999994</v>
      </c>
      <c r="F112" s="8">
        <f ca="1">F98+SUM($C110:F110)</f>
        <v>115351.48395239323</v>
      </c>
      <c r="G112" s="8">
        <f ca="1">G98+SUM($C110:G110)</f>
        <v>161221.49120440619</v>
      </c>
      <c r="H112" s="8">
        <f ca="1">H98+SUM($C110:H110)</f>
        <v>221189.83792477695</v>
      </c>
      <c r="I112" s="8">
        <f ca="1">I98+SUM($C110:I110)</f>
        <v>288035.20366895478</v>
      </c>
      <c r="J112" s="8">
        <f ca="1">J98+SUM($C110:J110)</f>
        <v>340838.42954043212</v>
      </c>
      <c r="K112" s="8">
        <f ca="1">K98+SUM($C110:K110)</f>
        <v>477397.35493851278</v>
      </c>
      <c r="L112" s="8">
        <f ca="1">L98+SUM($C110:L110)</f>
        <v>525529.30292301986</v>
      </c>
      <c r="M112" s="8">
        <f ca="1">M98+SUM($C110:M110)</f>
        <v>629467.06747940183</v>
      </c>
      <c r="N112" s="8">
        <f ca="1">N98+SUM($C110:N110)</f>
        <v>738996.65788302326</v>
      </c>
      <c r="O112" s="8">
        <f ca="1">O98+SUM($C110:O110)</f>
        <v>854355.15612641082</v>
      </c>
      <c r="P112" s="8">
        <f ca="1">P98+SUM($C110:P110)</f>
        <v>975788.67696465331</v>
      </c>
      <c r="Q112" s="8">
        <f ca="1">Q98+SUM($C110:Q110)</f>
        <v>1103552.6915839072</v>
      </c>
      <c r="R112" s="8">
        <f ca="1">R98+SUM($C110:R110)</f>
        <v>1237912.3624140497</v>
      </c>
      <c r="S112" s="8">
        <f ca="1">S98+SUM($C110:S110)</f>
        <v>1273210.6589462783</v>
      </c>
      <c r="T112" s="8">
        <f ca="1">T98+SUM($C110:T110)</f>
        <v>1317422.0823162566</v>
      </c>
      <c r="U112" s="8">
        <f ca="1">U98+SUM($C110:U110)</f>
        <v>1363274.3464270437</v>
      </c>
      <c r="V112" s="8">
        <f ca="1">V98+SUM($C110:V110)</f>
        <v>1410829.3919630982</v>
      </c>
      <c r="W112" s="8">
        <f ca="1">W98+SUM($C110:W110)</f>
        <v>1460151.4570412496</v>
      </c>
      <c r="X112" s="8">
        <f ca="1">X98+SUM($C110:X110)</f>
        <v>1490900.2406538306</v>
      </c>
      <c r="Y112" s="8">
        <f ca="1">Y98+SUM($C110:Y110)</f>
        <v>1522531.4010244682</v>
      </c>
      <c r="Z112" s="8">
        <f ca="1">Z98+SUM($C110:Z110)</f>
        <v>1555078.31496845</v>
      </c>
      <c r="AA112" s="8">
        <f ca="1">AA98+SUM($C110:AA110)</f>
        <v>1588575.7309353678</v>
      </c>
      <c r="AB112" s="8">
        <f ca="1">AB98+SUM($C110:AB110)</f>
        <v>1623059.824358695</v>
      </c>
      <c r="AC112" s="8">
        <f ca="1">AC98+SUM($C110:AC110)</f>
        <v>1658568.2551444201</v>
      </c>
      <c r="AD112" s="8">
        <f ca="1">AD98+SUM($C110:AD110)</f>
        <v>1705000.9649706078</v>
      </c>
      <c r="AE112" s="8">
        <f ca="1">AE98+SUM($C110:AE110)</f>
        <v>1753031.0633963605</v>
      </c>
      <c r="AF112" s="8">
        <f ca="1">AF98+SUM($C110:AF110)</f>
        <v>1802719.5201560468</v>
      </c>
      <c r="AG112" s="8">
        <f ca="1">AG98+SUM($C110:AG110)</f>
        <v>1854129.6587253201</v>
      </c>
      <c r="AH112" s="8">
        <f ca="1">AH98+SUM($C110:AH110)</f>
        <v>1907327.2450107713</v>
      </c>
      <c r="AI112" s="8">
        <f ca="1">AI98+SUM($C110:AI110)</f>
        <v>1962380.5792762381</v>
      </c>
      <c r="AJ112" s="8">
        <f ca="1">AJ98+SUM($C110:AJ110)</f>
        <v>2019360.5914203662</v>
      </c>
      <c r="AK112" s="8">
        <f ca="1">AK98+SUM($C110:AK110)</f>
        <v>2078340.9397239783</v>
      </c>
      <c r="AL112" s="8">
        <f ca="1">AL98+SUM($C110:AL110)</f>
        <v>2139398.1131898882</v>
      </c>
      <c r="AM112" s="8">
        <f ca="1">AM98+SUM($C110:AM110)</f>
        <v>2202611.5376020237</v>
      </c>
    </row>
    <row r="113" spans="1:39" x14ac:dyDescent="0.2">
      <c r="A113" s="4" t="s">
        <v>84</v>
      </c>
      <c r="C113" s="8">
        <f t="shared" ref="C113:AM113" ca="1" si="412">MAX(C112+buffer,0)-MAX(C98+buffer,0)</f>
        <v>0</v>
      </c>
      <c r="D113" s="8">
        <f t="shared" ca="1" si="412"/>
        <v>0</v>
      </c>
      <c r="E113" s="8">
        <f t="shared" ca="1" si="412"/>
        <v>0</v>
      </c>
      <c r="F113" s="8">
        <f t="shared" ca="1" si="412"/>
        <v>0</v>
      </c>
      <c r="G113" s="8">
        <f t="shared" ca="1" si="412"/>
        <v>0</v>
      </c>
      <c r="H113" s="8">
        <f t="shared" ca="1" si="412"/>
        <v>0</v>
      </c>
      <c r="I113" s="8">
        <f t="shared" ca="1" si="412"/>
        <v>0</v>
      </c>
      <c r="J113" s="8">
        <f t="shared" ref="J113:AM113" ca="1" si="413">MAX(J112+buffer,0)-MAX(J98+buffer,0)</f>
        <v>0</v>
      </c>
      <c r="K113" s="8">
        <f t="shared" ca="1" si="413"/>
        <v>0</v>
      </c>
      <c r="L113" s="8">
        <f t="shared" ca="1" si="413"/>
        <v>0</v>
      </c>
      <c r="M113" s="8">
        <f t="shared" ca="1" si="413"/>
        <v>0</v>
      </c>
      <c r="N113" s="8">
        <f t="shared" ca="1" si="413"/>
        <v>0</v>
      </c>
      <c r="O113" s="8">
        <f t="shared" ca="1" si="413"/>
        <v>0</v>
      </c>
      <c r="P113" s="8">
        <f t="shared" ca="1" si="413"/>
        <v>0</v>
      </c>
      <c r="Q113" s="8">
        <f t="shared" ca="1" si="413"/>
        <v>0</v>
      </c>
      <c r="R113" s="8">
        <f t="shared" ca="1" si="413"/>
        <v>0</v>
      </c>
      <c r="S113" s="8">
        <f t="shared" ca="1" si="413"/>
        <v>0</v>
      </c>
      <c r="T113" s="8">
        <f t="shared" ca="1" si="413"/>
        <v>0</v>
      </c>
      <c r="U113" s="8">
        <f t="shared" ca="1" si="413"/>
        <v>0</v>
      </c>
      <c r="V113" s="8">
        <f t="shared" ca="1" si="413"/>
        <v>0</v>
      </c>
      <c r="W113" s="8">
        <f t="shared" ca="1" si="413"/>
        <v>0</v>
      </c>
      <c r="X113" s="8">
        <f t="shared" ca="1" si="413"/>
        <v>0</v>
      </c>
      <c r="Y113" s="8">
        <f t="shared" ca="1" si="413"/>
        <v>0</v>
      </c>
      <c r="Z113" s="8">
        <f t="shared" ca="1" si="413"/>
        <v>0</v>
      </c>
      <c r="AA113" s="8">
        <f t="shared" ca="1" si="413"/>
        <v>0</v>
      </c>
      <c r="AB113" s="8">
        <f t="shared" ca="1" si="413"/>
        <v>0</v>
      </c>
      <c r="AC113" s="8">
        <f t="shared" ca="1" si="413"/>
        <v>0</v>
      </c>
      <c r="AD113" s="8">
        <f t="shared" ca="1" si="413"/>
        <v>0</v>
      </c>
      <c r="AE113" s="8">
        <f t="shared" ca="1" si="413"/>
        <v>0</v>
      </c>
      <c r="AF113" s="8">
        <f t="shared" ca="1" si="413"/>
        <v>0</v>
      </c>
      <c r="AG113" s="8">
        <f t="shared" ca="1" si="413"/>
        <v>0</v>
      </c>
      <c r="AH113" s="8">
        <f t="shared" ca="1" si="413"/>
        <v>0</v>
      </c>
      <c r="AI113" s="8">
        <f t="shared" ca="1" si="413"/>
        <v>0</v>
      </c>
      <c r="AJ113" s="8">
        <f t="shared" ca="1" si="413"/>
        <v>0</v>
      </c>
      <c r="AK113" s="8">
        <f t="shared" ca="1" si="413"/>
        <v>0</v>
      </c>
      <c r="AL113" s="8">
        <f t="shared" ca="1" si="413"/>
        <v>0</v>
      </c>
      <c r="AM113" s="8">
        <f t="shared" ca="1" si="413"/>
        <v>0</v>
      </c>
    </row>
    <row r="114" spans="1:39" x14ac:dyDescent="0.2">
      <c r="A114" s="4" t="s">
        <v>85</v>
      </c>
      <c r="C114" s="8">
        <f ca="1">C113*Inputs!$B$149</f>
        <v>0</v>
      </c>
      <c r="D114" s="8">
        <f ca="1">D113*Inputs!$B$149</f>
        <v>0</v>
      </c>
      <c r="E114" s="8">
        <f ca="1">E113*Inputs!$B$149</f>
        <v>0</v>
      </c>
      <c r="F114" s="8">
        <f ca="1">F113*Inputs!$B$149</f>
        <v>0</v>
      </c>
      <c r="G114" s="8">
        <f ca="1">G113*Inputs!$B$149</f>
        <v>0</v>
      </c>
      <c r="H114" s="8">
        <f ca="1">H113*Inputs!$B$149</f>
        <v>0</v>
      </c>
      <c r="I114" s="8">
        <f ca="1">I113*Inputs!$B$149</f>
        <v>0</v>
      </c>
      <c r="J114" s="8">
        <f ca="1">J113*Inputs!$B$149</f>
        <v>0</v>
      </c>
      <c r="K114" s="8">
        <f ca="1">K113*Inputs!$B$149</f>
        <v>0</v>
      </c>
      <c r="L114" s="8">
        <f ca="1">L113*Inputs!$B$149</f>
        <v>0</v>
      </c>
      <c r="M114" s="8">
        <f ca="1">M113*Inputs!$B$149</f>
        <v>0</v>
      </c>
      <c r="N114" s="8">
        <f ca="1">N113*Inputs!$B$149</f>
        <v>0</v>
      </c>
      <c r="O114" s="8">
        <f ca="1">O113*Inputs!$B$149</f>
        <v>0</v>
      </c>
      <c r="P114" s="8">
        <f ca="1">P113*Inputs!$B$149</f>
        <v>0</v>
      </c>
      <c r="Q114" s="8">
        <f ca="1">Q113*Inputs!$B$149</f>
        <v>0</v>
      </c>
      <c r="R114" s="8">
        <f ca="1">R113*Inputs!$B$149</f>
        <v>0</v>
      </c>
      <c r="S114" s="8">
        <f ca="1">S113*Inputs!$B$149</f>
        <v>0</v>
      </c>
      <c r="T114" s="8">
        <f ca="1">T113*Inputs!$B$149</f>
        <v>0</v>
      </c>
      <c r="U114" s="8">
        <f ca="1">U113*Inputs!$B$149</f>
        <v>0</v>
      </c>
      <c r="V114" s="8">
        <f ca="1">V113*Inputs!$B$149</f>
        <v>0</v>
      </c>
      <c r="W114" s="8">
        <f ca="1">W113*Inputs!$B$149</f>
        <v>0</v>
      </c>
      <c r="X114" s="8">
        <f ca="1">X113*Inputs!$B$149</f>
        <v>0</v>
      </c>
      <c r="Y114" s="8">
        <f ca="1">Y113*Inputs!$B$149</f>
        <v>0</v>
      </c>
      <c r="Z114" s="8">
        <f ca="1">Z113*Inputs!$B$149</f>
        <v>0</v>
      </c>
      <c r="AA114" s="8">
        <f ca="1">AA113*Inputs!$B$149</f>
        <v>0</v>
      </c>
      <c r="AB114" s="8">
        <f ca="1">AB113*Inputs!$B$149</f>
        <v>0</v>
      </c>
      <c r="AC114" s="8">
        <f ca="1">AC113*Inputs!$B$149</f>
        <v>0</v>
      </c>
      <c r="AD114" s="8">
        <f ca="1">AD113*Inputs!$B$149</f>
        <v>0</v>
      </c>
      <c r="AE114" s="8">
        <f ca="1">AE113*Inputs!$B$149</f>
        <v>0</v>
      </c>
      <c r="AF114" s="8">
        <f ca="1">AF113*Inputs!$B$149</f>
        <v>0</v>
      </c>
      <c r="AG114" s="8">
        <f ca="1">AG113*Inputs!$B$149</f>
        <v>0</v>
      </c>
      <c r="AH114" s="8">
        <f ca="1">AH113*Inputs!$B$149</f>
        <v>0</v>
      </c>
      <c r="AI114" s="8">
        <f ca="1">AI113*Inputs!$B$149</f>
        <v>0</v>
      </c>
      <c r="AJ114" s="8">
        <f ca="1">AJ113*Inputs!$B$149</f>
        <v>0</v>
      </c>
      <c r="AK114" s="8">
        <f ca="1">AK113*Inputs!$B$149</f>
        <v>0</v>
      </c>
      <c r="AL114" s="8">
        <f ca="1">AL113*Inputs!$B$149</f>
        <v>0</v>
      </c>
      <c r="AM114" s="8">
        <f ca="1">AM113*Inputs!$B$149</f>
        <v>0</v>
      </c>
    </row>
    <row r="115" spans="1:39" x14ac:dyDescent="0.2">
      <c r="A115" s="4" t="s">
        <v>168</v>
      </c>
      <c r="C115" s="8">
        <f ca="1">C112+SUM($C114:C114)</f>
        <v>35752.5</v>
      </c>
      <c r="D115" s="8">
        <f ca="1">D112+SUM($C114:D114)</f>
        <v>64902.8125</v>
      </c>
      <c r="E115" s="8">
        <f ca="1">E112+SUM($C114:E114)</f>
        <v>74244.712499999994</v>
      </c>
      <c r="F115" s="8">
        <f ca="1">F112+SUM($C114:F114)</f>
        <v>115351.48395239323</v>
      </c>
      <c r="G115" s="8">
        <f ca="1">G112+SUM($C114:G114)</f>
        <v>161221.49120440619</v>
      </c>
      <c r="H115" s="8">
        <f ca="1">H112+SUM($C114:H114)</f>
        <v>221189.83792477695</v>
      </c>
      <c r="I115" s="8">
        <f ca="1">I112+SUM($C114:I114)</f>
        <v>288035.20366895478</v>
      </c>
      <c r="J115" s="8">
        <f ca="1">J112+SUM($C114:J114)</f>
        <v>340838.42954043212</v>
      </c>
      <c r="K115" s="8">
        <f ca="1">K112+SUM($C114:K114)</f>
        <v>477397.35493851278</v>
      </c>
      <c r="L115" s="8">
        <f ca="1">L112+SUM($C114:L114)</f>
        <v>525529.30292301986</v>
      </c>
      <c r="M115" s="8">
        <f ca="1">M112+SUM($C114:M114)</f>
        <v>629467.06747940183</v>
      </c>
      <c r="N115" s="8">
        <f ca="1">N112+SUM($C114:N114)</f>
        <v>738996.65788302326</v>
      </c>
      <c r="O115" s="8">
        <f ca="1">O112+SUM($C114:O114)</f>
        <v>854355.15612641082</v>
      </c>
      <c r="P115" s="8">
        <f ca="1">P112+SUM($C114:P114)</f>
        <v>975788.67696465331</v>
      </c>
      <c r="Q115" s="8">
        <f ca="1">Q112+SUM($C114:Q114)</f>
        <v>1103552.6915839072</v>
      </c>
      <c r="R115" s="8">
        <f ca="1">R112+SUM($C114:R114)</f>
        <v>1237912.3624140497</v>
      </c>
      <c r="S115" s="8">
        <f ca="1">S112+SUM($C114:S114)</f>
        <v>1273210.6589462783</v>
      </c>
      <c r="T115" s="8">
        <f ca="1">T112+SUM($C114:T114)</f>
        <v>1317422.0823162566</v>
      </c>
      <c r="U115" s="8">
        <f ca="1">U112+SUM($C114:U114)</f>
        <v>1363274.3464270437</v>
      </c>
      <c r="V115" s="8">
        <f ca="1">V112+SUM($C114:V114)</f>
        <v>1410829.3919630982</v>
      </c>
      <c r="W115" s="8">
        <f ca="1">W112+SUM($C114:W114)</f>
        <v>1460151.4570412496</v>
      </c>
      <c r="X115" s="8">
        <f ca="1">X112+SUM($C114:X114)</f>
        <v>1490900.2406538306</v>
      </c>
      <c r="Y115" s="8">
        <f ca="1">Y112+SUM($C114:Y114)</f>
        <v>1522531.4010244682</v>
      </c>
      <c r="Z115" s="8">
        <f ca="1">Z112+SUM($C114:Z114)</f>
        <v>1555078.31496845</v>
      </c>
      <c r="AA115" s="8">
        <f ca="1">AA112+SUM($C114:AA114)</f>
        <v>1588575.7309353678</v>
      </c>
      <c r="AB115" s="8">
        <f ca="1">AB112+SUM($C114:AB114)</f>
        <v>1623059.824358695</v>
      </c>
      <c r="AC115" s="8">
        <f ca="1">AC112+SUM($C114:AC114)</f>
        <v>1658568.2551444201</v>
      </c>
      <c r="AD115" s="8">
        <f ca="1">AD112+SUM($C114:AD114)</f>
        <v>1705000.9649706078</v>
      </c>
      <c r="AE115" s="8">
        <f ca="1">AE112+SUM($C114:AE114)</f>
        <v>1753031.0633963605</v>
      </c>
      <c r="AF115" s="8">
        <f ca="1">AF112+SUM($C114:AF114)</f>
        <v>1802719.5201560468</v>
      </c>
      <c r="AG115" s="8">
        <f ca="1">AG112+SUM($C114:AG114)</f>
        <v>1854129.6587253201</v>
      </c>
      <c r="AH115" s="8">
        <f ca="1">AH112+SUM($C114:AH114)</f>
        <v>1907327.2450107713</v>
      </c>
      <c r="AI115" s="8">
        <f ca="1">AI112+SUM($C114:AI114)</f>
        <v>1962380.5792762381</v>
      </c>
      <c r="AJ115" s="8">
        <f ca="1">AJ112+SUM($C114:AJ114)</f>
        <v>2019360.5914203662</v>
      </c>
      <c r="AK115" s="8">
        <f ca="1">AK112+SUM($C114:AK114)</f>
        <v>2078340.9397239783</v>
      </c>
      <c r="AL115" s="8">
        <f ca="1">AL112+SUM($C114:AL114)</f>
        <v>2139398.1131898882</v>
      </c>
      <c r="AM115" s="8">
        <f ca="1">AM112+SUM($C114:AM114)</f>
        <v>2202611.5376020237</v>
      </c>
    </row>
    <row r="116" spans="1:39" x14ac:dyDescent="0.2">
      <c r="A116" s="4" t="s">
        <v>21</v>
      </c>
      <c r="C116" s="8">
        <f ca="1">IF(C115&lt;0,C115,0)</f>
        <v>0</v>
      </c>
      <c r="D116" s="8">
        <f ca="1">IF(D115+SUM($C116:C116)&lt;0,-(D115+SUM($C116:C116)),0)</f>
        <v>0</v>
      </c>
      <c r="E116" s="8">
        <f ca="1">IF(E115+SUM($C116:D116)&lt;0,-(E115+SUM($C116:D116)),0)</f>
        <v>0</v>
      </c>
      <c r="F116" s="8">
        <f ca="1">IF(F115+SUM($C116:E116)&lt;0,-(F115+SUM($C116:E116)),0)</f>
        <v>0</v>
      </c>
      <c r="G116" s="8">
        <f ca="1">IF(G115+SUM($C116:F116)&lt;0,-(G115+SUM($C116:F116)),0)</f>
        <v>0</v>
      </c>
      <c r="H116" s="8">
        <f ca="1">IF(H115+SUM($C116:G116)&lt;0,-(H115+SUM($C116:G116)),0)</f>
        <v>0</v>
      </c>
      <c r="I116" s="8">
        <f ca="1">IF(I115+SUM($C116:H116)&lt;0,-(I115+SUM($C116:H116)),0)</f>
        <v>0</v>
      </c>
      <c r="J116" s="8">
        <f ca="1">IF(J115+SUM($C116:I116)&lt;0,-(J115+SUM($C116:I116)),0)</f>
        <v>0</v>
      </c>
      <c r="K116" s="8">
        <f ca="1">IF(K115+SUM($C116:J116)&lt;0,-(K115+SUM($C116:J116)),0)</f>
        <v>0</v>
      </c>
      <c r="L116" s="8">
        <f ca="1">IF(L115+SUM($C116:K116)&lt;0,-(L115+SUM($C116:K116)),0)</f>
        <v>0</v>
      </c>
      <c r="M116" s="8">
        <f ca="1">IF(M115+SUM($C116:L116)&lt;0,-(M115+SUM($C116:L116)),0)</f>
        <v>0</v>
      </c>
      <c r="N116" s="8">
        <f ca="1">IF(N115+SUM($C116:M116)&lt;0,-(N115+SUM($C116:M116)),0)</f>
        <v>0</v>
      </c>
      <c r="O116" s="8">
        <f ca="1">IF(O115+SUM($C116:N116)&lt;0,-(O115+SUM($C116:N116)),0)</f>
        <v>0</v>
      </c>
      <c r="P116" s="8">
        <f ca="1">IF(P115+SUM($C116:O116)&lt;0,-(P115+SUM($C116:O116)),0)</f>
        <v>0</v>
      </c>
      <c r="Q116" s="8">
        <f ca="1">IF(Q115+SUM($C116:P116)&lt;0,-(Q115+SUM($C116:P116)),0)</f>
        <v>0</v>
      </c>
      <c r="R116" s="8">
        <f ca="1">IF(R115+SUM($C116:Q116)&lt;0,-(R115+SUM($C116:Q116)),0)</f>
        <v>0</v>
      </c>
      <c r="S116" s="8">
        <f ca="1">IF(S115+SUM($C116:R116)&lt;0,-(S115+SUM($C116:R116)),0)</f>
        <v>0</v>
      </c>
      <c r="T116" s="8">
        <f ca="1">IF(T115+SUM($C116:S116)&lt;0,-(T115+SUM($C116:S116)),0)</f>
        <v>0</v>
      </c>
      <c r="U116" s="8">
        <f ca="1">IF(U115+SUM($C116:T116)&lt;0,-(U115+SUM($C116:T116)),0)</f>
        <v>0</v>
      </c>
      <c r="V116" s="8">
        <f ca="1">IF(V115+SUM($C116:U116)&lt;0,-(V115+SUM($C116:U116)),0)</f>
        <v>0</v>
      </c>
      <c r="W116" s="8">
        <f ca="1">IF(W115+SUM($C116:V116)&lt;0,-(W115+SUM($C116:V116)),0)</f>
        <v>0</v>
      </c>
      <c r="X116" s="8">
        <f ca="1">IF(X115+SUM($C116:W116)&lt;0,-(X115+SUM($C116:W116)),0)</f>
        <v>0</v>
      </c>
      <c r="Y116" s="8">
        <f ca="1">IF(Y115+SUM($C116:X116)&lt;0,-(Y115+SUM($C116:X116)),0)</f>
        <v>0</v>
      </c>
      <c r="Z116" s="8">
        <f ca="1">IF(Z115+SUM($C116:Y116)&lt;0,-(Z115+SUM($C116:Y116)),0)</f>
        <v>0</v>
      </c>
      <c r="AA116" s="8">
        <f ca="1">IF(AA115+SUM($C116:Z116)&lt;0,-(AA115+SUM($C116:Z116)),0)</f>
        <v>0</v>
      </c>
      <c r="AB116" s="8">
        <f ca="1">IF(AB115+SUM($C116:AA116)&lt;0,-(AB115+SUM($C116:AA116)),0)</f>
        <v>0</v>
      </c>
      <c r="AC116" s="8">
        <f ca="1">IF(AC115+SUM($C116:AB116)&lt;0,-(AC115+SUM($C116:AB116)),0)</f>
        <v>0</v>
      </c>
      <c r="AD116" s="8">
        <f ca="1">IF(AD115+SUM($C116:AC116)&lt;0,-(AD115+SUM($C116:AC116)),0)</f>
        <v>0</v>
      </c>
      <c r="AE116" s="8">
        <f ca="1">IF(AE115+SUM($C116:AD116)&lt;0,-(AE115+SUM($C116:AD116)),0)</f>
        <v>0</v>
      </c>
      <c r="AF116" s="8">
        <f ca="1">IF(AF115+SUM($C116:AE116)&lt;0,-(AF115+SUM($C116:AE116)),0)</f>
        <v>0</v>
      </c>
      <c r="AG116" s="8">
        <f ca="1">IF(AG115+SUM($C116:AF116)&lt;0,-(AG115+SUM($C116:AF116)),0)</f>
        <v>0</v>
      </c>
      <c r="AH116" s="8">
        <f ca="1">IF(AH115+SUM($C116:AG116)&lt;0,-(AH115+SUM($C116:AG116)),0)</f>
        <v>0</v>
      </c>
      <c r="AI116" s="8">
        <f ca="1">IF(AI115+SUM($C116:AH116)&lt;0,-(AI115+SUM($C116:AH116)),0)</f>
        <v>0</v>
      </c>
      <c r="AJ116" s="8">
        <f ca="1">IF(AJ115+SUM($C116:AI116)&lt;0,-(AJ115+SUM($C116:AI116)),0)</f>
        <v>0</v>
      </c>
      <c r="AK116" s="8">
        <f ca="1">IF(AK115+SUM($C116:AJ116)&lt;0,-(AK115+SUM($C116:AJ116)),0)</f>
        <v>0</v>
      </c>
      <c r="AL116" s="8">
        <f ca="1">IF(AL115+SUM($C116:AK116)&lt;0,-(AL115+SUM($C116:AK116)),0)</f>
        <v>0</v>
      </c>
      <c r="AM116" s="8">
        <f ca="1">IF(AM115+SUM($C116:AL116)&lt;0,-(AM115+SUM($C116:AL116)),0)</f>
        <v>0</v>
      </c>
    </row>
    <row r="117" spans="1:39" x14ac:dyDescent="0.2"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</row>
    <row r="118" spans="1:39" x14ac:dyDescent="0.2">
      <c r="A118" s="29" t="str">
        <f>IF(Inputs!$B$165=6,IFERROR(_xlfn.XLOOKUP($B118,Inputs!$B$166:$B$168,Inputs!$A$166:$A$168,,0,1),""),IFERROR(_xlfn.XLOOKUP($B118,Inputs!$C$166:$C$168,Inputs!$A$166:$A$168,,0,1),""))</f>
        <v>Sliema</v>
      </c>
      <c r="B118" s="31">
        <v>3</v>
      </c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</row>
    <row r="119" spans="1:39" x14ac:dyDescent="0.2">
      <c r="A119" s="4" t="s">
        <v>23</v>
      </c>
      <c r="C119" s="8">
        <f>IFERROR(VLOOKUP($A118,$A$52:$H$66,C$1+2,FALSE),0)</f>
        <v>309000</v>
      </c>
      <c r="D119" s="8">
        <f ca="1">C122</f>
        <v>309000</v>
      </c>
      <c r="E119" s="8">
        <f t="shared" ref="E119" ca="1" si="414">D122</f>
        <v>318270</v>
      </c>
      <c r="F119" s="8">
        <f t="shared" ref="F119" ca="1" si="415">E122</f>
        <v>327818.09999999998</v>
      </c>
      <c r="G119" s="8">
        <f t="shared" ref="G119:AM119" ca="1" si="416">F122</f>
        <v>337652.64299999998</v>
      </c>
      <c r="H119" s="8">
        <f t="shared" ca="1" si="416"/>
        <v>347782.22229000001</v>
      </c>
      <c r="I119" s="8">
        <f t="shared" ca="1" si="416"/>
        <v>358215.68895869999</v>
      </c>
      <c r="J119" s="8">
        <f t="shared" ref="J119" ca="1" si="417">I122</f>
        <v>368962.15962746099</v>
      </c>
      <c r="K119" s="8">
        <f t="shared" ref="K119" ca="1" si="418">J122</f>
        <v>380031.02441628481</v>
      </c>
      <c r="L119" s="8">
        <f t="shared" ref="L119" ca="1" si="419">K122</f>
        <v>391431.95514877333</v>
      </c>
      <c r="M119" s="8">
        <f t="shared" ref="M119" ca="1" si="420">L122</f>
        <v>403174.9138032365</v>
      </c>
      <c r="N119" s="8">
        <f t="shared" ref="N119" ca="1" si="421">M122</f>
        <v>415270.16121733357</v>
      </c>
      <c r="O119" s="8">
        <f t="shared" ref="O119" ca="1" si="422">N122</f>
        <v>427728.26605385356</v>
      </c>
      <c r="P119" s="8">
        <f t="shared" ref="P119" ca="1" si="423">O122</f>
        <v>440560.11403546919</v>
      </c>
      <c r="Q119" s="8">
        <f t="shared" ref="Q119" ca="1" si="424">P122</f>
        <v>453776.91745653324</v>
      </c>
      <c r="R119" s="8">
        <f t="shared" ref="R119" ca="1" si="425">Q122</f>
        <v>467390.22498022922</v>
      </c>
      <c r="S119" s="8">
        <f t="shared" ref="S119" ca="1" si="426">R122</f>
        <v>481411.9317296361</v>
      </c>
      <c r="T119" s="8">
        <f t="shared" ref="T119" ca="1" si="427">S122</f>
        <v>495854.2896815252</v>
      </c>
      <c r="U119" s="8">
        <f t="shared" ref="U119" ca="1" si="428">T122</f>
        <v>510729.91837197094</v>
      </c>
      <c r="V119" s="8">
        <f t="shared" ref="V119" ca="1" si="429">U122</f>
        <v>526051.81592313002</v>
      </c>
      <c r="W119" s="8">
        <f t="shared" ref="W119" ca="1" si="430">V122</f>
        <v>541833.37040082389</v>
      </c>
      <c r="X119" s="8">
        <f t="shared" ref="X119" ca="1" si="431">W122</f>
        <v>558088.37151284865</v>
      </c>
      <c r="Y119" s="8">
        <f t="shared" ref="Y119" ca="1" si="432">X122</f>
        <v>574831.02265823411</v>
      </c>
      <c r="Z119" s="8">
        <f t="shared" ref="Z119" ca="1" si="433">Y122</f>
        <v>592075.95333798113</v>
      </c>
      <c r="AA119" s="8">
        <f t="shared" ref="AA119" ca="1" si="434">Z122</f>
        <v>609838.23193812056</v>
      </c>
      <c r="AB119" s="8">
        <f t="shared" ref="AB119" ca="1" si="435">AA122</f>
        <v>628133.37889626413</v>
      </c>
      <c r="AC119" s="8">
        <f t="shared" ref="AC119" ca="1" si="436">AB122</f>
        <v>646977.38026315207</v>
      </c>
      <c r="AD119" s="8">
        <f t="shared" ref="AD119" ca="1" si="437">AC122</f>
        <v>666386.70167104667</v>
      </c>
      <c r="AE119" s="8">
        <f t="shared" ref="AE119" ca="1" si="438">AD122</f>
        <v>686378.30272117804</v>
      </c>
      <c r="AF119" s="8">
        <f t="shared" ref="AF119" ca="1" si="439">AE122</f>
        <v>706969.6518028134</v>
      </c>
      <c r="AG119" s="8">
        <f t="shared" ref="AG119" ca="1" si="440">AF122</f>
        <v>728178.74135689775</v>
      </c>
      <c r="AH119" s="8">
        <f t="shared" ref="AH119" ca="1" si="441">AG122</f>
        <v>750024.10359760467</v>
      </c>
      <c r="AI119" s="8">
        <f t="shared" ref="AI119" ca="1" si="442">AH122</f>
        <v>772524.82670553285</v>
      </c>
      <c r="AJ119" s="8">
        <f t="shared" ref="AJ119" ca="1" si="443">AI122</f>
        <v>795700.57150669885</v>
      </c>
      <c r="AK119" s="8">
        <f t="shared" ref="AK119" ca="1" si="444">AJ122</f>
        <v>819571.58865189983</v>
      </c>
      <c r="AL119" s="8">
        <f t="shared" ref="AL119" ca="1" si="445">AK122</f>
        <v>844158.73631145677</v>
      </c>
      <c r="AM119" s="8">
        <f t="shared" ref="AM119" ca="1" si="446">AL122</f>
        <v>869483.49840080051</v>
      </c>
    </row>
    <row r="120" spans="1:39" x14ac:dyDescent="0.2">
      <c r="A120" s="4" t="s">
        <v>24</v>
      </c>
      <c r="C120" s="8">
        <f ca="1">-IF(SUM(C116:D116)&gt;0,C119,0)</f>
        <v>0</v>
      </c>
      <c r="D120" s="8">
        <f ca="1">-IF(E116&gt;0,D119,0)</f>
        <v>0</v>
      </c>
      <c r="E120" s="8">
        <f ca="1">-IF(F116&gt;0,E119,0)</f>
        <v>0</v>
      </c>
      <c r="F120" s="8">
        <f ca="1">-IF(G116&gt;0,F119,0)</f>
        <v>0</v>
      </c>
      <c r="G120" s="8">
        <f t="shared" ref="G120:AL120" ca="1" si="447">-IF(H116&gt;0,G119,0)</f>
        <v>0</v>
      </c>
      <c r="H120" s="8">
        <f t="shared" ca="1" si="447"/>
        <v>0</v>
      </c>
      <c r="I120" s="8">
        <f t="shared" ca="1" si="447"/>
        <v>0</v>
      </c>
      <c r="J120" s="8">
        <f t="shared" ref="J120" ca="1" si="448">-IF(K116&gt;0,J119,0)</f>
        <v>0</v>
      </c>
      <c r="K120" s="8">
        <f t="shared" ref="K120" ca="1" si="449">-IF(L116&gt;0,K119,0)</f>
        <v>0</v>
      </c>
      <c r="L120" s="8">
        <f t="shared" ref="L120" ca="1" si="450">-IF(M116&gt;0,L119,0)</f>
        <v>0</v>
      </c>
      <c r="M120" s="8">
        <f t="shared" ref="M120" ca="1" si="451">-IF(N116&gt;0,M119,0)</f>
        <v>0</v>
      </c>
      <c r="N120" s="8">
        <f t="shared" ref="N120" ca="1" si="452">-IF(O116&gt;0,N119,0)</f>
        <v>0</v>
      </c>
      <c r="O120" s="8">
        <f t="shared" ref="O120" ca="1" si="453">-IF(P116&gt;0,O119,0)</f>
        <v>0</v>
      </c>
      <c r="P120" s="8">
        <f t="shared" ref="P120" ca="1" si="454">-IF(Q116&gt;0,P119,0)</f>
        <v>0</v>
      </c>
      <c r="Q120" s="8">
        <f t="shared" ref="Q120" ca="1" si="455">-IF(R116&gt;0,Q119,0)</f>
        <v>0</v>
      </c>
      <c r="R120" s="8">
        <f t="shared" ref="R120" ca="1" si="456">-IF(S116&gt;0,R119,0)</f>
        <v>0</v>
      </c>
      <c r="S120" s="8">
        <f t="shared" ref="S120" ca="1" si="457">-IF(T116&gt;0,S119,0)</f>
        <v>0</v>
      </c>
      <c r="T120" s="8">
        <f t="shared" ref="T120" ca="1" si="458">-IF(U116&gt;0,T119,0)</f>
        <v>0</v>
      </c>
      <c r="U120" s="8">
        <f t="shared" ref="U120" ca="1" si="459">-IF(V116&gt;0,U119,0)</f>
        <v>0</v>
      </c>
      <c r="V120" s="8">
        <f t="shared" ref="V120" ca="1" si="460">-IF(W116&gt;0,V119,0)</f>
        <v>0</v>
      </c>
      <c r="W120" s="8">
        <f t="shared" ref="W120" ca="1" si="461">-IF(X116&gt;0,W119,0)</f>
        <v>0</v>
      </c>
      <c r="X120" s="8">
        <f t="shared" ref="X120" ca="1" si="462">-IF(Y116&gt;0,X119,0)</f>
        <v>0</v>
      </c>
      <c r="Y120" s="8">
        <f t="shared" ref="Y120" ca="1" si="463">-IF(Z116&gt;0,Y119,0)</f>
        <v>0</v>
      </c>
      <c r="Z120" s="8">
        <f t="shared" ref="Z120" ca="1" si="464">-IF(AA116&gt;0,Z119,0)</f>
        <v>0</v>
      </c>
      <c r="AA120" s="8">
        <f t="shared" ref="AA120" ca="1" si="465">-IF(AB116&gt;0,AA119,0)</f>
        <v>0</v>
      </c>
      <c r="AB120" s="8">
        <f t="shared" ref="AB120" ca="1" si="466">-IF(AC116&gt;0,AB119,0)</f>
        <v>0</v>
      </c>
      <c r="AC120" s="8">
        <f t="shared" ref="AC120" ca="1" si="467">-IF(AD116&gt;0,AC119,0)</f>
        <v>0</v>
      </c>
      <c r="AD120" s="8">
        <f t="shared" ref="AD120" ca="1" si="468">-IF(AE116&gt;0,AD119,0)</f>
        <v>0</v>
      </c>
      <c r="AE120" s="8">
        <f t="shared" ref="AE120" ca="1" si="469">-IF(AF116&gt;0,AE119,0)</f>
        <v>0</v>
      </c>
      <c r="AF120" s="8">
        <f t="shared" ref="AF120" ca="1" si="470">-IF(AG116&gt;0,AF119,0)</f>
        <v>0</v>
      </c>
      <c r="AG120" s="8">
        <f t="shared" ref="AG120" ca="1" si="471">-IF(AH116&gt;0,AG119,0)</f>
        <v>0</v>
      </c>
      <c r="AH120" s="8">
        <f t="shared" ref="AH120" ca="1" si="472">-IF(AI116&gt;0,AH119,0)</f>
        <v>0</v>
      </c>
      <c r="AI120" s="8">
        <f t="shared" ref="AI120" ca="1" si="473">-IF(AJ116&gt;0,AI119,0)</f>
        <v>0</v>
      </c>
      <c r="AJ120" s="8">
        <f t="shared" ref="AJ120" ca="1" si="474">-IF(AK116&gt;0,AJ119,0)</f>
        <v>0</v>
      </c>
      <c r="AK120" s="8">
        <f t="shared" ref="AK120" ca="1" si="475">-IF(AL116&gt;0,AK119,0)</f>
        <v>0</v>
      </c>
      <c r="AL120" s="8">
        <f t="shared" ref="AL120" ca="1" si="476">-IF(AM116&gt;0,AL119,0)</f>
        <v>0</v>
      </c>
      <c r="AM120" s="8">
        <f t="shared" ref="AM120" si="477">-IF(AN116&gt;0,AM119,0)</f>
        <v>0</v>
      </c>
    </row>
    <row r="121" spans="1:39" x14ac:dyDescent="0.2">
      <c r="A121" s="4" t="s">
        <v>25</v>
      </c>
      <c r="C121" s="8">
        <v>0</v>
      </c>
      <c r="D121" s="8">
        <f t="shared" ref="D121:G121" ca="1" si="478">SUM(D119:D120)*princ</f>
        <v>9270</v>
      </c>
      <c r="E121" s="8">
        <f t="shared" ca="1" si="478"/>
        <v>9548.1</v>
      </c>
      <c r="F121" s="8">
        <f t="shared" ca="1" si="478"/>
        <v>9834.5429999999997</v>
      </c>
      <c r="G121" s="8">
        <f t="shared" ca="1" si="478"/>
        <v>10129.57929</v>
      </c>
      <c r="H121" s="8">
        <f t="shared" ref="H121:AM121" ca="1" si="479">SUM(H119:H120)*princ</f>
        <v>10433.466668699999</v>
      </c>
      <c r="I121" s="8">
        <f t="shared" ca="1" si="479"/>
        <v>10746.470668761</v>
      </c>
      <c r="J121" s="8">
        <f t="shared" ref="J121:AM121" ca="1" si="480">SUM(J119:J120)*princ</f>
        <v>11068.86478882383</v>
      </c>
      <c r="K121" s="8">
        <f t="shared" ca="1" si="480"/>
        <v>11400.930732488543</v>
      </c>
      <c r="L121" s="8">
        <f t="shared" ca="1" si="480"/>
        <v>11742.9586544632</v>
      </c>
      <c r="M121" s="8">
        <f t="shared" ca="1" si="480"/>
        <v>12095.247414097095</v>
      </c>
      <c r="N121" s="8">
        <f t="shared" ca="1" si="480"/>
        <v>12458.104836520008</v>
      </c>
      <c r="O121" s="8">
        <f t="shared" ca="1" si="480"/>
        <v>12831.847981615607</v>
      </c>
      <c r="P121" s="8">
        <f t="shared" ca="1" si="480"/>
        <v>13216.803421064074</v>
      </c>
      <c r="Q121" s="8">
        <f t="shared" ca="1" si="480"/>
        <v>13613.307523695996</v>
      </c>
      <c r="R121" s="8">
        <f t="shared" ca="1" si="480"/>
        <v>14021.706749406876</v>
      </c>
      <c r="S121" s="8">
        <f t="shared" ca="1" si="480"/>
        <v>14442.357951889082</v>
      </c>
      <c r="T121" s="8">
        <f t="shared" ca="1" si="480"/>
        <v>14875.628690445756</v>
      </c>
      <c r="U121" s="8">
        <f t="shared" ca="1" si="480"/>
        <v>15321.897551159127</v>
      </c>
      <c r="V121" s="8">
        <f t="shared" ca="1" si="480"/>
        <v>15781.5544776939</v>
      </c>
      <c r="W121" s="8">
        <f t="shared" ca="1" si="480"/>
        <v>16255.001112024716</v>
      </c>
      <c r="X121" s="8">
        <f t="shared" ca="1" si="480"/>
        <v>16742.651145385458</v>
      </c>
      <c r="Y121" s="8">
        <f t="shared" ca="1" si="480"/>
        <v>17244.930679747024</v>
      </c>
      <c r="Z121" s="8">
        <f t="shared" ca="1" si="480"/>
        <v>17762.278600139434</v>
      </c>
      <c r="AA121" s="8">
        <f t="shared" ca="1" si="480"/>
        <v>18295.146958143618</v>
      </c>
      <c r="AB121" s="8">
        <f t="shared" ca="1" si="480"/>
        <v>18844.001366887922</v>
      </c>
      <c r="AC121" s="8">
        <f t="shared" ca="1" si="480"/>
        <v>19409.32140789456</v>
      </c>
      <c r="AD121" s="8">
        <f t="shared" ca="1" si="480"/>
        <v>19991.601050131398</v>
      </c>
      <c r="AE121" s="8">
        <f t="shared" ca="1" si="480"/>
        <v>20591.349081635341</v>
      </c>
      <c r="AF121" s="8">
        <f t="shared" ca="1" si="480"/>
        <v>21209.089554084403</v>
      </c>
      <c r="AG121" s="8">
        <f t="shared" ca="1" si="480"/>
        <v>21845.362240706931</v>
      </c>
      <c r="AH121" s="8">
        <f t="shared" ca="1" si="480"/>
        <v>22500.723107928141</v>
      </c>
      <c r="AI121" s="8">
        <f t="shared" ca="1" si="480"/>
        <v>23175.744801165984</v>
      </c>
      <c r="AJ121" s="8">
        <f t="shared" ca="1" si="480"/>
        <v>23871.017145200964</v>
      </c>
      <c r="AK121" s="8">
        <f t="shared" ca="1" si="480"/>
        <v>24587.147659556995</v>
      </c>
      <c r="AL121" s="8">
        <f t="shared" ca="1" si="480"/>
        <v>25324.762089343702</v>
      </c>
      <c r="AM121" s="8">
        <f t="shared" ca="1" si="480"/>
        <v>26084.504952024014</v>
      </c>
    </row>
    <row r="122" spans="1:39" x14ac:dyDescent="0.2">
      <c r="A122" s="4" t="s">
        <v>26</v>
      </c>
      <c r="C122" s="8">
        <f ca="1">SUM(C119:C121)</f>
        <v>309000</v>
      </c>
      <c r="D122" s="8">
        <f t="shared" ref="D122:G122" ca="1" si="481">SUM(D119:D121)</f>
        <v>318270</v>
      </c>
      <c r="E122" s="8">
        <f t="shared" ca="1" si="481"/>
        <v>327818.09999999998</v>
      </c>
      <c r="F122" s="8">
        <f t="shared" ca="1" si="481"/>
        <v>337652.64299999998</v>
      </c>
      <c r="G122" s="8">
        <f t="shared" ca="1" si="481"/>
        <v>347782.22229000001</v>
      </c>
      <c r="H122" s="8">
        <f t="shared" ref="H122:AM122" ca="1" si="482">SUM(H119:H121)</f>
        <v>358215.68895869999</v>
      </c>
      <c r="I122" s="8">
        <f t="shared" ca="1" si="482"/>
        <v>368962.15962746099</v>
      </c>
      <c r="J122" s="8">
        <f t="shared" ref="J122:AM122" ca="1" si="483">SUM(J119:J121)</f>
        <v>380031.02441628481</v>
      </c>
      <c r="K122" s="8">
        <f t="shared" ca="1" si="483"/>
        <v>391431.95514877333</v>
      </c>
      <c r="L122" s="8">
        <f t="shared" ca="1" si="483"/>
        <v>403174.9138032365</v>
      </c>
      <c r="M122" s="8">
        <f t="shared" ca="1" si="483"/>
        <v>415270.16121733357</v>
      </c>
      <c r="N122" s="8">
        <f t="shared" ca="1" si="483"/>
        <v>427728.26605385356</v>
      </c>
      <c r="O122" s="8">
        <f t="shared" ca="1" si="483"/>
        <v>440560.11403546919</v>
      </c>
      <c r="P122" s="8">
        <f t="shared" ca="1" si="483"/>
        <v>453776.91745653324</v>
      </c>
      <c r="Q122" s="8">
        <f t="shared" ca="1" si="483"/>
        <v>467390.22498022922</v>
      </c>
      <c r="R122" s="8">
        <f t="shared" ca="1" si="483"/>
        <v>481411.9317296361</v>
      </c>
      <c r="S122" s="8">
        <f t="shared" ca="1" si="483"/>
        <v>495854.2896815252</v>
      </c>
      <c r="T122" s="8">
        <f t="shared" ca="1" si="483"/>
        <v>510729.91837197094</v>
      </c>
      <c r="U122" s="8">
        <f t="shared" ca="1" si="483"/>
        <v>526051.81592313002</v>
      </c>
      <c r="V122" s="8">
        <f t="shared" ca="1" si="483"/>
        <v>541833.37040082389</v>
      </c>
      <c r="W122" s="8">
        <f t="shared" ca="1" si="483"/>
        <v>558088.37151284865</v>
      </c>
      <c r="X122" s="8">
        <f t="shared" ca="1" si="483"/>
        <v>574831.02265823411</v>
      </c>
      <c r="Y122" s="8">
        <f t="shared" ca="1" si="483"/>
        <v>592075.95333798113</v>
      </c>
      <c r="Z122" s="8">
        <f t="shared" ca="1" si="483"/>
        <v>609838.23193812056</v>
      </c>
      <c r="AA122" s="8">
        <f t="shared" ca="1" si="483"/>
        <v>628133.37889626413</v>
      </c>
      <c r="AB122" s="8">
        <f t="shared" ca="1" si="483"/>
        <v>646977.38026315207</v>
      </c>
      <c r="AC122" s="8">
        <f t="shared" ca="1" si="483"/>
        <v>666386.70167104667</v>
      </c>
      <c r="AD122" s="8">
        <f t="shared" ca="1" si="483"/>
        <v>686378.30272117804</v>
      </c>
      <c r="AE122" s="8">
        <f t="shared" ca="1" si="483"/>
        <v>706969.6518028134</v>
      </c>
      <c r="AF122" s="8">
        <f t="shared" ca="1" si="483"/>
        <v>728178.74135689775</v>
      </c>
      <c r="AG122" s="8">
        <f t="shared" ca="1" si="483"/>
        <v>750024.10359760467</v>
      </c>
      <c r="AH122" s="8">
        <f t="shared" ca="1" si="483"/>
        <v>772524.82670553285</v>
      </c>
      <c r="AI122" s="8">
        <f t="shared" ca="1" si="483"/>
        <v>795700.57150669885</v>
      </c>
      <c r="AJ122" s="8">
        <f t="shared" ca="1" si="483"/>
        <v>819571.58865189983</v>
      </c>
      <c r="AK122" s="8">
        <f t="shared" ca="1" si="483"/>
        <v>844158.73631145677</v>
      </c>
      <c r="AL122" s="8">
        <f t="shared" ca="1" si="483"/>
        <v>869483.49840080051</v>
      </c>
      <c r="AM122" s="8">
        <f t="shared" ca="1" si="483"/>
        <v>895568.00335282448</v>
      </c>
    </row>
    <row r="123" spans="1:39" x14ac:dyDescent="0.2">
      <c r="A123" s="4" t="s">
        <v>27</v>
      </c>
      <c r="C123" s="8">
        <f ca="1">C120*Inputs!$B$163</f>
        <v>0</v>
      </c>
      <c r="D123" s="8">
        <f ca="1">D120*Inputs!$B$163</f>
        <v>0</v>
      </c>
      <c r="E123" s="8">
        <f ca="1">E120*Inputs!$B$163</f>
        <v>0</v>
      </c>
      <c r="F123" s="8">
        <f ca="1">F120*Inputs!$B$163</f>
        <v>0</v>
      </c>
      <c r="G123" s="8">
        <f ca="1">G120*Inputs!$B$163</f>
        <v>0</v>
      </c>
      <c r="H123" s="8">
        <f ca="1">H120*Inputs!$B$163</f>
        <v>0</v>
      </c>
      <c r="I123" s="8">
        <f ca="1">I120*Inputs!$B$163</f>
        <v>0</v>
      </c>
      <c r="J123" s="8">
        <f ca="1">J120*Inputs!$B$163</f>
        <v>0</v>
      </c>
      <c r="K123" s="8">
        <f ca="1">K120*Inputs!$B$163</f>
        <v>0</v>
      </c>
      <c r="L123" s="8">
        <f ca="1">L120*Inputs!$B$163</f>
        <v>0</v>
      </c>
      <c r="M123" s="8">
        <f ca="1">M120*Inputs!$B$163</f>
        <v>0</v>
      </c>
      <c r="N123" s="8">
        <f ca="1">N120*Inputs!$B$163</f>
        <v>0</v>
      </c>
      <c r="O123" s="8">
        <f ca="1">O120*Inputs!$B$163</f>
        <v>0</v>
      </c>
      <c r="P123" s="8">
        <f ca="1">P120*Inputs!$B$163</f>
        <v>0</v>
      </c>
      <c r="Q123" s="8">
        <f ca="1">Q120*Inputs!$B$163</f>
        <v>0</v>
      </c>
      <c r="R123" s="8">
        <f ca="1">R120*Inputs!$B$163</f>
        <v>0</v>
      </c>
      <c r="S123" s="8">
        <f ca="1">S120*Inputs!$B$163</f>
        <v>0</v>
      </c>
      <c r="T123" s="8">
        <f ca="1">T120*Inputs!$B$163</f>
        <v>0</v>
      </c>
      <c r="U123" s="8">
        <f ca="1">U120*Inputs!$B$163</f>
        <v>0</v>
      </c>
      <c r="V123" s="8">
        <f ca="1">V120*Inputs!$B$163</f>
        <v>0</v>
      </c>
      <c r="W123" s="8">
        <f ca="1">W120*Inputs!$B$163</f>
        <v>0</v>
      </c>
      <c r="X123" s="8">
        <f ca="1">X120*Inputs!$B$163</f>
        <v>0</v>
      </c>
      <c r="Y123" s="8">
        <f ca="1">Y120*Inputs!$B$163</f>
        <v>0</v>
      </c>
      <c r="Z123" s="8">
        <f ca="1">Z120*Inputs!$B$163</f>
        <v>0</v>
      </c>
      <c r="AA123" s="8">
        <f ca="1">AA120*Inputs!$B$163</f>
        <v>0</v>
      </c>
      <c r="AB123" s="8">
        <f ca="1">AB120*Inputs!$B$163</f>
        <v>0</v>
      </c>
      <c r="AC123" s="8">
        <f ca="1">AC120*Inputs!$B$163</f>
        <v>0</v>
      </c>
      <c r="AD123" s="8">
        <f ca="1">AD120*Inputs!$B$163</f>
        <v>0</v>
      </c>
      <c r="AE123" s="8">
        <f ca="1">AE120*Inputs!$B$163</f>
        <v>0</v>
      </c>
      <c r="AF123" s="8">
        <f ca="1">AF120*Inputs!$B$163</f>
        <v>0</v>
      </c>
      <c r="AG123" s="8">
        <f ca="1">AG120*Inputs!$B$163</f>
        <v>0</v>
      </c>
      <c r="AH123" s="8">
        <f ca="1">AH120*Inputs!$B$163</f>
        <v>0</v>
      </c>
      <c r="AI123" s="8">
        <f ca="1">AI120*Inputs!$B$163</f>
        <v>0</v>
      </c>
      <c r="AJ123" s="8">
        <f ca="1">AJ120*Inputs!$B$163</f>
        <v>0</v>
      </c>
      <c r="AK123" s="8">
        <f ca="1">AK120*Inputs!$B$163</f>
        <v>0</v>
      </c>
      <c r="AL123" s="8">
        <f ca="1">AL120*Inputs!$B$163</f>
        <v>0</v>
      </c>
      <c r="AM123" s="8">
        <f>AM120*Inputs!$B$163</f>
        <v>0</v>
      </c>
    </row>
    <row r="124" spans="1:39" x14ac:dyDescent="0.2">
      <c r="A124" s="4" t="s">
        <v>34</v>
      </c>
      <c r="C124" s="8">
        <f>IFERROR(-IF(C119=0,VLOOKUP($A118,$7:$10,C$1+2,FALSE),0),0)</f>
        <v>0</v>
      </c>
      <c r="D124" s="8">
        <f ca="1">IFERROR(-IF(D119=0,VLOOKUP($A118,$7:$10,D$1+2,FALSE),0),0)</f>
        <v>0</v>
      </c>
      <c r="E124" s="8">
        <f ca="1">IFERROR(-IF(E119=0,VLOOKUP($A118,$7:$10,E$1+2,FALSE),0),0)</f>
        <v>0</v>
      </c>
      <c r="F124" s="8">
        <f ca="1">IFERROR(-IF(F119=0,VLOOKUP($A118,$7:$10,F$1+2,FALSE),0),0)</f>
        <v>0</v>
      </c>
      <c r="G124" s="8">
        <f ca="1">IFERROR(-IF(G119=0,VLOOKUP($A118,$7:$10,G$1+2,FALSE),0),0)</f>
        <v>0</v>
      </c>
      <c r="H124" s="8">
        <f ca="1">IFERROR(-IF(H119=0,VLOOKUP($A118,$7:$10,H$1+2,FALSE),0),0)</f>
        <v>0</v>
      </c>
      <c r="I124" s="8">
        <f ca="1">IFERROR(-IF(I119=0,VLOOKUP($A118,$7:$10,I$1+2,FALSE),0),0)</f>
        <v>0</v>
      </c>
      <c r="J124" s="8">
        <f t="shared" ref="J124:AM124" ca="1" si="484">IFERROR(-IF(J119=0,VLOOKUP($A118,$7:$10,J$1+2,FALSE),0),0)</f>
        <v>0</v>
      </c>
      <c r="K124" s="8">
        <f t="shared" ca="1" si="484"/>
        <v>0</v>
      </c>
      <c r="L124" s="8">
        <f t="shared" ca="1" si="484"/>
        <v>0</v>
      </c>
      <c r="M124" s="8">
        <f t="shared" ca="1" si="484"/>
        <v>0</v>
      </c>
      <c r="N124" s="8">
        <f t="shared" ca="1" si="484"/>
        <v>0</v>
      </c>
      <c r="O124" s="8">
        <f t="shared" ca="1" si="484"/>
        <v>0</v>
      </c>
      <c r="P124" s="8">
        <f t="shared" ca="1" si="484"/>
        <v>0</v>
      </c>
      <c r="Q124" s="8">
        <f t="shared" ca="1" si="484"/>
        <v>0</v>
      </c>
      <c r="R124" s="8">
        <f t="shared" ca="1" si="484"/>
        <v>0</v>
      </c>
      <c r="S124" s="8">
        <f t="shared" ca="1" si="484"/>
        <v>0</v>
      </c>
      <c r="T124" s="8">
        <f t="shared" ca="1" si="484"/>
        <v>0</v>
      </c>
      <c r="U124" s="8">
        <f t="shared" ca="1" si="484"/>
        <v>0</v>
      </c>
      <c r="V124" s="8">
        <f t="shared" ca="1" si="484"/>
        <v>0</v>
      </c>
      <c r="W124" s="8">
        <f t="shared" ca="1" si="484"/>
        <v>0</v>
      </c>
      <c r="X124" s="8">
        <f t="shared" ca="1" si="484"/>
        <v>0</v>
      </c>
      <c r="Y124" s="8">
        <f t="shared" ca="1" si="484"/>
        <v>0</v>
      </c>
      <c r="Z124" s="8">
        <f t="shared" ca="1" si="484"/>
        <v>0</v>
      </c>
      <c r="AA124" s="8">
        <f t="shared" ca="1" si="484"/>
        <v>0</v>
      </c>
      <c r="AB124" s="8">
        <f t="shared" ca="1" si="484"/>
        <v>0</v>
      </c>
      <c r="AC124" s="8">
        <f t="shared" ca="1" si="484"/>
        <v>0</v>
      </c>
      <c r="AD124" s="8">
        <f t="shared" ca="1" si="484"/>
        <v>0</v>
      </c>
      <c r="AE124" s="8">
        <f t="shared" ca="1" si="484"/>
        <v>0</v>
      </c>
      <c r="AF124" s="8">
        <f t="shared" ca="1" si="484"/>
        <v>0</v>
      </c>
      <c r="AG124" s="8">
        <f t="shared" ca="1" si="484"/>
        <v>0</v>
      </c>
      <c r="AH124" s="8">
        <f t="shared" ca="1" si="484"/>
        <v>0</v>
      </c>
      <c r="AI124" s="8">
        <f t="shared" ca="1" si="484"/>
        <v>0</v>
      </c>
      <c r="AJ124" s="8">
        <f t="shared" ca="1" si="484"/>
        <v>0</v>
      </c>
      <c r="AK124" s="8">
        <f t="shared" ca="1" si="484"/>
        <v>0</v>
      </c>
      <c r="AL124" s="8">
        <f t="shared" ca="1" si="484"/>
        <v>0</v>
      </c>
      <c r="AM124" s="8">
        <f t="shared" ca="1" si="484"/>
        <v>0</v>
      </c>
    </row>
    <row r="125" spans="1:39" x14ac:dyDescent="0.2">
      <c r="A125" s="4" t="s">
        <v>54</v>
      </c>
      <c r="C125" s="8">
        <f>IFERROR(IF(C119=0,VLOOKUP($A118,$33:$36,C$1+2,FALSE),0),0)</f>
        <v>0</v>
      </c>
      <c r="D125" s="8">
        <f ca="1">IFERROR(IF(D119=0,VLOOKUP($A118,$33:$36,D$1+2,FALSE),0),0)</f>
        <v>0</v>
      </c>
      <c r="E125" s="8">
        <f ca="1">IFERROR(IF(E119=0,VLOOKUP($A118,$33:$36,E$1+2,FALSE),0),0)</f>
        <v>0</v>
      </c>
      <c r="F125" s="8">
        <f ca="1">IFERROR(IF(F119=0,VLOOKUP($A118,$33:$36,F$1+2,FALSE),0),0)</f>
        <v>0</v>
      </c>
      <c r="G125" s="8">
        <f ca="1">IFERROR(IF(G119=0,VLOOKUP($A118,$33:$36,G$1+2,FALSE),0),0)</f>
        <v>0</v>
      </c>
      <c r="H125" s="8">
        <f ca="1">IFERROR(IF(H119=0,VLOOKUP($A118,$33:$36,H$1+2,FALSE),0),0)</f>
        <v>0</v>
      </c>
      <c r="I125" s="8">
        <f ca="1">IFERROR(IF(I119=0,VLOOKUP($A118,$33:$36,I$1+2,FALSE),0),0)</f>
        <v>0</v>
      </c>
      <c r="J125" s="8">
        <f t="shared" ref="J125:AM125" ca="1" si="485">IFERROR(IF(J119=0,VLOOKUP($A118,$33:$36,J$1+2,FALSE),0),0)</f>
        <v>0</v>
      </c>
      <c r="K125" s="8">
        <f t="shared" ca="1" si="485"/>
        <v>0</v>
      </c>
      <c r="L125" s="8">
        <f t="shared" ca="1" si="485"/>
        <v>0</v>
      </c>
      <c r="M125" s="8">
        <f t="shared" ca="1" si="485"/>
        <v>0</v>
      </c>
      <c r="N125" s="8">
        <f t="shared" ca="1" si="485"/>
        <v>0</v>
      </c>
      <c r="O125" s="8">
        <f t="shared" ca="1" si="485"/>
        <v>0</v>
      </c>
      <c r="P125" s="8">
        <f t="shared" ca="1" si="485"/>
        <v>0</v>
      </c>
      <c r="Q125" s="8">
        <f t="shared" ca="1" si="485"/>
        <v>0</v>
      </c>
      <c r="R125" s="8">
        <f t="shared" ca="1" si="485"/>
        <v>0</v>
      </c>
      <c r="S125" s="8">
        <f t="shared" ca="1" si="485"/>
        <v>0</v>
      </c>
      <c r="T125" s="8">
        <f t="shared" ca="1" si="485"/>
        <v>0</v>
      </c>
      <c r="U125" s="8">
        <f t="shared" ca="1" si="485"/>
        <v>0</v>
      </c>
      <c r="V125" s="8">
        <f t="shared" ca="1" si="485"/>
        <v>0</v>
      </c>
      <c r="W125" s="8">
        <f t="shared" ca="1" si="485"/>
        <v>0</v>
      </c>
      <c r="X125" s="8">
        <f t="shared" ca="1" si="485"/>
        <v>0</v>
      </c>
      <c r="Y125" s="8">
        <f t="shared" ca="1" si="485"/>
        <v>0</v>
      </c>
      <c r="Z125" s="8">
        <f t="shared" ca="1" si="485"/>
        <v>0</v>
      </c>
      <c r="AA125" s="8">
        <f t="shared" ca="1" si="485"/>
        <v>0</v>
      </c>
      <c r="AB125" s="8">
        <f t="shared" ca="1" si="485"/>
        <v>0</v>
      </c>
      <c r="AC125" s="8">
        <f t="shared" ca="1" si="485"/>
        <v>0</v>
      </c>
      <c r="AD125" s="8">
        <f t="shared" ca="1" si="485"/>
        <v>0</v>
      </c>
      <c r="AE125" s="8">
        <f t="shared" ca="1" si="485"/>
        <v>0</v>
      </c>
      <c r="AF125" s="8">
        <f t="shared" ca="1" si="485"/>
        <v>0</v>
      </c>
      <c r="AG125" s="8">
        <f t="shared" ca="1" si="485"/>
        <v>0</v>
      </c>
      <c r="AH125" s="8">
        <f t="shared" ca="1" si="485"/>
        <v>0</v>
      </c>
      <c r="AI125" s="8">
        <f t="shared" ca="1" si="485"/>
        <v>0</v>
      </c>
      <c r="AJ125" s="8">
        <f t="shared" ca="1" si="485"/>
        <v>0</v>
      </c>
      <c r="AK125" s="8">
        <f t="shared" ca="1" si="485"/>
        <v>0</v>
      </c>
      <c r="AL125" s="8">
        <f t="shared" ca="1" si="485"/>
        <v>0</v>
      </c>
      <c r="AM125" s="8">
        <f t="shared" ca="1" si="485"/>
        <v>0</v>
      </c>
    </row>
    <row r="126" spans="1:39" x14ac:dyDescent="0.2">
      <c r="A126" s="4" t="s">
        <v>40</v>
      </c>
      <c r="B126" s="16" t="str">
        <f>A118</f>
        <v>Sliema</v>
      </c>
      <c r="C126" s="8">
        <f ca="1">IF(AND(C119&gt;0,C122=0),VLOOKUP($A118,$61:$64,C$1+2,FALSE),0)</f>
        <v>0</v>
      </c>
      <c r="D126" s="8">
        <f ca="1">IF(AND(D119&gt;0,D122=0),VLOOKUP($A118,$61:$64,D$1+2,FALSE),0)</f>
        <v>0</v>
      </c>
      <c r="E126" s="8">
        <f ca="1">IF(AND(E119&gt;0,E122=0),VLOOKUP($A118,$61:$64,E$1+2,FALSE),0)</f>
        <v>0</v>
      </c>
      <c r="F126" s="8">
        <f ca="1">IF(AND(F119&gt;0,F122=0),VLOOKUP($A118,$61:$64,F$1+2,FALSE),0)</f>
        <v>0</v>
      </c>
      <c r="G126" s="8">
        <f ca="1">IF(AND(G119&gt;0,G122=0),VLOOKUP($A118,$61:$64,G$1+2,FALSE),0)</f>
        <v>0</v>
      </c>
      <c r="H126" s="8">
        <f ca="1">IF(AND(H119&gt;0,H122=0),VLOOKUP($A118,$61:$64,H$1+2,FALSE),0)</f>
        <v>0</v>
      </c>
      <c r="I126" s="8">
        <f ca="1">IF(AND(I119&gt;0,I122=0),VLOOKUP($A118,$61:$64,I$1+2,FALSE),0)</f>
        <v>0</v>
      </c>
      <c r="J126" s="8">
        <f t="shared" ref="J126:AM126" ca="1" si="486">IF(AND(J119&gt;0,J122=0),VLOOKUP($A118,$61:$64,J$1+2,FALSE),0)</f>
        <v>0</v>
      </c>
      <c r="K126" s="8">
        <f t="shared" ca="1" si="486"/>
        <v>0</v>
      </c>
      <c r="L126" s="8">
        <f t="shared" ca="1" si="486"/>
        <v>0</v>
      </c>
      <c r="M126" s="8">
        <f t="shared" ca="1" si="486"/>
        <v>0</v>
      </c>
      <c r="N126" s="8">
        <f t="shared" ca="1" si="486"/>
        <v>0</v>
      </c>
      <c r="O126" s="8">
        <f t="shared" ca="1" si="486"/>
        <v>0</v>
      </c>
      <c r="P126" s="8">
        <f t="shared" ca="1" si="486"/>
        <v>0</v>
      </c>
      <c r="Q126" s="8">
        <f t="shared" ca="1" si="486"/>
        <v>0</v>
      </c>
      <c r="R126" s="8">
        <f t="shared" ca="1" si="486"/>
        <v>0</v>
      </c>
      <c r="S126" s="8">
        <f t="shared" ca="1" si="486"/>
        <v>0</v>
      </c>
      <c r="T126" s="8">
        <f t="shared" ca="1" si="486"/>
        <v>0</v>
      </c>
      <c r="U126" s="8">
        <f t="shared" ca="1" si="486"/>
        <v>0</v>
      </c>
      <c r="V126" s="8">
        <f t="shared" ca="1" si="486"/>
        <v>0</v>
      </c>
      <c r="W126" s="8">
        <f t="shared" ca="1" si="486"/>
        <v>0</v>
      </c>
      <c r="X126" s="8">
        <f t="shared" ca="1" si="486"/>
        <v>0</v>
      </c>
      <c r="Y126" s="8">
        <f t="shared" ca="1" si="486"/>
        <v>0</v>
      </c>
      <c r="Z126" s="8">
        <f t="shared" ca="1" si="486"/>
        <v>0</v>
      </c>
      <c r="AA126" s="8">
        <f t="shared" ca="1" si="486"/>
        <v>0</v>
      </c>
      <c r="AB126" s="8">
        <f t="shared" ca="1" si="486"/>
        <v>0</v>
      </c>
      <c r="AC126" s="8">
        <f t="shared" ca="1" si="486"/>
        <v>0</v>
      </c>
      <c r="AD126" s="8">
        <f t="shared" ca="1" si="486"/>
        <v>0</v>
      </c>
      <c r="AE126" s="8">
        <f t="shared" ca="1" si="486"/>
        <v>0</v>
      </c>
      <c r="AF126" s="8">
        <f t="shared" ca="1" si="486"/>
        <v>0</v>
      </c>
      <c r="AG126" s="8">
        <f t="shared" ca="1" si="486"/>
        <v>0</v>
      </c>
      <c r="AH126" s="8">
        <f t="shared" ca="1" si="486"/>
        <v>0</v>
      </c>
      <c r="AI126" s="8">
        <f t="shared" ca="1" si="486"/>
        <v>0</v>
      </c>
      <c r="AJ126" s="8">
        <f t="shared" ca="1" si="486"/>
        <v>0</v>
      </c>
      <c r="AK126" s="8">
        <f t="shared" ca="1" si="486"/>
        <v>0</v>
      </c>
      <c r="AL126" s="8">
        <f t="shared" ca="1" si="486"/>
        <v>0</v>
      </c>
      <c r="AM126" s="8">
        <f t="shared" ca="1" si="486"/>
        <v>0</v>
      </c>
    </row>
    <row r="127" spans="1:39" x14ac:dyDescent="0.2">
      <c r="A127" s="4" t="s">
        <v>41</v>
      </c>
      <c r="C127" s="8">
        <f ca="1">-C120+SUM(C123:C126)</f>
        <v>0</v>
      </c>
      <c r="D127" s="8">
        <f t="shared" ref="D127" ca="1" si="487">-D120+SUM(D123:D126)</f>
        <v>0</v>
      </c>
      <c r="E127" s="8">
        <f t="shared" ref="E127:G127" ca="1" si="488">-E120+SUM(E123:E126)</f>
        <v>0</v>
      </c>
      <c r="F127" s="8">
        <f t="shared" ca="1" si="488"/>
        <v>0</v>
      </c>
      <c r="G127" s="8">
        <f t="shared" ca="1" si="488"/>
        <v>0</v>
      </c>
      <c r="H127" s="8">
        <f t="shared" ref="H127:AM127" ca="1" si="489">-H120+SUM(H123:H126)</f>
        <v>0</v>
      </c>
      <c r="I127" s="8">
        <f t="shared" ca="1" si="489"/>
        <v>0</v>
      </c>
      <c r="J127" s="8">
        <f t="shared" ref="J127:AM127" ca="1" si="490">-J120+SUM(J123:J126)</f>
        <v>0</v>
      </c>
      <c r="K127" s="8">
        <f t="shared" ca="1" si="490"/>
        <v>0</v>
      </c>
      <c r="L127" s="8">
        <f t="shared" ca="1" si="490"/>
        <v>0</v>
      </c>
      <c r="M127" s="8">
        <f t="shared" ca="1" si="490"/>
        <v>0</v>
      </c>
      <c r="N127" s="8">
        <f t="shared" ca="1" si="490"/>
        <v>0</v>
      </c>
      <c r="O127" s="8">
        <f t="shared" ca="1" si="490"/>
        <v>0</v>
      </c>
      <c r="P127" s="8">
        <f t="shared" ca="1" si="490"/>
        <v>0</v>
      </c>
      <c r="Q127" s="8">
        <f t="shared" ca="1" si="490"/>
        <v>0</v>
      </c>
      <c r="R127" s="8">
        <f t="shared" ca="1" si="490"/>
        <v>0</v>
      </c>
      <c r="S127" s="8">
        <f t="shared" ca="1" si="490"/>
        <v>0</v>
      </c>
      <c r="T127" s="8">
        <f t="shared" ca="1" si="490"/>
        <v>0</v>
      </c>
      <c r="U127" s="8">
        <f t="shared" ca="1" si="490"/>
        <v>0</v>
      </c>
      <c r="V127" s="8">
        <f t="shared" ca="1" si="490"/>
        <v>0</v>
      </c>
      <c r="W127" s="8">
        <f t="shared" ca="1" si="490"/>
        <v>0</v>
      </c>
      <c r="X127" s="8">
        <f t="shared" ca="1" si="490"/>
        <v>0</v>
      </c>
      <c r="Y127" s="8">
        <f t="shared" ca="1" si="490"/>
        <v>0</v>
      </c>
      <c r="Z127" s="8">
        <f t="shared" ca="1" si="490"/>
        <v>0</v>
      </c>
      <c r="AA127" s="8">
        <f t="shared" ca="1" si="490"/>
        <v>0</v>
      </c>
      <c r="AB127" s="8">
        <f t="shared" ca="1" si="490"/>
        <v>0</v>
      </c>
      <c r="AC127" s="8">
        <f t="shared" ca="1" si="490"/>
        <v>0</v>
      </c>
      <c r="AD127" s="8">
        <f t="shared" ca="1" si="490"/>
        <v>0</v>
      </c>
      <c r="AE127" s="8">
        <f t="shared" ca="1" si="490"/>
        <v>0</v>
      </c>
      <c r="AF127" s="8">
        <f t="shared" ca="1" si="490"/>
        <v>0</v>
      </c>
      <c r="AG127" s="8">
        <f t="shared" ca="1" si="490"/>
        <v>0</v>
      </c>
      <c r="AH127" s="8">
        <f t="shared" ca="1" si="490"/>
        <v>0</v>
      </c>
      <c r="AI127" s="8">
        <f t="shared" ca="1" si="490"/>
        <v>0</v>
      </c>
      <c r="AJ127" s="8">
        <f t="shared" ca="1" si="490"/>
        <v>0</v>
      </c>
      <c r="AK127" s="8">
        <f t="shared" ca="1" si="490"/>
        <v>0</v>
      </c>
      <c r="AL127" s="8">
        <f t="shared" ca="1" si="490"/>
        <v>0</v>
      </c>
      <c r="AM127" s="8">
        <f t="shared" ca="1" si="490"/>
        <v>0</v>
      </c>
    </row>
    <row r="128" spans="1:39" x14ac:dyDescent="0.2">
      <c r="A128" s="4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</row>
    <row r="129" spans="1:39" x14ac:dyDescent="0.2">
      <c r="A129" s="4" t="s">
        <v>87</v>
      </c>
      <c r="C129" s="8">
        <f ca="1">C115+SUM($C127:C127)</f>
        <v>35752.5</v>
      </c>
      <c r="D129" s="8">
        <f ca="1">D115+SUM($C127:D127)</f>
        <v>64902.8125</v>
      </c>
      <c r="E129" s="8">
        <f ca="1">E115+SUM($C127:E127)</f>
        <v>74244.712499999994</v>
      </c>
      <c r="F129" s="8">
        <f ca="1">F115+SUM($C127:F127)</f>
        <v>115351.48395239323</v>
      </c>
      <c r="G129" s="8">
        <f ca="1">G115+SUM($C127:G127)</f>
        <v>161221.49120440619</v>
      </c>
      <c r="H129" s="8">
        <f ca="1">H115+SUM($C127:H127)</f>
        <v>221189.83792477695</v>
      </c>
      <c r="I129" s="8">
        <f ca="1">I115+SUM($C127:I127)</f>
        <v>288035.20366895478</v>
      </c>
      <c r="J129" s="8">
        <f ca="1">J115+SUM($C127:J127)</f>
        <v>340838.42954043212</v>
      </c>
      <c r="K129" s="8">
        <f ca="1">K115+SUM($C127:K127)</f>
        <v>477397.35493851278</v>
      </c>
      <c r="L129" s="8">
        <f ca="1">L115+SUM($C127:L127)</f>
        <v>525529.30292301986</v>
      </c>
      <c r="M129" s="8">
        <f ca="1">M115+SUM($C127:M127)</f>
        <v>629467.06747940183</v>
      </c>
      <c r="N129" s="8">
        <f ca="1">N115+SUM($C127:N127)</f>
        <v>738996.65788302326</v>
      </c>
      <c r="O129" s="8">
        <f ca="1">O115+SUM($C127:O127)</f>
        <v>854355.15612641082</v>
      </c>
      <c r="P129" s="8">
        <f ca="1">P115+SUM($C127:P127)</f>
        <v>975788.67696465331</v>
      </c>
      <c r="Q129" s="8">
        <f ca="1">Q115+SUM($C127:Q127)</f>
        <v>1103552.6915839072</v>
      </c>
      <c r="R129" s="8">
        <f ca="1">R115+SUM($C127:R127)</f>
        <v>1237912.3624140497</v>
      </c>
      <c r="S129" s="8">
        <f ca="1">S115+SUM($C127:S127)</f>
        <v>1273210.6589462783</v>
      </c>
      <c r="T129" s="8">
        <f ca="1">T115+SUM($C127:T127)</f>
        <v>1317422.0823162566</v>
      </c>
      <c r="U129" s="8">
        <f ca="1">U115+SUM($C127:U127)</f>
        <v>1363274.3464270437</v>
      </c>
      <c r="V129" s="8">
        <f ca="1">V115+SUM($C127:V127)</f>
        <v>1410829.3919630982</v>
      </c>
      <c r="W129" s="8">
        <f ca="1">W115+SUM($C127:W127)</f>
        <v>1460151.4570412496</v>
      </c>
      <c r="X129" s="8">
        <f ca="1">X115+SUM($C127:X127)</f>
        <v>1490900.2406538306</v>
      </c>
      <c r="Y129" s="8">
        <f ca="1">Y115+SUM($C127:Y127)</f>
        <v>1522531.4010244682</v>
      </c>
      <c r="Z129" s="8">
        <f ca="1">Z115+SUM($C127:Z127)</f>
        <v>1555078.31496845</v>
      </c>
      <c r="AA129" s="8">
        <f ca="1">AA115+SUM($C127:AA127)</f>
        <v>1588575.7309353678</v>
      </c>
      <c r="AB129" s="8">
        <f ca="1">AB115+SUM($C127:AB127)</f>
        <v>1623059.824358695</v>
      </c>
      <c r="AC129" s="8">
        <f ca="1">AC115+SUM($C127:AC127)</f>
        <v>1658568.2551444201</v>
      </c>
      <c r="AD129" s="8">
        <f ca="1">AD115+SUM($C127:AD127)</f>
        <v>1705000.9649706078</v>
      </c>
      <c r="AE129" s="8">
        <f ca="1">AE115+SUM($C127:AE127)</f>
        <v>1753031.0633963605</v>
      </c>
      <c r="AF129" s="8">
        <f ca="1">AF115+SUM($C127:AF127)</f>
        <v>1802719.5201560468</v>
      </c>
      <c r="AG129" s="8">
        <f ca="1">AG115+SUM($C127:AG127)</f>
        <v>1854129.6587253201</v>
      </c>
      <c r="AH129" s="8">
        <f ca="1">AH115+SUM($C127:AH127)</f>
        <v>1907327.2450107713</v>
      </c>
      <c r="AI129" s="8">
        <f ca="1">AI115+SUM($C127:AI127)</f>
        <v>1962380.5792762381</v>
      </c>
      <c r="AJ129" s="8">
        <f ca="1">AJ115+SUM($C127:AJ127)</f>
        <v>2019360.5914203662</v>
      </c>
      <c r="AK129" s="8">
        <f ca="1">AK115+SUM($C127:AK127)</f>
        <v>2078340.9397239783</v>
      </c>
      <c r="AL129" s="8">
        <f ca="1">AL115+SUM($C127:AL127)</f>
        <v>2139398.1131898882</v>
      </c>
      <c r="AM129" s="8">
        <f ca="1">AM115+SUM($C127:AM127)</f>
        <v>2202611.5376020237</v>
      </c>
    </row>
    <row r="130" spans="1:39" x14ac:dyDescent="0.2">
      <c r="A130" s="4" t="s">
        <v>84</v>
      </c>
      <c r="C130" s="8">
        <f t="shared" ref="C130:AM130" ca="1" si="491">MAX(C129+buffer,0)-MAX(C115+buffer,0)</f>
        <v>0</v>
      </c>
      <c r="D130" s="8">
        <f t="shared" ca="1" si="491"/>
        <v>0</v>
      </c>
      <c r="E130" s="8">
        <f t="shared" ca="1" si="491"/>
        <v>0</v>
      </c>
      <c r="F130" s="8">
        <f t="shared" ca="1" si="491"/>
        <v>0</v>
      </c>
      <c r="G130" s="8">
        <f t="shared" ca="1" si="491"/>
        <v>0</v>
      </c>
      <c r="H130" s="8">
        <f t="shared" ca="1" si="491"/>
        <v>0</v>
      </c>
      <c r="I130" s="8">
        <f t="shared" ca="1" si="491"/>
        <v>0</v>
      </c>
      <c r="J130" s="8">
        <f t="shared" ref="J130:AM130" ca="1" si="492">MAX(J129+buffer,0)-MAX(J115+buffer,0)</f>
        <v>0</v>
      </c>
      <c r="K130" s="8">
        <f t="shared" ca="1" si="492"/>
        <v>0</v>
      </c>
      <c r="L130" s="8">
        <f t="shared" ca="1" si="492"/>
        <v>0</v>
      </c>
      <c r="M130" s="8">
        <f t="shared" ca="1" si="492"/>
        <v>0</v>
      </c>
      <c r="N130" s="8">
        <f t="shared" ca="1" si="492"/>
        <v>0</v>
      </c>
      <c r="O130" s="8">
        <f t="shared" ca="1" si="492"/>
        <v>0</v>
      </c>
      <c r="P130" s="8">
        <f t="shared" ca="1" si="492"/>
        <v>0</v>
      </c>
      <c r="Q130" s="8">
        <f t="shared" ca="1" si="492"/>
        <v>0</v>
      </c>
      <c r="R130" s="8">
        <f t="shared" ca="1" si="492"/>
        <v>0</v>
      </c>
      <c r="S130" s="8">
        <f t="shared" ca="1" si="492"/>
        <v>0</v>
      </c>
      <c r="T130" s="8">
        <f t="shared" ca="1" si="492"/>
        <v>0</v>
      </c>
      <c r="U130" s="8">
        <f t="shared" ca="1" si="492"/>
        <v>0</v>
      </c>
      <c r="V130" s="8">
        <f t="shared" ca="1" si="492"/>
        <v>0</v>
      </c>
      <c r="W130" s="8">
        <f t="shared" ca="1" si="492"/>
        <v>0</v>
      </c>
      <c r="X130" s="8">
        <f t="shared" ca="1" si="492"/>
        <v>0</v>
      </c>
      <c r="Y130" s="8">
        <f t="shared" ca="1" si="492"/>
        <v>0</v>
      </c>
      <c r="Z130" s="8">
        <f t="shared" ca="1" si="492"/>
        <v>0</v>
      </c>
      <c r="AA130" s="8">
        <f t="shared" ca="1" si="492"/>
        <v>0</v>
      </c>
      <c r="AB130" s="8">
        <f t="shared" ca="1" si="492"/>
        <v>0</v>
      </c>
      <c r="AC130" s="8">
        <f t="shared" ca="1" si="492"/>
        <v>0</v>
      </c>
      <c r="AD130" s="8">
        <f t="shared" ca="1" si="492"/>
        <v>0</v>
      </c>
      <c r="AE130" s="8">
        <f t="shared" ca="1" si="492"/>
        <v>0</v>
      </c>
      <c r="AF130" s="8">
        <f t="shared" ca="1" si="492"/>
        <v>0</v>
      </c>
      <c r="AG130" s="8">
        <f t="shared" ca="1" si="492"/>
        <v>0</v>
      </c>
      <c r="AH130" s="8">
        <f t="shared" ca="1" si="492"/>
        <v>0</v>
      </c>
      <c r="AI130" s="8">
        <f t="shared" ca="1" si="492"/>
        <v>0</v>
      </c>
      <c r="AJ130" s="8">
        <f t="shared" ca="1" si="492"/>
        <v>0</v>
      </c>
      <c r="AK130" s="8">
        <f t="shared" ca="1" si="492"/>
        <v>0</v>
      </c>
      <c r="AL130" s="8">
        <f t="shared" ca="1" si="492"/>
        <v>0</v>
      </c>
      <c r="AM130" s="8">
        <f t="shared" ca="1" si="492"/>
        <v>0</v>
      </c>
    </row>
    <row r="131" spans="1:39" x14ac:dyDescent="0.2">
      <c r="A131" s="4" t="s">
        <v>85</v>
      </c>
      <c r="C131" s="8">
        <f ca="1">C130*Inputs!$B$149</f>
        <v>0</v>
      </c>
      <c r="D131" s="8">
        <f ca="1">D130*Inputs!$B$149</f>
        <v>0</v>
      </c>
      <c r="E131" s="8">
        <f ca="1">E130*Inputs!$B$149</f>
        <v>0</v>
      </c>
      <c r="F131" s="8">
        <f ca="1">F130*Inputs!$B$149</f>
        <v>0</v>
      </c>
      <c r="G131" s="8">
        <f ca="1">G130*Inputs!$B$149</f>
        <v>0</v>
      </c>
      <c r="H131" s="8">
        <f ca="1">H130*Inputs!$B$149</f>
        <v>0</v>
      </c>
      <c r="I131" s="8">
        <f ca="1">I130*Inputs!$B$149</f>
        <v>0</v>
      </c>
      <c r="J131" s="8">
        <f ca="1">J130*Inputs!$B$149</f>
        <v>0</v>
      </c>
      <c r="K131" s="8">
        <f ca="1">K130*Inputs!$B$149</f>
        <v>0</v>
      </c>
      <c r="L131" s="8">
        <f ca="1">L130*Inputs!$B$149</f>
        <v>0</v>
      </c>
      <c r="M131" s="8">
        <f ca="1">M130*Inputs!$B$149</f>
        <v>0</v>
      </c>
      <c r="N131" s="8">
        <f ca="1">N130*Inputs!$B$149</f>
        <v>0</v>
      </c>
      <c r="O131" s="8">
        <f ca="1">O130*Inputs!$B$149</f>
        <v>0</v>
      </c>
      <c r="P131" s="8">
        <f ca="1">P130*Inputs!$B$149</f>
        <v>0</v>
      </c>
      <c r="Q131" s="8">
        <f ca="1">Q130*Inputs!$B$149</f>
        <v>0</v>
      </c>
      <c r="R131" s="8">
        <f ca="1">R130*Inputs!$B$149</f>
        <v>0</v>
      </c>
      <c r="S131" s="8">
        <f ca="1">S130*Inputs!$B$149</f>
        <v>0</v>
      </c>
      <c r="T131" s="8">
        <f ca="1">T130*Inputs!$B$149</f>
        <v>0</v>
      </c>
      <c r="U131" s="8">
        <f ca="1">U130*Inputs!$B$149</f>
        <v>0</v>
      </c>
      <c r="V131" s="8">
        <f ca="1">V130*Inputs!$B$149</f>
        <v>0</v>
      </c>
      <c r="W131" s="8">
        <f ca="1">W130*Inputs!$B$149</f>
        <v>0</v>
      </c>
      <c r="X131" s="8">
        <f ca="1">X130*Inputs!$B$149</f>
        <v>0</v>
      </c>
      <c r="Y131" s="8">
        <f ca="1">Y130*Inputs!$B$149</f>
        <v>0</v>
      </c>
      <c r="Z131" s="8">
        <f ca="1">Z130*Inputs!$B$149</f>
        <v>0</v>
      </c>
      <c r="AA131" s="8">
        <f ca="1">AA130*Inputs!$B$149</f>
        <v>0</v>
      </c>
      <c r="AB131" s="8">
        <f ca="1">AB130*Inputs!$B$149</f>
        <v>0</v>
      </c>
      <c r="AC131" s="8">
        <f ca="1">AC130*Inputs!$B$149</f>
        <v>0</v>
      </c>
      <c r="AD131" s="8">
        <f ca="1">AD130*Inputs!$B$149</f>
        <v>0</v>
      </c>
      <c r="AE131" s="8">
        <f ca="1">AE130*Inputs!$B$149</f>
        <v>0</v>
      </c>
      <c r="AF131" s="8">
        <f ca="1">AF130*Inputs!$B$149</f>
        <v>0</v>
      </c>
      <c r="AG131" s="8">
        <f ca="1">AG130*Inputs!$B$149</f>
        <v>0</v>
      </c>
      <c r="AH131" s="8">
        <f ca="1">AH130*Inputs!$B$149</f>
        <v>0</v>
      </c>
      <c r="AI131" s="8">
        <f ca="1">AI130*Inputs!$B$149</f>
        <v>0</v>
      </c>
      <c r="AJ131" s="8">
        <f ca="1">AJ130*Inputs!$B$149</f>
        <v>0</v>
      </c>
      <c r="AK131" s="8">
        <f ca="1">AK130*Inputs!$B$149</f>
        <v>0</v>
      </c>
      <c r="AL131" s="8">
        <f ca="1">AL130*Inputs!$B$149</f>
        <v>0</v>
      </c>
      <c r="AM131" s="8">
        <f ca="1">AM130*Inputs!$B$149</f>
        <v>0</v>
      </c>
    </row>
    <row r="132" spans="1:39" x14ac:dyDescent="0.2">
      <c r="A132" s="4" t="s">
        <v>168</v>
      </c>
      <c r="C132" s="8">
        <f ca="1">C129+SUM($C131:C131)</f>
        <v>35752.5</v>
      </c>
      <c r="D132" s="8">
        <f ca="1">D129+SUM($C131:D131)</f>
        <v>64902.8125</v>
      </c>
      <c r="E132" s="8">
        <f ca="1">E129+SUM($C131:E131)</f>
        <v>74244.712499999994</v>
      </c>
      <c r="F132" s="8">
        <f ca="1">F129+SUM($C131:F131)</f>
        <v>115351.48395239323</v>
      </c>
      <c r="G132" s="8">
        <f ca="1">G129+SUM($C131:G131)</f>
        <v>161221.49120440619</v>
      </c>
      <c r="H132" s="8">
        <f ca="1">H129+SUM($C131:H131)</f>
        <v>221189.83792477695</v>
      </c>
      <c r="I132" s="8">
        <f ca="1">I129+SUM($C131:I131)</f>
        <v>288035.20366895478</v>
      </c>
      <c r="J132" s="8">
        <f ca="1">J129+SUM($C131:J131)</f>
        <v>340838.42954043212</v>
      </c>
      <c r="K132" s="8">
        <f ca="1">K129+SUM($C131:K131)</f>
        <v>477397.35493851278</v>
      </c>
      <c r="L132" s="8">
        <f ca="1">L129+SUM($C131:L131)</f>
        <v>525529.30292301986</v>
      </c>
      <c r="M132" s="8">
        <f ca="1">M129+SUM($C131:M131)</f>
        <v>629467.06747940183</v>
      </c>
      <c r="N132" s="8">
        <f ca="1">N129+SUM($C131:N131)</f>
        <v>738996.65788302326</v>
      </c>
      <c r="O132" s="8">
        <f ca="1">O129+SUM($C131:O131)</f>
        <v>854355.15612641082</v>
      </c>
      <c r="P132" s="8">
        <f ca="1">P129+SUM($C131:P131)</f>
        <v>975788.67696465331</v>
      </c>
      <c r="Q132" s="8">
        <f ca="1">Q129+SUM($C131:Q131)</f>
        <v>1103552.6915839072</v>
      </c>
      <c r="R132" s="8">
        <f ca="1">R129+SUM($C131:R131)</f>
        <v>1237912.3624140497</v>
      </c>
      <c r="S132" s="8">
        <f ca="1">S129+SUM($C131:S131)</f>
        <v>1273210.6589462783</v>
      </c>
      <c r="T132" s="8">
        <f ca="1">T129+SUM($C131:T131)</f>
        <v>1317422.0823162566</v>
      </c>
      <c r="U132" s="8">
        <f ca="1">U129+SUM($C131:U131)</f>
        <v>1363274.3464270437</v>
      </c>
      <c r="V132" s="8">
        <f ca="1">V129+SUM($C131:V131)</f>
        <v>1410829.3919630982</v>
      </c>
      <c r="W132" s="8">
        <f ca="1">W129+SUM($C131:W131)</f>
        <v>1460151.4570412496</v>
      </c>
      <c r="X132" s="8">
        <f ca="1">X129+SUM($C131:X131)</f>
        <v>1490900.2406538306</v>
      </c>
      <c r="Y132" s="8">
        <f ca="1">Y129+SUM($C131:Y131)</f>
        <v>1522531.4010244682</v>
      </c>
      <c r="Z132" s="8">
        <f ca="1">Z129+SUM($C131:Z131)</f>
        <v>1555078.31496845</v>
      </c>
      <c r="AA132" s="8">
        <f ca="1">AA129+SUM($C131:AA131)</f>
        <v>1588575.7309353678</v>
      </c>
      <c r="AB132" s="8">
        <f ca="1">AB129+SUM($C131:AB131)</f>
        <v>1623059.824358695</v>
      </c>
      <c r="AC132" s="8">
        <f ca="1">AC129+SUM($C131:AC131)</f>
        <v>1658568.2551444201</v>
      </c>
      <c r="AD132" s="8">
        <f ca="1">AD129+SUM($C131:AD131)</f>
        <v>1705000.9649706078</v>
      </c>
      <c r="AE132" s="8">
        <f ca="1">AE129+SUM($C131:AE131)</f>
        <v>1753031.0633963605</v>
      </c>
      <c r="AF132" s="8">
        <f ca="1">AF129+SUM($C131:AF131)</f>
        <v>1802719.5201560468</v>
      </c>
      <c r="AG132" s="8">
        <f ca="1">AG129+SUM($C131:AG131)</f>
        <v>1854129.6587253201</v>
      </c>
      <c r="AH132" s="8">
        <f ca="1">AH129+SUM($C131:AH131)</f>
        <v>1907327.2450107713</v>
      </c>
      <c r="AI132" s="8">
        <f ca="1">AI129+SUM($C131:AI131)</f>
        <v>1962380.5792762381</v>
      </c>
      <c r="AJ132" s="8">
        <f ca="1">AJ129+SUM($C131:AJ131)</f>
        <v>2019360.5914203662</v>
      </c>
      <c r="AK132" s="8">
        <f ca="1">AK129+SUM($C131:AK131)</f>
        <v>2078340.9397239783</v>
      </c>
      <c r="AL132" s="8">
        <f ca="1">AL129+SUM($C131:AL131)</f>
        <v>2139398.1131898882</v>
      </c>
      <c r="AM132" s="8">
        <f ca="1">AM129+SUM($C131:AM131)</f>
        <v>2202611.5376020237</v>
      </c>
    </row>
    <row r="133" spans="1:39" x14ac:dyDescent="0.2">
      <c r="A133" s="4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</row>
    <row r="134" spans="1:39" x14ac:dyDescent="0.2">
      <c r="A134" s="4" t="s">
        <v>166</v>
      </c>
      <c r="C134" s="8">
        <f t="shared" ref="C134:AM134" ca="1" si="493">C132+buffer</f>
        <v>75752.5</v>
      </c>
      <c r="D134" s="8">
        <f t="shared" ca="1" si="493"/>
        <v>104902.8125</v>
      </c>
      <c r="E134" s="8">
        <f t="shared" ca="1" si="493"/>
        <v>114244.71249999999</v>
      </c>
      <c r="F134" s="8">
        <f t="shared" ca="1" si="493"/>
        <v>155351.48395239323</v>
      </c>
      <c r="G134" s="8">
        <f t="shared" ca="1" si="493"/>
        <v>201221.49120440619</v>
      </c>
      <c r="H134" s="8">
        <f t="shared" ca="1" si="493"/>
        <v>261189.83792477695</v>
      </c>
      <c r="I134" s="8">
        <f t="shared" ca="1" si="493"/>
        <v>328035.20366895478</v>
      </c>
      <c r="J134" s="8">
        <f t="shared" ref="J134:AM134" ca="1" si="494">J132+buffer</f>
        <v>380838.42954043212</v>
      </c>
      <c r="K134" s="8">
        <f t="shared" ca="1" si="494"/>
        <v>517397.35493851278</v>
      </c>
      <c r="L134" s="8">
        <f t="shared" ca="1" si="494"/>
        <v>565529.30292301986</v>
      </c>
      <c r="M134" s="8">
        <f t="shared" ca="1" si="494"/>
        <v>669467.06747940183</v>
      </c>
      <c r="N134" s="8">
        <f t="shared" ca="1" si="494"/>
        <v>778996.65788302326</v>
      </c>
      <c r="O134" s="8">
        <f t="shared" ca="1" si="494"/>
        <v>894355.15612641082</v>
      </c>
      <c r="P134" s="8">
        <f t="shared" ca="1" si="494"/>
        <v>1015788.6769646533</v>
      </c>
      <c r="Q134" s="8">
        <f t="shared" ca="1" si="494"/>
        <v>1143552.6915839072</v>
      </c>
      <c r="R134" s="8">
        <f t="shared" ca="1" si="494"/>
        <v>1277912.3624140497</v>
      </c>
      <c r="S134" s="8">
        <f t="shared" ca="1" si="494"/>
        <v>1313210.6589462783</v>
      </c>
      <c r="T134" s="8">
        <f t="shared" ca="1" si="494"/>
        <v>1357422.0823162566</v>
      </c>
      <c r="U134" s="8">
        <f t="shared" ca="1" si="494"/>
        <v>1403274.3464270437</v>
      </c>
      <c r="V134" s="8">
        <f t="shared" ca="1" si="494"/>
        <v>1450829.3919630982</v>
      </c>
      <c r="W134" s="8">
        <f t="shared" ca="1" si="494"/>
        <v>1500151.4570412496</v>
      </c>
      <c r="X134" s="8">
        <f t="shared" ca="1" si="494"/>
        <v>1530900.2406538306</v>
      </c>
      <c r="Y134" s="8">
        <f t="shared" ca="1" si="494"/>
        <v>1562531.4010244682</v>
      </c>
      <c r="Z134" s="8">
        <f t="shared" ca="1" si="494"/>
        <v>1595078.31496845</v>
      </c>
      <c r="AA134" s="8">
        <f t="shared" ca="1" si="494"/>
        <v>1628575.7309353678</v>
      </c>
      <c r="AB134" s="8">
        <f t="shared" ca="1" si="494"/>
        <v>1663059.824358695</v>
      </c>
      <c r="AC134" s="8">
        <f t="shared" ca="1" si="494"/>
        <v>1698568.2551444201</v>
      </c>
      <c r="AD134" s="8">
        <f t="shared" ca="1" si="494"/>
        <v>1745000.9649706078</v>
      </c>
      <c r="AE134" s="8">
        <f t="shared" ca="1" si="494"/>
        <v>1793031.0633963605</v>
      </c>
      <c r="AF134" s="8">
        <f t="shared" ca="1" si="494"/>
        <v>1842719.5201560468</v>
      </c>
      <c r="AG134" s="8">
        <f t="shared" ca="1" si="494"/>
        <v>1894129.6587253201</v>
      </c>
      <c r="AH134" s="8">
        <f t="shared" ca="1" si="494"/>
        <v>1947327.2450107713</v>
      </c>
      <c r="AI134" s="8">
        <f t="shared" ca="1" si="494"/>
        <v>2002380.5792762381</v>
      </c>
      <c r="AJ134" s="8">
        <f t="shared" ca="1" si="494"/>
        <v>2059360.5914203662</v>
      </c>
      <c r="AK134" s="8">
        <f t="shared" ca="1" si="494"/>
        <v>2118340.9397239783</v>
      </c>
      <c r="AL134" s="8">
        <f t="shared" ca="1" si="494"/>
        <v>2179398.1131898882</v>
      </c>
      <c r="AM134" s="8">
        <f t="shared" ca="1" si="494"/>
        <v>2242611.5376020237</v>
      </c>
    </row>
    <row r="135" spans="1:39" x14ac:dyDescent="0.2">
      <c r="A135" s="5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</row>
    <row r="136" spans="1:39" x14ac:dyDescent="0.2">
      <c r="A136" s="34" t="s">
        <v>66</v>
      </c>
      <c r="B136" s="31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</row>
    <row r="137" spans="1:39" x14ac:dyDescent="0.2">
      <c r="A137" s="4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</row>
    <row r="138" spans="1:39" x14ac:dyDescent="0.2">
      <c r="A138" s="20" t="s">
        <v>69</v>
      </c>
      <c r="B138" s="21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</row>
    <row r="139" spans="1:39" x14ac:dyDescent="0.2">
      <c r="A139" s="24" t="str">
        <f>B$92</f>
        <v>Gzira</v>
      </c>
      <c r="B139" s="21"/>
      <c r="C139" s="22">
        <f ca="1">SUM($C86:C86)</f>
        <v>0</v>
      </c>
      <c r="D139" s="22">
        <f ca="1">SUM($C86:D86)</f>
        <v>0</v>
      </c>
      <c r="E139" s="22">
        <f ca="1">SUM($C86:E86)</f>
        <v>0</v>
      </c>
      <c r="F139" s="22">
        <f ca="1">SUM($C86:F86)</f>
        <v>0</v>
      </c>
      <c r="G139" s="22">
        <f ca="1">SUM($C86:G86)</f>
        <v>0</v>
      </c>
      <c r="H139" s="22">
        <f ca="1">SUM($C86:H86)</f>
        <v>0</v>
      </c>
      <c r="I139" s="22">
        <f ca="1">SUM($C86:I86)</f>
        <v>0</v>
      </c>
      <c r="J139" s="22">
        <f ca="1">SUM($C86:J86)</f>
        <v>0</v>
      </c>
      <c r="K139" s="22">
        <f ca="1">SUM($C86:K86)</f>
        <v>0</v>
      </c>
      <c r="L139" s="22">
        <f ca="1">SUM($C86:L86)</f>
        <v>0</v>
      </c>
      <c r="M139" s="22">
        <f ca="1">SUM($C86:M86)</f>
        <v>0</v>
      </c>
      <c r="N139" s="22">
        <f ca="1">SUM($C86:N86)</f>
        <v>0</v>
      </c>
      <c r="O139" s="22">
        <f ca="1">SUM($C86:O86)</f>
        <v>0</v>
      </c>
      <c r="P139" s="22">
        <f ca="1">SUM($C86:P86)</f>
        <v>0</v>
      </c>
      <c r="Q139" s="22">
        <f ca="1">SUM($C86:Q86)</f>
        <v>0</v>
      </c>
      <c r="R139" s="22">
        <f ca="1">SUM($C86:R86)</f>
        <v>0</v>
      </c>
      <c r="S139" s="22">
        <f ca="1">SUM($C86:S86)</f>
        <v>0</v>
      </c>
      <c r="T139" s="22">
        <f ca="1">SUM($C86:T86)</f>
        <v>0</v>
      </c>
      <c r="U139" s="22">
        <f ca="1">SUM($C86:U86)</f>
        <v>0</v>
      </c>
      <c r="V139" s="22">
        <f ca="1">SUM($C86:V86)</f>
        <v>0</v>
      </c>
      <c r="W139" s="22">
        <f ca="1">SUM($C86:W86)</f>
        <v>0</v>
      </c>
      <c r="X139" s="22">
        <f ca="1">SUM($C86:X86)</f>
        <v>0</v>
      </c>
      <c r="Y139" s="22">
        <f ca="1">SUM($C86:Y86)</f>
        <v>0</v>
      </c>
      <c r="Z139" s="22">
        <f ca="1">SUM($C86:Z86)</f>
        <v>0</v>
      </c>
      <c r="AA139" s="22">
        <f ca="1">SUM($C86:AA86)</f>
        <v>0</v>
      </c>
      <c r="AB139" s="22">
        <f ca="1">SUM($C86:AB86)</f>
        <v>0</v>
      </c>
      <c r="AC139" s="22">
        <f ca="1">SUM($C86:AC86)</f>
        <v>0</v>
      </c>
      <c r="AD139" s="22">
        <f ca="1">SUM($C86:AD86)</f>
        <v>0</v>
      </c>
      <c r="AE139" s="22">
        <f ca="1">SUM($C86:AE86)</f>
        <v>0</v>
      </c>
      <c r="AF139" s="22">
        <f ca="1">SUM($C86:AF86)</f>
        <v>0</v>
      </c>
      <c r="AG139" s="22">
        <f ca="1">SUM($C86:AG86)</f>
        <v>0</v>
      </c>
      <c r="AH139" s="22">
        <f ca="1">SUM($C86:AH86)</f>
        <v>0</v>
      </c>
      <c r="AI139" s="22">
        <f ca="1">SUM($C86:AI86)</f>
        <v>0</v>
      </c>
      <c r="AJ139" s="22">
        <f ca="1">SUM($C86:AJ86)</f>
        <v>0</v>
      </c>
      <c r="AK139" s="22">
        <f ca="1">SUM($C86:AK86)</f>
        <v>0</v>
      </c>
      <c r="AL139" s="22">
        <f ca="1">SUM($C86:AL86)</f>
        <v>0</v>
      </c>
      <c r="AM139" s="22">
        <f ca="1">SUM($C86:AM86)</f>
        <v>0</v>
      </c>
    </row>
    <row r="140" spans="1:39" x14ac:dyDescent="0.2">
      <c r="A140" s="24" t="str">
        <f>B$109</f>
        <v>Qormi</v>
      </c>
      <c r="B140" s="21"/>
      <c r="C140" s="22">
        <f ca="1">SUM($C103:C103)</f>
        <v>0</v>
      </c>
      <c r="D140" s="22">
        <f ca="1">SUM($C103:D103)</f>
        <v>0</v>
      </c>
      <c r="E140" s="22">
        <f ca="1">SUM($C103:E103)</f>
        <v>0</v>
      </c>
      <c r="F140" s="22">
        <f ca="1">SUM($C103:F103)</f>
        <v>0</v>
      </c>
      <c r="G140" s="22">
        <f ca="1">SUM($C103:G103)</f>
        <v>0</v>
      </c>
      <c r="H140" s="22">
        <f ca="1">SUM($C103:H103)</f>
        <v>0</v>
      </c>
      <c r="I140" s="22">
        <f ca="1">SUM($C103:I103)</f>
        <v>0</v>
      </c>
      <c r="J140" s="22">
        <f ca="1">SUM($C103:J103)</f>
        <v>0</v>
      </c>
      <c r="K140" s="22">
        <f ca="1">SUM($C103:K103)</f>
        <v>0</v>
      </c>
      <c r="L140" s="22">
        <f ca="1">SUM($C103:L103)</f>
        <v>0</v>
      </c>
      <c r="M140" s="22">
        <f ca="1">SUM($C103:M103)</f>
        <v>0</v>
      </c>
      <c r="N140" s="22">
        <f ca="1">SUM($C103:N103)</f>
        <v>0</v>
      </c>
      <c r="O140" s="22">
        <f ca="1">SUM($C103:O103)</f>
        <v>0</v>
      </c>
      <c r="P140" s="22">
        <f ca="1">SUM($C103:P103)</f>
        <v>0</v>
      </c>
      <c r="Q140" s="22">
        <f ca="1">SUM($C103:Q103)</f>
        <v>0</v>
      </c>
      <c r="R140" s="22">
        <f ca="1">SUM($C103:R103)</f>
        <v>0</v>
      </c>
      <c r="S140" s="22">
        <f ca="1">SUM($C103:S103)</f>
        <v>0</v>
      </c>
      <c r="T140" s="22">
        <f ca="1">SUM($C103:T103)</f>
        <v>0</v>
      </c>
      <c r="U140" s="22">
        <f ca="1">SUM($C103:U103)</f>
        <v>0</v>
      </c>
      <c r="V140" s="22">
        <f ca="1">SUM($C103:V103)</f>
        <v>0</v>
      </c>
      <c r="W140" s="22">
        <f ca="1">SUM($C103:W103)</f>
        <v>0</v>
      </c>
      <c r="X140" s="22">
        <f ca="1">SUM($C103:X103)</f>
        <v>0</v>
      </c>
      <c r="Y140" s="22">
        <f ca="1">SUM($C103:Y103)</f>
        <v>0</v>
      </c>
      <c r="Z140" s="22">
        <f ca="1">SUM($C103:Z103)</f>
        <v>0</v>
      </c>
      <c r="AA140" s="22">
        <f ca="1">SUM($C103:AA103)</f>
        <v>0</v>
      </c>
      <c r="AB140" s="22">
        <f ca="1">SUM($C103:AB103)</f>
        <v>0</v>
      </c>
      <c r="AC140" s="22">
        <f ca="1">SUM($C103:AC103)</f>
        <v>0</v>
      </c>
      <c r="AD140" s="22">
        <f ca="1">SUM($C103:AD103)</f>
        <v>0</v>
      </c>
      <c r="AE140" s="22">
        <f ca="1">SUM($C103:AE103)</f>
        <v>0</v>
      </c>
      <c r="AF140" s="22">
        <f ca="1">SUM($C103:AF103)</f>
        <v>0</v>
      </c>
      <c r="AG140" s="22">
        <f ca="1">SUM($C103:AG103)</f>
        <v>0</v>
      </c>
      <c r="AH140" s="22">
        <f ca="1">SUM($C103:AH103)</f>
        <v>0</v>
      </c>
      <c r="AI140" s="22">
        <f ca="1">SUM($C103:AI103)</f>
        <v>0</v>
      </c>
      <c r="AJ140" s="22">
        <f ca="1">SUM($C103:AJ103)</f>
        <v>0</v>
      </c>
      <c r="AK140" s="22">
        <f ca="1">SUM($C103:AK103)</f>
        <v>0</v>
      </c>
      <c r="AL140" s="22">
        <f ca="1">SUM($C103:AL103)</f>
        <v>0</v>
      </c>
      <c r="AM140" s="22">
        <f ca="1">SUM($C103:AM103)</f>
        <v>0</v>
      </c>
    </row>
    <row r="141" spans="1:39" x14ac:dyDescent="0.2">
      <c r="A141" s="24" t="str">
        <f>B$126</f>
        <v>Sliema</v>
      </c>
      <c r="B141" s="21"/>
      <c r="C141" s="22">
        <f ca="1">SUM($C120:C120)</f>
        <v>0</v>
      </c>
      <c r="D141" s="22">
        <f ca="1">SUM($C120:D120)</f>
        <v>0</v>
      </c>
      <c r="E141" s="22">
        <f ca="1">SUM($C120:E120)</f>
        <v>0</v>
      </c>
      <c r="F141" s="22">
        <f ca="1">SUM($C120:F120)</f>
        <v>0</v>
      </c>
      <c r="G141" s="22">
        <f ca="1">SUM($C120:G120)</f>
        <v>0</v>
      </c>
      <c r="H141" s="22">
        <f ca="1">SUM($C120:H120)</f>
        <v>0</v>
      </c>
      <c r="I141" s="22">
        <f ca="1">SUM($C120:I120)</f>
        <v>0</v>
      </c>
      <c r="J141" s="22">
        <f ca="1">SUM($C120:J120)</f>
        <v>0</v>
      </c>
      <c r="K141" s="22">
        <f ca="1">SUM($C120:K120)</f>
        <v>0</v>
      </c>
      <c r="L141" s="22">
        <f ca="1">SUM($C120:L120)</f>
        <v>0</v>
      </c>
      <c r="M141" s="22">
        <f ca="1">SUM($C120:M120)</f>
        <v>0</v>
      </c>
      <c r="N141" s="22">
        <f ca="1">SUM($C120:N120)</f>
        <v>0</v>
      </c>
      <c r="O141" s="22">
        <f ca="1">SUM($C120:O120)</f>
        <v>0</v>
      </c>
      <c r="P141" s="22">
        <f ca="1">SUM($C120:P120)</f>
        <v>0</v>
      </c>
      <c r="Q141" s="22">
        <f ca="1">SUM($C120:Q120)</f>
        <v>0</v>
      </c>
      <c r="R141" s="22">
        <f ca="1">SUM($C120:R120)</f>
        <v>0</v>
      </c>
      <c r="S141" s="22">
        <f ca="1">SUM($C120:S120)</f>
        <v>0</v>
      </c>
      <c r="T141" s="22">
        <f ca="1">SUM($C120:T120)</f>
        <v>0</v>
      </c>
      <c r="U141" s="22">
        <f ca="1">SUM($C120:U120)</f>
        <v>0</v>
      </c>
      <c r="V141" s="22">
        <f ca="1">SUM($C120:V120)</f>
        <v>0</v>
      </c>
      <c r="W141" s="22">
        <f ca="1">SUM($C120:W120)</f>
        <v>0</v>
      </c>
      <c r="X141" s="22">
        <f ca="1">SUM($C120:X120)</f>
        <v>0</v>
      </c>
      <c r="Y141" s="22">
        <f ca="1">SUM($C120:Y120)</f>
        <v>0</v>
      </c>
      <c r="Z141" s="22">
        <f ca="1">SUM($C120:Z120)</f>
        <v>0</v>
      </c>
      <c r="AA141" s="22">
        <f ca="1">SUM($C120:AA120)</f>
        <v>0</v>
      </c>
      <c r="AB141" s="22">
        <f ca="1">SUM($C120:AB120)</f>
        <v>0</v>
      </c>
      <c r="AC141" s="22">
        <f ca="1">SUM($C120:AC120)</f>
        <v>0</v>
      </c>
      <c r="AD141" s="22">
        <f ca="1">SUM($C120:AD120)</f>
        <v>0</v>
      </c>
      <c r="AE141" s="22">
        <f ca="1">SUM($C120:AE120)</f>
        <v>0</v>
      </c>
      <c r="AF141" s="22">
        <f ca="1">SUM($C120:AF120)</f>
        <v>0</v>
      </c>
      <c r="AG141" s="22">
        <f ca="1">SUM($C120:AG120)</f>
        <v>0</v>
      </c>
      <c r="AH141" s="22">
        <f ca="1">SUM($C120:AH120)</f>
        <v>0</v>
      </c>
      <c r="AI141" s="22">
        <f ca="1">SUM($C120:AI120)</f>
        <v>0</v>
      </c>
      <c r="AJ141" s="22">
        <f ca="1">SUM($C120:AJ120)</f>
        <v>0</v>
      </c>
      <c r="AK141" s="22">
        <f ca="1">SUM($C120:AK120)</f>
        <v>0</v>
      </c>
      <c r="AL141" s="22">
        <f ca="1">SUM($C120:AL120)</f>
        <v>0</v>
      </c>
      <c r="AM141" s="22">
        <f ca="1">SUM($C120:AM120)</f>
        <v>0</v>
      </c>
    </row>
    <row r="142" spans="1:39" x14ac:dyDescent="0.2">
      <c r="A142" s="23"/>
      <c r="B142" s="21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</row>
    <row r="143" spans="1:39" x14ac:dyDescent="0.2">
      <c r="A143" s="20" t="s">
        <v>70</v>
      </c>
      <c r="B143" s="21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</row>
    <row r="144" spans="1:39" x14ac:dyDescent="0.2">
      <c r="A144" s="24" t="str">
        <f>$A$56</f>
        <v>Sliema</v>
      </c>
      <c r="B144" s="21"/>
      <c r="C144" s="22">
        <f ca="1">IFERROR(IF(VLOOKUP($A144,$138:$141,C$1+2,FALSE)=0,C56,0),C56)</f>
        <v>309000</v>
      </c>
      <c r="D144" s="22">
        <f ca="1">IFERROR(IF(VLOOKUP($A144,$138:$141,D$1+2,FALSE)=0,D56,0),D56)</f>
        <v>318270</v>
      </c>
      <c r="E144" s="22">
        <f ca="1">IFERROR(IF(VLOOKUP($A144,$138:$141,E$1+2,FALSE)=0,E56,0),E56)</f>
        <v>327818.10000000003</v>
      </c>
      <c r="F144" s="22">
        <f ca="1">IFERROR(IF(VLOOKUP($A144,$138:$141,F$1+2,FALSE)=0,F56,0),F56)</f>
        <v>337652.64300000004</v>
      </c>
      <c r="G144" s="22">
        <f ca="1">IFERROR(IF(VLOOKUP($A144,$138:$141,G$1+2,FALSE)=0,G56,0),G56)</f>
        <v>347782.22229000006</v>
      </c>
      <c r="H144" s="22">
        <f ca="1">IFERROR(IF(VLOOKUP($A144,$138:$141,H$1+2,FALSE)=0,H56,0),H56)</f>
        <v>358215.68895870005</v>
      </c>
      <c r="I144" s="22">
        <f ca="1">IFERROR(IF(VLOOKUP($A144,$138:$141,I$1+2,FALSE)=0,I56,0),I56)</f>
        <v>368962.15962746105</v>
      </c>
      <c r="J144" s="22">
        <f t="shared" ref="J144:AM144" ca="1" si="495">IFERROR(IF(VLOOKUP($A144,$138:$141,J$1+2,FALSE)=0,J56,0),J56)</f>
        <v>380031.02441628487</v>
      </c>
      <c r="K144" s="22">
        <f t="shared" ca="1" si="495"/>
        <v>391431.95514877344</v>
      </c>
      <c r="L144" s="22">
        <f t="shared" ca="1" si="495"/>
        <v>403174.91380323668</v>
      </c>
      <c r="M144" s="22">
        <f t="shared" ca="1" si="495"/>
        <v>415270.16121733381</v>
      </c>
      <c r="N144" s="22">
        <f t="shared" ca="1" si="495"/>
        <v>427728.26605385385</v>
      </c>
      <c r="O144" s="22">
        <f t="shared" ca="1" si="495"/>
        <v>440560.11403546948</v>
      </c>
      <c r="P144" s="22">
        <f t="shared" ca="1" si="495"/>
        <v>453776.91745653359</v>
      </c>
      <c r="Q144" s="22">
        <f t="shared" ca="1" si="495"/>
        <v>467390.22498022963</v>
      </c>
      <c r="R144" s="22">
        <f t="shared" ca="1" si="495"/>
        <v>481411.9317296365</v>
      </c>
      <c r="S144" s="22">
        <f t="shared" ca="1" si="495"/>
        <v>495854.28968152561</v>
      </c>
      <c r="T144" s="22">
        <f t="shared" ca="1" si="495"/>
        <v>510729.91837197141</v>
      </c>
      <c r="U144" s="22">
        <f t="shared" ca="1" si="495"/>
        <v>526051.81592313061</v>
      </c>
      <c r="V144" s="22">
        <f t="shared" ca="1" si="495"/>
        <v>541833.37040082458</v>
      </c>
      <c r="W144" s="22">
        <f t="shared" ca="1" si="495"/>
        <v>558088.37151284935</v>
      </c>
      <c r="X144" s="22">
        <f t="shared" ca="1" si="495"/>
        <v>574831.02265823481</v>
      </c>
      <c r="Y144" s="22">
        <f t="shared" ca="1" si="495"/>
        <v>592075.95333798183</v>
      </c>
      <c r="Z144" s="22">
        <f t="shared" ca="1" si="495"/>
        <v>609838.23193812126</v>
      </c>
      <c r="AA144" s="22">
        <f t="shared" ca="1" si="495"/>
        <v>628133.37889626494</v>
      </c>
      <c r="AB144" s="22">
        <f t="shared" ca="1" si="495"/>
        <v>646977.38026315288</v>
      </c>
      <c r="AC144" s="22">
        <f t="shared" ca="1" si="495"/>
        <v>666386.70167104749</v>
      </c>
      <c r="AD144" s="22">
        <f t="shared" ca="1" si="495"/>
        <v>686378.30272117897</v>
      </c>
      <c r="AE144" s="22">
        <f t="shared" ca="1" si="495"/>
        <v>706969.65180281433</v>
      </c>
      <c r="AF144" s="22">
        <f t="shared" ca="1" si="495"/>
        <v>728178.7413568988</v>
      </c>
      <c r="AG144" s="22">
        <f t="shared" ca="1" si="495"/>
        <v>750024.10359760583</v>
      </c>
      <c r="AH144" s="22">
        <f t="shared" ca="1" si="495"/>
        <v>772524.82670553401</v>
      </c>
      <c r="AI144" s="22">
        <f t="shared" ca="1" si="495"/>
        <v>795700.57150670001</v>
      </c>
      <c r="AJ144" s="22">
        <f t="shared" ca="1" si="495"/>
        <v>819571.58865190099</v>
      </c>
      <c r="AK144" s="22">
        <f t="shared" ca="1" si="495"/>
        <v>844158.73631145805</v>
      </c>
      <c r="AL144" s="22">
        <f t="shared" ca="1" si="495"/>
        <v>869483.49840080179</v>
      </c>
      <c r="AM144" s="22">
        <f t="shared" ca="1" si="495"/>
        <v>895568.00335282588</v>
      </c>
    </row>
    <row r="145" spans="1:39" x14ac:dyDescent="0.2">
      <c r="A145" s="24" t="str">
        <f>$A$57</f>
        <v>Gzira</v>
      </c>
      <c r="B145" s="21"/>
      <c r="C145" s="22">
        <f ca="1">IFERROR(IF(VLOOKUP($A145,$138:$141,C$1+2,FALSE)=0,C57,0),C57)</f>
        <v>154500</v>
      </c>
      <c r="D145" s="22">
        <f ca="1">IFERROR(IF(VLOOKUP($A145,$138:$141,D$1+2,FALSE)=0,D57,0),D57)</f>
        <v>159135</v>
      </c>
      <c r="E145" s="22">
        <f ca="1">IFERROR(IF(VLOOKUP($A145,$138:$141,E$1+2,FALSE)=0,E57,0),E57)</f>
        <v>163909.05000000002</v>
      </c>
      <c r="F145" s="22">
        <f ca="1">IFERROR(IF(VLOOKUP($A145,$138:$141,F$1+2,FALSE)=0,F57,0),F57)</f>
        <v>168826.32150000002</v>
      </c>
      <c r="G145" s="22">
        <f ca="1">IFERROR(IF(VLOOKUP($A145,$138:$141,G$1+2,FALSE)=0,G57,0),G57)</f>
        <v>173891.11114500003</v>
      </c>
      <c r="H145" s="22">
        <f ca="1">IFERROR(IF(VLOOKUP($A145,$138:$141,H$1+2,FALSE)=0,H57,0),H57)</f>
        <v>179107.84447935002</v>
      </c>
      <c r="I145" s="22">
        <f ca="1">IFERROR(IF(VLOOKUP($A145,$138:$141,I$1+2,FALSE)=0,I57,0),I57)</f>
        <v>184481.07981373052</v>
      </c>
      <c r="J145" s="22">
        <f t="shared" ref="J145:AM145" ca="1" si="496">IFERROR(IF(VLOOKUP($A145,$138:$141,J$1+2,FALSE)=0,J57,0),J57)</f>
        <v>190015.51220814243</v>
      </c>
      <c r="K145" s="22">
        <f t="shared" ca="1" si="496"/>
        <v>195715.97757438672</v>
      </c>
      <c r="L145" s="22">
        <f t="shared" ca="1" si="496"/>
        <v>201587.45690161834</v>
      </c>
      <c r="M145" s="22">
        <f t="shared" ca="1" si="496"/>
        <v>207635.0806086669</v>
      </c>
      <c r="N145" s="22">
        <f t="shared" ca="1" si="496"/>
        <v>213864.13302692692</v>
      </c>
      <c r="O145" s="22">
        <f t="shared" ca="1" si="496"/>
        <v>220280.05701773474</v>
      </c>
      <c r="P145" s="22">
        <f t="shared" ca="1" si="496"/>
        <v>226888.45872826679</v>
      </c>
      <c r="Q145" s="22">
        <f t="shared" ca="1" si="496"/>
        <v>233695.11249011481</v>
      </c>
      <c r="R145" s="22">
        <f t="shared" ca="1" si="496"/>
        <v>240705.96586481825</v>
      </c>
      <c r="S145" s="22">
        <f t="shared" ca="1" si="496"/>
        <v>247927.1448407628</v>
      </c>
      <c r="T145" s="22">
        <f t="shared" ca="1" si="496"/>
        <v>255364.9591859857</v>
      </c>
      <c r="U145" s="22">
        <f t="shared" ca="1" si="496"/>
        <v>263025.9079615653</v>
      </c>
      <c r="V145" s="22">
        <f t="shared" ca="1" si="496"/>
        <v>270916.68520041229</v>
      </c>
      <c r="W145" s="22">
        <f t="shared" ca="1" si="496"/>
        <v>279044.18575642467</v>
      </c>
      <c r="X145" s="22">
        <f t="shared" ca="1" si="496"/>
        <v>287415.51132911741</v>
      </c>
      <c r="Y145" s="22">
        <f t="shared" ca="1" si="496"/>
        <v>296037.97666899092</v>
      </c>
      <c r="Z145" s="22">
        <f t="shared" ca="1" si="496"/>
        <v>304919.11596906063</v>
      </c>
      <c r="AA145" s="22">
        <f t="shared" ca="1" si="496"/>
        <v>314066.68944813247</v>
      </c>
      <c r="AB145" s="22">
        <f t="shared" ca="1" si="496"/>
        <v>323488.69013157644</v>
      </c>
      <c r="AC145" s="22">
        <f t="shared" ca="1" si="496"/>
        <v>333193.35083552374</v>
      </c>
      <c r="AD145" s="22">
        <f t="shared" ca="1" si="496"/>
        <v>343189.15136058949</v>
      </c>
      <c r="AE145" s="22">
        <f t="shared" ca="1" si="496"/>
        <v>353484.82590140717</v>
      </c>
      <c r="AF145" s="22">
        <f t="shared" ca="1" si="496"/>
        <v>364089.3706784494</v>
      </c>
      <c r="AG145" s="22">
        <f t="shared" ca="1" si="496"/>
        <v>375012.05179880292</v>
      </c>
      <c r="AH145" s="22">
        <f t="shared" ca="1" si="496"/>
        <v>386262.41335276701</v>
      </c>
      <c r="AI145" s="22">
        <f t="shared" ca="1" si="496"/>
        <v>397850.28575335001</v>
      </c>
      <c r="AJ145" s="22">
        <f t="shared" ca="1" si="496"/>
        <v>409785.7943259505</v>
      </c>
      <c r="AK145" s="22">
        <f t="shared" ca="1" si="496"/>
        <v>422079.36815572903</v>
      </c>
      <c r="AL145" s="22">
        <f t="shared" ca="1" si="496"/>
        <v>434741.7492004009</v>
      </c>
      <c r="AM145" s="22">
        <f t="shared" ca="1" si="496"/>
        <v>447784.00167641294</v>
      </c>
    </row>
    <row r="146" spans="1:39" x14ac:dyDescent="0.2">
      <c r="A146" s="24" t="str">
        <f>$A$58</f>
        <v>Qormi</v>
      </c>
      <c r="B146" s="21"/>
      <c r="C146" s="22">
        <f ca="1">IFERROR(IF(VLOOKUP($A146,$138:$141,C$1+2,FALSE)=0,C58,0),C58)</f>
        <v>226600</v>
      </c>
      <c r="D146" s="22">
        <f ca="1">IFERROR(IF(VLOOKUP($A146,$138:$141,D$1+2,FALSE)=0,D58,0),D58)</f>
        <v>233398</v>
      </c>
      <c r="E146" s="22">
        <f ca="1">IFERROR(IF(VLOOKUP($A146,$138:$141,E$1+2,FALSE)=0,E58,0),E58)</f>
        <v>240399.94</v>
      </c>
      <c r="F146" s="22">
        <f ca="1">IFERROR(IF(VLOOKUP($A146,$138:$141,F$1+2,FALSE)=0,F58,0),F58)</f>
        <v>247611.9382</v>
      </c>
      <c r="G146" s="22">
        <f ca="1">IFERROR(IF(VLOOKUP($A146,$138:$141,G$1+2,FALSE)=0,G58,0),G58)</f>
        <v>255040.29634600002</v>
      </c>
      <c r="H146" s="22">
        <f ca="1">IFERROR(IF(VLOOKUP($A146,$138:$141,H$1+2,FALSE)=0,H58,0),H58)</f>
        <v>262691.50523638004</v>
      </c>
      <c r="I146" s="22">
        <f ca="1">IFERROR(IF(VLOOKUP($A146,$138:$141,I$1+2,FALSE)=0,I58,0),I58)</f>
        <v>270572.25039347145</v>
      </c>
      <c r="J146" s="22">
        <f t="shared" ref="J146:AM146" ca="1" si="497">IFERROR(IF(VLOOKUP($A146,$138:$141,J$1+2,FALSE)=0,J58,0),J58)</f>
        <v>278689.41790527559</v>
      </c>
      <c r="K146" s="22">
        <f t="shared" ca="1" si="497"/>
        <v>287050.10044243385</v>
      </c>
      <c r="L146" s="22">
        <f t="shared" ca="1" si="497"/>
        <v>295661.60345570685</v>
      </c>
      <c r="M146" s="22">
        <f t="shared" ca="1" si="497"/>
        <v>304531.45155937807</v>
      </c>
      <c r="N146" s="22">
        <f t="shared" ca="1" si="497"/>
        <v>313667.39510615944</v>
      </c>
      <c r="O146" s="22">
        <f t="shared" ca="1" si="497"/>
        <v>323077.41695934423</v>
      </c>
      <c r="P146" s="22">
        <f t="shared" ca="1" si="497"/>
        <v>332769.73946812458</v>
      </c>
      <c r="Q146" s="22">
        <f t="shared" ca="1" si="497"/>
        <v>342752.8316521683</v>
      </c>
      <c r="R146" s="22">
        <f t="shared" ca="1" si="497"/>
        <v>353035.41660173336</v>
      </c>
      <c r="S146" s="22">
        <f t="shared" ca="1" si="497"/>
        <v>363626.47909978539</v>
      </c>
      <c r="T146" s="22">
        <f t="shared" ca="1" si="497"/>
        <v>374535.27347277896</v>
      </c>
      <c r="U146" s="22">
        <f t="shared" ca="1" si="497"/>
        <v>385771.33167696232</v>
      </c>
      <c r="V146" s="22">
        <f t="shared" ca="1" si="497"/>
        <v>397344.47162727121</v>
      </c>
      <c r="W146" s="22">
        <f t="shared" ca="1" si="497"/>
        <v>409264.80577608937</v>
      </c>
      <c r="X146" s="22">
        <f t="shared" ca="1" si="497"/>
        <v>421542.74994937208</v>
      </c>
      <c r="Y146" s="22">
        <f t="shared" ca="1" si="497"/>
        <v>434189.03244785324</v>
      </c>
      <c r="Z146" s="22">
        <f t="shared" ca="1" si="497"/>
        <v>447214.70342128887</v>
      </c>
      <c r="AA146" s="22">
        <f t="shared" ca="1" si="497"/>
        <v>460631.14452392753</v>
      </c>
      <c r="AB146" s="22">
        <f t="shared" ca="1" si="497"/>
        <v>474450.07885964535</v>
      </c>
      <c r="AC146" s="22">
        <f t="shared" ca="1" si="497"/>
        <v>488683.58122543473</v>
      </c>
      <c r="AD146" s="22">
        <f t="shared" ca="1" si="497"/>
        <v>503344.08866219776</v>
      </c>
      <c r="AE146" s="22">
        <f t="shared" ca="1" si="497"/>
        <v>518444.41132206371</v>
      </c>
      <c r="AF146" s="22">
        <f t="shared" ca="1" si="497"/>
        <v>533997.74366172566</v>
      </c>
      <c r="AG146" s="22">
        <f t="shared" ca="1" si="497"/>
        <v>550017.67597157741</v>
      </c>
      <c r="AH146" s="22">
        <f t="shared" ca="1" si="497"/>
        <v>566518.20625072473</v>
      </c>
      <c r="AI146" s="22">
        <f t="shared" ca="1" si="497"/>
        <v>583513.75243824651</v>
      </c>
      <c r="AJ146" s="22">
        <f t="shared" ca="1" si="497"/>
        <v>601019.16501139395</v>
      </c>
      <c r="AK146" s="22">
        <f t="shared" ca="1" si="497"/>
        <v>619049.73996173579</v>
      </c>
      <c r="AL146" s="22">
        <f t="shared" ca="1" si="497"/>
        <v>637621.23216058791</v>
      </c>
      <c r="AM146" s="22">
        <f t="shared" ca="1" si="497"/>
        <v>656749.86912540556</v>
      </c>
    </row>
    <row r="147" spans="1:39" x14ac:dyDescent="0.2"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</row>
    <row r="148" spans="1:39" x14ac:dyDescent="0.2">
      <c r="A148" s="20" t="s">
        <v>67</v>
      </c>
      <c r="B148" s="21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</row>
    <row r="149" spans="1:39" x14ac:dyDescent="0.2">
      <c r="A149" s="24" t="str">
        <f>B$92</f>
        <v>Gzira</v>
      </c>
      <c r="B149" s="21"/>
      <c r="C149" s="22">
        <f ca="1">SUM($C92:C92)</f>
        <v>0</v>
      </c>
      <c r="D149" s="22">
        <f ca="1">SUM($C92:D92)</f>
        <v>0</v>
      </c>
      <c r="E149" s="22">
        <f ca="1">SUM($C92:E92)</f>
        <v>0</v>
      </c>
      <c r="F149" s="22">
        <f ca="1">SUM($C92:F92)</f>
        <v>0</v>
      </c>
      <c r="G149" s="22">
        <f ca="1">SUM($C92:G92)</f>
        <v>0</v>
      </c>
      <c r="H149" s="22">
        <f ca="1">SUM($C92:H92)</f>
        <v>0</v>
      </c>
      <c r="I149" s="22">
        <f ca="1">SUM($C92:I92)</f>
        <v>0</v>
      </c>
      <c r="J149" s="22">
        <f ca="1">SUM($C92:J92)</f>
        <v>0</v>
      </c>
      <c r="K149" s="22">
        <f ca="1">SUM($C92:K92)</f>
        <v>0</v>
      </c>
      <c r="L149" s="22">
        <f ca="1">SUM($C92:L92)</f>
        <v>0</v>
      </c>
      <c r="M149" s="22">
        <f ca="1">SUM($C92:M92)</f>
        <v>0</v>
      </c>
      <c r="N149" s="22">
        <f ca="1">SUM($C92:N92)</f>
        <v>0</v>
      </c>
      <c r="O149" s="22">
        <f ca="1">SUM($C92:O92)</f>
        <v>0</v>
      </c>
      <c r="P149" s="22">
        <f ca="1">SUM($C92:P92)</f>
        <v>0</v>
      </c>
      <c r="Q149" s="22">
        <f ca="1">SUM($C92:Q92)</f>
        <v>0</v>
      </c>
      <c r="R149" s="22">
        <f ca="1">SUM($C92:R92)</f>
        <v>0</v>
      </c>
      <c r="S149" s="22">
        <f ca="1">SUM($C92:S92)</f>
        <v>0</v>
      </c>
      <c r="T149" s="22">
        <f ca="1">SUM($C92:T92)</f>
        <v>0</v>
      </c>
      <c r="U149" s="22">
        <f ca="1">SUM($C92:U92)</f>
        <v>0</v>
      </c>
      <c r="V149" s="22">
        <f ca="1">SUM($C92:V92)</f>
        <v>0</v>
      </c>
      <c r="W149" s="22">
        <f ca="1">SUM($C92:W92)</f>
        <v>0</v>
      </c>
      <c r="X149" s="22">
        <f ca="1">SUM($C92:X92)</f>
        <v>0</v>
      </c>
      <c r="Y149" s="22">
        <f ca="1">SUM($C92:Y92)</f>
        <v>0</v>
      </c>
      <c r="Z149" s="22">
        <f ca="1">SUM($C92:Z92)</f>
        <v>0</v>
      </c>
      <c r="AA149" s="22">
        <f ca="1">SUM($C92:AA92)</f>
        <v>0</v>
      </c>
      <c r="AB149" s="22">
        <f ca="1">SUM($C92:AB92)</f>
        <v>0</v>
      </c>
      <c r="AC149" s="22">
        <f ca="1">SUM($C92:AC92)</f>
        <v>0</v>
      </c>
      <c r="AD149" s="22">
        <f ca="1">SUM($C92:AD92)</f>
        <v>0</v>
      </c>
      <c r="AE149" s="22">
        <f ca="1">SUM($C92:AE92)</f>
        <v>0</v>
      </c>
      <c r="AF149" s="22">
        <f ca="1">SUM($C92:AF92)</f>
        <v>0</v>
      </c>
      <c r="AG149" s="22">
        <f ca="1">SUM($C92:AG92)</f>
        <v>0</v>
      </c>
      <c r="AH149" s="22">
        <f ca="1">SUM($C92:AH92)</f>
        <v>0</v>
      </c>
      <c r="AI149" s="22">
        <f ca="1">SUM($C92:AI92)</f>
        <v>0</v>
      </c>
      <c r="AJ149" s="22">
        <f ca="1">SUM($C92:AJ92)</f>
        <v>0</v>
      </c>
      <c r="AK149" s="22">
        <f ca="1">SUM($C92:AK92)</f>
        <v>0</v>
      </c>
      <c r="AL149" s="22">
        <f ca="1">SUM($C92:AL92)</f>
        <v>0</v>
      </c>
      <c r="AM149" s="22">
        <f ca="1">SUM($C92:AM92)</f>
        <v>0</v>
      </c>
    </row>
    <row r="150" spans="1:39" x14ac:dyDescent="0.2">
      <c r="A150" s="24" t="str">
        <f>B$109</f>
        <v>Qormi</v>
      </c>
      <c r="B150" s="21"/>
      <c r="C150" s="22">
        <f ca="1">SUM($C109:C109)</f>
        <v>0</v>
      </c>
      <c r="D150" s="22">
        <f ca="1">SUM($C109:D109)</f>
        <v>0</v>
      </c>
      <c r="E150" s="22">
        <f ca="1">SUM($C109:E109)</f>
        <v>0</v>
      </c>
      <c r="F150" s="22">
        <f ca="1">SUM($C109:F109)</f>
        <v>0</v>
      </c>
      <c r="G150" s="22">
        <f ca="1">SUM($C109:G109)</f>
        <v>0</v>
      </c>
      <c r="H150" s="22">
        <f ca="1">SUM($C109:H109)</f>
        <v>0</v>
      </c>
      <c r="I150" s="22">
        <f ca="1">SUM($C109:I109)</f>
        <v>0</v>
      </c>
      <c r="J150" s="22">
        <f ca="1">SUM($C109:J109)</f>
        <v>0</v>
      </c>
      <c r="K150" s="22">
        <f ca="1">SUM($C109:K109)</f>
        <v>0</v>
      </c>
      <c r="L150" s="22">
        <f ca="1">SUM($C109:L109)</f>
        <v>0</v>
      </c>
      <c r="M150" s="22">
        <f ca="1">SUM($C109:M109)</f>
        <v>0</v>
      </c>
      <c r="N150" s="22">
        <f ca="1">SUM($C109:N109)</f>
        <v>0</v>
      </c>
      <c r="O150" s="22">
        <f ca="1">SUM($C109:O109)</f>
        <v>0</v>
      </c>
      <c r="P150" s="22">
        <f ca="1">SUM($C109:P109)</f>
        <v>0</v>
      </c>
      <c r="Q150" s="22">
        <f ca="1">SUM($C109:Q109)</f>
        <v>0</v>
      </c>
      <c r="R150" s="22">
        <f ca="1">SUM($C109:R109)</f>
        <v>0</v>
      </c>
      <c r="S150" s="22">
        <f ca="1">SUM($C109:S109)</f>
        <v>0</v>
      </c>
      <c r="T150" s="22">
        <f ca="1">SUM($C109:T109)</f>
        <v>0</v>
      </c>
      <c r="U150" s="22">
        <f ca="1">SUM($C109:U109)</f>
        <v>0</v>
      </c>
      <c r="V150" s="22">
        <f ca="1">SUM($C109:V109)</f>
        <v>0</v>
      </c>
      <c r="W150" s="22">
        <f ca="1">SUM($C109:W109)</f>
        <v>0</v>
      </c>
      <c r="X150" s="22">
        <f ca="1">SUM($C109:X109)</f>
        <v>0</v>
      </c>
      <c r="Y150" s="22">
        <f ca="1">SUM($C109:Y109)</f>
        <v>0</v>
      </c>
      <c r="Z150" s="22">
        <f ca="1">SUM($C109:Z109)</f>
        <v>0</v>
      </c>
      <c r="AA150" s="22">
        <f ca="1">SUM($C109:AA109)</f>
        <v>0</v>
      </c>
      <c r="AB150" s="22">
        <f ca="1">SUM($C109:AB109)</f>
        <v>0</v>
      </c>
      <c r="AC150" s="22">
        <f ca="1">SUM($C109:AC109)</f>
        <v>0</v>
      </c>
      <c r="AD150" s="22">
        <f ca="1">SUM($C109:AD109)</f>
        <v>0</v>
      </c>
      <c r="AE150" s="22">
        <f ca="1">SUM($C109:AE109)</f>
        <v>0</v>
      </c>
      <c r="AF150" s="22">
        <f ca="1">SUM($C109:AF109)</f>
        <v>0</v>
      </c>
      <c r="AG150" s="22">
        <f ca="1">SUM($C109:AG109)</f>
        <v>0</v>
      </c>
      <c r="AH150" s="22">
        <f ca="1">SUM($C109:AH109)</f>
        <v>0</v>
      </c>
      <c r="AI150" s="22">
        <f ca="1">SUM($C109:AI109)</f>
        <v>0</v>
      </c>
      <c r="AJ150" s="22">
        <f ca="1">SUM($C109:AJ109)</f>
        <v>0</v>
      </c>
      <c r="AK150" s="22">
        <f ca="1">SUM($C109:AK109)</f>
        <v>0</v>
      </c>
      <c r="AL150" s="22">
        <f ca="1">SUM($C109:AL109)</f>
        <v>0</v>
      </c>
      <c r="AM150" s="22">
        <f ca="1">SUM($C109:AM109)</f>
        <v>0</v>
      </c>
    </row>
    <row r="151" spans="1:39" x14ac:dyDescent="0.2">
      <c r="A151" s="24" t="str">
        <f>B$126</f>
        <v>Sliema</v>
      </c>
      <c r="B151" s="21"/>
      <c r="C151" s="22">
        <f ca="1">SUM($C126:C126)</f>
        <v>0</v>
      </c>
      <c r="D151" s="22">
        <f ca="1">SUM($C126:D126)</f>
        <v>0</v>
      </c>
      <c r="E151" s="22">
        <f ca="1">SUM($C126:E126)</f>
        <v>0</v>
      </c>
      <c r="F151" s="22">
        <f ca="1">SUM($C126:F126)</f>
        <v>0</v>
      </c>
      <c r="G151" s="22">
        <f ca="1">SUM($C126:G126)</f>
        <v>0</v>
      </c>
      <c r="H151" s="22">
        <f ca="1">SUM($C126:H126)</f>
        <v>0</v>
      </c>
      <c r="I151" s="22">
        <f ca="1">SUM($C126:I126)</f>
        <v>0</v>
      </c>
      <c r="J151" s="22">
        <f ca="1">SUM($C126:J126)</f>
        <v>0</v>
      </c>
      <c r="K151" s="22">
        <f ca="1">SUM($C126:K126)</f>
        <v>0</v>
      </c>
      <c r="L151" s="22">
        <f ca="1">SUM($C126:L126)</f>
        <v>0</v>
      </c>
      <c r="M151" s="22">
        <f ca="1">SUM($C126:M126)</f>
        <v>0</v>
      </c>
      <c r="N151" s="22">
        <f ca="1">SUM($C126:N126)</f>
        <v>0</v>
      </c>
      <c r="O151" s="22">
        <f ca="1">SUM($C126:O126)</f>
        <v>0</v>
      </c>
      <c r="P151" s="22">
        <f ca="1">SUM($C126:P126)</f>
        <v>0</v>
      </c>
      <c r="Q151" s="22">
        <f ca="1">SUM($C126:Q126)</f>
        <v>0</v>
      </c>
      <c r="R151" s="22">
        <f ca="1">SUM($C126:R126)</f>
        <v>0</v>
      </c>
      <c r="S151" s="22">
        <f ca="1">SUM($C126:S126)</f>
        <v>0</v>
      </c>
      <c r="T151" s="22">
        <f ca="1">SUM($C126:T126)</f>
        <v>0</v>
      </c>
      <c r="U151" s="22">
        <f ca="1">SUM($C126:U126)</f>
        <v>0</v>
      </c>
      <c r="V151" s="22">
        <f ca="1">SUM($C126:V126)</f>
        <v>0</v>
      </c>
      <c r="W151" s="22">
        <f ca="1">SUM($C126:W126)</f>
        <v>0</v>
      </c>
      <c r="X151" s="22">
        <f ca="1">SUM($C126:X126)</f>
        <v>0</v>
      </c>
      <c r="Y151" s="22">
        <f ca="1">SUM($C126:Y126)</f>
        <v>0</v>
      </c>
      <c r="Z151" s="22">
        <f ca="1">SUM($C126:Z126)</f>
        <v>0</v>
      </c>
      <c r="AA151" s="22">
        <f ca="1">SUM($C126:AA126)</f>
        <v>0</v>
      </c>
      <c r="AB151" s="22">
        <f ca="1">SUM($C126:AB126)</f>
        <v>0</v>
      </c>
      <c r="AC151" s="22">
        <f ca="1">SUM($C126:AC126)</f>
        <v>0</v>
      </c>
      <c r="AD151" s="22">
        <f ca="1">SUM($C126:AD126)</f>
        <v>0</v>
      </c>
      <c r="AE151" s="22">
        <f ca="1">SUM($C126:AE126)</f>
        <v>0</v>
      </c>
      <c r="AF151" s="22">
        <f ca="1">SUM($C126:AF126)</f>
        <v>0</v>
      </c>
      <c r="AG151" s="22">
        <f ca="1">SUM($C126:AG126)</f>
        <v>0</v>
      </c>
      <c r="AH151" s="22">
        <f ca="1">SUM($C126:AH126)</f>
        <v>0</v>
      </c>
      <c r="AI151" s="22">
        <f ca="1">SUM($C126:AI126)</f>
        <v>0</v>
      </c>
      <c r="AJ151" s="22">
        <f ca="1">SUM($C126:AJ126)</f>
        <v>0</v>
      </c>
      <c r="AK151" s="22">
        <f ca="1">SUM($C126:AK126)</f>
        <v>0</v>
      </c>
      <c r="AL151" s="22">
        <f ca="1">SUM($C126:AL126)</f>
        <v>0</v>
      </c>
      <c r="AM151" s="22">
        <f ca="1">SUM($C126:AM126)</f>
        <v>0</v>
      </c>
    </row>
    <row r="152" spans="1:39" x14ac:dyDescent="0.2">
      <c r="A152" s="23"/>
      <c r="B152" s="21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</row>
    <row r="153" spans="1:39" x14ac:dyDescent="0.2">
      <c r="A153" s="4" t="s">
        <v>55</v>
      </c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</row>
    <row r="154" spans="1:39" x14ac:dyDescent="0.2">
      <c r="A154" s="18" t="str">
        <f>$A$56</f>
        <v>Sliema</v>
      </c>
      <c r="C154" s="8">
        <f ca="1">IFERROR(IF(VLOOKUP($A154,$148:$151,C$1+2,FALSE)=0,C62,0),C62)</f>
        <v>-45437.606462973985</v>
      </c>
      <c r="D154" s="8">
        <f ca="1">IFERROR(IF(VLOOKUP($A154,$148:$151,D$1+2,FALSE)=0,D62,0),D62)</f>
        <v>-40736.443360703342</v>
      </c>
      <c r="E154" s="8">
        <f ca="1">IFERROR(IF(VLOOKUP($A154,$148:$151,E$1+2,FALSE)=0,E62,0),E62)</f>
        <v>-35892.289884070618</v>
      </c>
      <c r="F154" s="8">
        <f ca="1">IFERROR(IF(VLOOKUP($A154,$148:$151,F$1+2,FALSE)=0,F62,0),F62)</f>
        <v>-30900.796844010245</v>
      </c>
      <c r="G154" s="8">
        <f ca="1">IFERROR(IF(VLOOKUP($A154,$148:$151,G$1+2,FALSE)=0,G62,0),G62)</f>
        <v>-25757.48276670936</v>
      </c>
      <c r="H154" s="8">
        <f ca="1">IFERROR(IF(VLOOKUP($A154,$148:$151,H$1+2,FALSE)=0,H62,0),H62)</f>
        <v>-20457.729870040646</v>
      </c>
      <c r="I154" s="8">
        <f ca="1">IFERROR(IF(VLOOKUP($A154,$148:$151,I$1+2,FALSE)=0,I62,0),I62)</f>
        <v>-14996.779917614593</v>
      </c>
      <c r="J154" s="8">
        <f t="shared" ref="J154:AM154" ca="1" si="498">IFERROR(IF(VLOOKUP($A154,$148:$151,J$1+2,FALSE)=0,J62,0),J62)</f>
        <v>-9369.7299467287376</v>
      </c>
      <c r="K154" s="8">
        <f t="shared" ca="1" si="498"/>
        <v>-3571.5278663783029</v>
      </c>
      <c r="L154" s="8">
        <f t="shared" ca="1" si="498"/>
        <v>0</v>
      </c>
      <c r="M154" s="8">
        <f t="shared" ca="1" si="498"/>
        <v>0</v>
      </c>
      <c r="N154" s="8">
        <f t="shared" ca="1" si="498"/>
        <v>0</v>
      </c>
      <c r="O154" s="8">
        <f t="shared" ca="1" si="498"/>
        <v>0</v>
      </c>
      <c r="P154" s="8">
        <f t="shared" ca="1" si="498"/>
        <v>0</v>
      </c>
      <c r="Q154" s="8">
        <f t="shared" ca="1" si="498"/>
        <v>0</v>
      </c>
      <c r="R154" s="8">
        <f t="shared" ca="1" si="498"/>
        <v>0</v>
      </c>
      <c r="S154" s="8">
        <f t="shared" ca="1" si="498"/>
        <v>0</v>
      </c>
      <c r="T154" s="8">
        <f t="shared" ca="1" si="498"/>
        <v>0</v>
      </c>
      <c r="U154" s="8">
        <f t="shared" ca="1" si="498"/>
        <v>0</v>
      </c>
      <c r="V154" s="8">
        <f t="shared" ca="1" si="498"/>
        <v>0</v>
      </c>
      <c r="W154" s="8">
        <f t="shared" ca="1" si="498"/>
        <v>0</v>
      </c>
      <c r="X154" s="8">
        <f t="shared" ca="1" si="498"/>
        <v>0</v>
      </c>
      <c r="Y154" s="8">
        <f t="shared" ca="1" si="498"/>
        <v>0</v>
      </c>
      <c r="Z154" s="8">
        <f t="shared" ca="1" si="498"/>
        <v>0</v>
      </c>
      <c r="AA154" s="8">
        <f t="shared" ca="1" si="498"/>
        <v>0</v>
      </c>
      <c r="AB154" s="8">
        <f t="shared" ca="1" si="498"/>
        <v>0</v>
      </c>
      <c r="AC154" s="8">
        <f t="shared" ca="1" si="498"/>
        <v>0</v>
      </c>
      <c r="AD154" s="8">
        <f t="shared" ca="1" si="498"/>
        <v>0</v>
      </c>
      <c r="AE154" s="8">
        <f t="shared" ca="1" si="498"/>
        <v>0</v>
      </c>
      <c r="AF154" s="8">
        <f t="shared" ca="1" si="498"/>
        <v>0</v>
      </c>
      <c r="AG154" s="8">
        <f t="shared" ca="1" si="498"/>
        <v>0</v>
      </c>
      <c r="AH154" s="8">
        <f t="shared" ca="1" si="498"/>
        <v>0</v>
      </c>
      <c r="AI154" s="8">
        <f t="shared" ca="1" si="498"/>
        <v>0</v>
      </c>
      <c r="AJ154" s="8">
        <f t="shared" ca="1" si="498"/>
        <v>0</v>
      </c>
      <c r="AK154" s="8">
        <f t="shared" ca="1" si="498"/>
        <v>0</v>
      </c>
      <c r="AL154" s="8">
        <f t="shared" ca="1" si="498"/>
        <v>0</v>
      </c>
      <c r="AM154" s="8">
        <f t="shared" ca="1" si="498"/>
        <v>0</v>
      </c>
    </row>
    <row r="155" spans="1:39" x14ac:dyDescent="0.2">
      <c r="A155" s="18" t="str">
        <f>$A$57</f>
        <v>Gzira</v>
      </c>
      <c r="C155" s="8">
        <f ca="1">IFERROR(IF(VLOOKUP($A155,$148:$151,C$1+2,FALSE)=0,C63,0),C63)</f>
        <v>-6249.4443415125261</v>
      </c>
      <c r="D155" s="8">
        <f ca="1">IFERROR(IF(VLOOKUP($A155,$148:$151,D$1+2,FALSE)=0,D63,0),D63)</f>
        <v>-3953.4626671330816</v>
      </c>
      <c r="E155" s="8">
        <f ca="1">IFERROR(IF(VLOOKUP($A155,$148:$151,E$1+2,FALSE)=0,E63,0),E63)</f>
        <v>-1611.1380819997976</v>
      </c>
      <c r="F155" s="8">
        <f ca="1">IFERROR(IF(VLOOKUP($A155,$148:$151,F$1+2,FALSE)=0,F63,0),F63)</f>
        <v>0</v>
      </c>
      <c r="G155" s="8">
        <f ca="1">IFERROR(IF(VLOOKUP($A155,$148:$151,G$1+2,FALSE)=0,G63,0),G63)</f>
        <v>0</v>
      </c>
      <c r="H155" s="8">
        <f ca="1">IFERROR(IF(VLOOKUP($A155,$148:$151,H$1+2,FALSE)=0,H63,0),H63)</f>
        <v>0</v>
      </c>
      <c r="I155" s="8">
        <f ca="1">IFERROR(IF(VLOOKUP($A155,$148:$151,I$1+2,FALSE)=0,I63,0),I63)</f>
        <v>0</v>
      </c>
      <c r="J155" s="8">
        <f t="shared" ref="J155:AM155" ca="1" si="499">IFERROR(IF(VLOOKUP($A155,$148:$151,J$1+2,FALSE)=0,J63,0),J63)</f>
        <v>0</v>
      </c>
      <c r="K155" s="8">
        <f t="shared" ca="1" si="499"/>
        <v>0</v>
      </c>
      <c r="L155" s="8">
        <f t="shared" ca="1" si="499"/>
        <v>0</v>
      </c>
      <c r="M155" s="8">
        <f t="shared" ca="1" si="499"/>
        <v>0</v>
      </c>
      <c r="N155" s="8">
        <f t="shared" ca="1" si="499"/>
        <v>0</v>
      </c>
      <c r="O155" s="8">
        <f t="shared" ca="1" si="499"/>
        <v>0</v>
      </c>
      <c r="P155" s="8">
        <f t="shared" ca="1" si="499"/>
        <v>0</v>
      </c>
      <c r="Q155" s="8">
        <f t="shared" ca="1" si="499"/>
        <v>0</v>
      </c>
      <c r="R155" s="8">
        <f t="shared" ca="1" si="499"/>
        <v>0</v>
      </c>
      <c r="S155" s="8">
        <f t="shared" ca="1" si="499"/>
        <v>0</v>
      </c>
      <c r="T155" s="8">
        <f t="shared" ca="1" si="499"/>
        <v>0</v>
      </c>
      <c r="U155" s="8">
        <f t="shared" ca="1" si="499"/>
        <v>0</v>
      </c>
      <c r="V155" s="8">
        <f t="shared" ca="1" si="499"/>
        <v>0</v>
      </c>
      <c r="W155" s="8">
        <f t="shared" ca="1" si="499"/>
        <v>0</v>
      </c>
      <c r="X155" s="8">
        <f t="shared" ca="1" si="499"/>
        <v>0</v>
      </c>
      <c r="Y155" s="8">
        <f t="shared" ca="1" si="499"/>
        <v>0</v>
      </c>
      <c r="Z155" s="8">
        <f t="shared" ca="1" si="499"/>
        <v>0</v>
      </c>
      <c r="AA155" s="8">
        <f t="shared" ca="1" si="499"/>
        <v>0</v>
      </c>
      <c r="AB155" s="8">
        <f t="shared" ca="1" si="499"/>
        <v>0</v>
      </c>
      <c r="AC155" s="8">
        <f t="shared" ca="1" si="499"/>
        <v>0</v>
      </c>
      <c r="AD155" s="8">
        <f t="shared" ca="1" si="499"/>
        <v>0</v>
      </c>
      <c r="AE155" s="8">
        <f t="shared" ca="1" si="499"/>
        <v>0</v>
      </c>
      <c r="AF155" s="8">
        <f t="shared" ca="1" si="499"/>
        <v>0</v>
      </c>
      <c r="AG155" s="8">
        <f t="shared" ca="1" si="499"/>
        <v>0</v>
      </c>
      <c r="AH155" s="8">
        <f t="shared" ca="1" si="499"/>
        <v>0</v>
      </c>
      <c r="AI155" s="8">
        <f t="shared" ca="1" si="499"/>
        <v>0</v>
      </c>
      <c r="AJ155" s="8">
        <f t="shared" ca="1" si="499"/>
        <v>0</v>
      </c>
      <c r="AK155" s="8">
        <f t="shared" ca="1" si="499"/>
        <v>0</v>
      </c>
      <c r="AL155" s="8">
        <f t="shared" ca="1" si="499"/>
        <v>0</v>
      </c>
      <c r="AM155" s="8">
        <f t="shared" ca="1" si="499"/>
        <v>0</v>
      </c>
    </row>
    <row r="156" spans="1:39" x14ac:dyDescent="0.2">
      <c r="A156" s="18" t="str">
        <f>$A$58</f>
        <v>Qormi</v>
      </c>
      <c r="C156" s="8">
        <f ca="1">IFERROR(IF(VLOOKUP($A156,$148:$151,C$1+2,FALSE)=0,C64,0),C64)</f>
        <v>-12697.714595321995</v>
      </c>
      <c r="D156" s="8">
        <f ca="1">IFERROR(IF(VLOOKUP($A156,$148:$151,D$1+2,FALSE)=0,D64,0),D64)</f>
        <v>-10277.63989987525</v>
      </c>
      <c r="E156" s="8">
        <f ca="1">IFERROR(IF(VLOOKUP($A156,$148:$151,E$1+2,FALSE)=0,E64,0),E64)</f>
        <v>-7733.7495899939004</v>
      </c>
      <c r="F156" s="8">
        <f ca="1">IFERROR(IF(VLOOKUP($A156,$148:$151,F$1+2,FALSE)=0,F64,0),F64)</f>
        <v>-5059.7090238560577</v>
      </c>
      <c r="G156" s="8">
        <f ca="1">IFERROR(IF(VLOOKUP($A156,$148:$151,G$1+2,FALSE)=0,G64,0),G64)</f>
        <v>-2248.8594673418665</v>
      </c>
      <c r="H156" s="8">
        <f ca="1">IFERROR(IF(VLOOKUP($A156,$148:$151,H$1+2,FALSE)=0,H64,0),H64)</f>
        <v>0</v>
      </c>
      <c r="I156" s="8">
        <f ca="1">IFERROR(IF(VLOOKUP($A156,$148:$151,I$1+2,FALSE)=0,I64,0),I64)</f>
        <v>0</v>
      </c>
      <c r="J156" s="8">
        <f t="shared" ref="J156:AM156" ca="1" si="500">IFERROR(IF(VLOOKUP($A156,$148:$151,J$1+2,FALSE)=0,J64,0),J64)</f>
        <v>0</v>
      </c>
      <c r="K156" s="8">
        <f t="shared" ca="1" si="500"/>
        <v>0</v>
      </c>
      <c r="L156" s="8">
        <f t="shared" ca="1" si="500"/>
        <v>0</v>
      </c>
      <c r="M156" s="8">
        <f t="shared" ca="1" si="500"/>
        <v>0</v>
      </c>
      <c r="N156" s="8">
        <f t="shared" ca="1" si="500"/>
        <v>0</v>
      </c>
      <c r="O156" s="8">
        <f t="shared" ca="1" si="500"/>
        <v>0</v>
      </c>
      <c r="P156" s="8">
        <f t="shared" ca="1" si="500"/>
        <v>0</v>
      </c>
      <c r="Q156" s="8">
        <f t="shared" ca="1" si="500"/>
        <v>0</v>
      </c>
      <c r="R156" s="8">
        <f t="shared" ca="1" si="500"/>
        <v>0</v>
      </c>
      <c r="S156" s="8">
        <f t="shared" ca="1" si="500"/>
        <v>0</v>
      </c>
      <c r="T156" s="8">
        <f t="shared" ca="1" si="500"/>
        <v>0</v>
      </c>
      <c r="U156" s="8">
        <f t="shared" ca="1" si="500"/>
        <v>0</v>
      </c>
      <c r="V156" s="8">
        <f t="shared" ca="1" si="500"/>
        <v>0</v>
      </c>
      <c r="W156" s="8">
        <f t="shared" ca="1" si="500"/>
        <v>0</v>
      </c>
      <c r="X156" s="8">
        <f t="shared" ca="1" si="500"/>
        <v>0</v>
      </c>
      <c r="Y156" s="8">
        <f t="shared" ca="1" si="500"/>
        <v>0</v>
      </c>
      <c r="Z156" s="8">
        <f t="shared" ca="1" si="500"/>
        <v>0</v>
      </c>
      <c r="AA156" s="8">
        <f t="shared" ca="1" si="500"/>
        <v>0</v>
      </c>
      <c r="AB156" s="8">
        <f t="shared" ca="1" si="500"/>
        <v>0</v>
      </c>
      <c r="AC156" s="8">
        <f t="shared" ca="1" si="500"/>
        <v>0</v>
      </c>
      <c r="AD156" s="8">
        <f t="shared" ca="1" si="500"/>
        <v>0</v>
      </c>
      <c r="AE156" s="8">
        <f t="shared" ca="1" si="500"/>
        <v>0</v>
      </c>
      <c r="AF156" s="8">
        <f t="shared" ca="1" si="500"/>
        <v>0</v>
      </c>
      <c r="AG156" s="8">
        <f t="shared" ca="1" si="500"/>
        <v>0</v>
      </c>
      <c r="AH156" s="8">
        <f t="shared" ca="1" si="500"/>
        <v>0</v>
      </c>
      <c r="AI156" s="8">
        <f t="shared" ca="1" si="500"/>
        <v>0</v>
      </c>
      <c r="AJ156" s="8">
        <f t="shared" ca="1" si="500"/>
        <v>0</v>
      </c>
      <c r="AK156" s="8">
        <f t="shared" ca="1" si="500"/>
        <v>0</v>
      </c>
      <c r="AL156" s="8">
        <f t="shared" ca="1" si="500"/>
        <v>0</v>
      </c>
      <c r="AM156" s="8">
        <f t="shared" ca="1" si="500"/>
        <v>0</v>
      </c>
    </row>
    <row r="157" spans="1:39" x14ac:dyDescent="0.2"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</row>
    <row r="158" spans="1:39" x14ac:dyDescent="0.2">
      <c r="A158" s="4" t="s">
        <v>68</v>
      </c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</row>
    <row r="159" spans="1:39" x14ac:dyDescent="0.2">
      <c r="A159" s="18" t="str">
        <f t="shared" ref="A159:A171" si="501">A53</f>
        <v>Cash</v>
      </c>
      <c r="C159" s="8">
        <f ca="1">C134</f>
        <v>75752.5</v>
      </c>
      <c r="D159" s="8">
        <f t="shared" ref="D159:G159" ca="1" si="502">D134</f>
        <v>104902.8125</v>
      </c>
      <c r="E159" s="8">
        <f t="shared" ca="1" si="502"/>
        <v>114244.71249999999</v>
      </c>
      <c r="F159" s="8">
        <f t="shared" ca="1" si="502"/>
        <v>155351.48395239323</v>
      </c>
      <c r="G159" s="8">
        <f t="shared" ca="1" si="502"/>
        <v>201221.49120440619</v>
      </c>
      <c r="H159" s="8">
        <f t="shared" ref="H159:AM159" ca="1" si="503">H134</f>
        <v>261189.83792477695</v>
      </c>
      <c r="I159" s="8">
        <f t="shared" ca="1" si="503"/>
        <v>328035.20366895478</v>
      </c>
      <c r="J159" s="8">
        <f t="shared" ref="J159:AM159" ca="1" si="504">J134</f>
        <v>380838.42954043212</v>
      </c>
      <c r="K159" s="8">
        <f t="shared" ca="1" si="504"/>
        <v>517397.35493851278</v>
      </c>
      <c r="L159" s="8">
        <f t="shared" ca="1" si="504"/>
        <v>565529.30292301986</v>
      </c>
      <c r="M159" s="8">
        <f t="shared" ca="1" si="504"/>
        <v>669467.06747940183</v>
      </c>
      <c r="N159" s="8">
        <f t="shared" ca="1" si="504"/>
        <v>778996.65788302326</v>
      </c>
      <c r="O159" s="8">
        <f t="shared" ca="1" si="504"/>
        <v>894355.15612641082</v>
      </c>
      <c r="P159" s="8">
        <f t="shared" ca="1" si="504"/>
        <v>1015788.6769646533</v>
      </c>
      <c r="Q159" s="8">
        <f t="shared" ca="1" si="504"/>
        <v>1143552.6915839072</v>
      </c>
      <c r="R159" s="8">
        <f t="shared" ca="1" si="504"/>
        <v>1277912.3624140497</v>
      </c>
      <c r="S159" s="8">
        <f t="shared" ca="1" si="504"/>
        <v>1313210.6589462783</v>
      </c>
      <c r="T159" s="8">
        <f t="shared" ca="1" si="504"/>
        <v>1357422.0823162566</v>
      </c>
      <c r="U159" s="8">
        <f t="shared" ca="1" si="504"/>
        <v>1403274.3464270437</v>
      </c>
      <c r="V159" s="8">
        <f t="shared" ca="1" si="504"/>
        <v>1450829.3919630982</v>
      </c>
      <c r="W159" s="8">
        <f t="shared" ca="1" si="504"/>
        <v>1500151.4570412496</v>
      </c>
      <c r="X159" s="8">
        <f t="shared" ca="1" si="504"/>
        <v>1530900.2406538306</v>
      </c>
      <c r="Y159" s="8">
        <f t="shared" ca="1" si="504"/>
        <v>1562531.4010244682</v>
      </c>
      <c r="Z159" s="8">
        <f t="shared" ca="1" si="504"/>
        <v>1595078.31496845</v>
      </c>
      <c r="AA159" s="8">
        <f t="shared" ca="1" si="504"/>
        <v>1628575.7309353678</v>
      </c>
      <c r="AB159" s="8">
        <f t="shared" ca="1" si="504"/>
        <v>1663059.824358695</v>
      </c>
      <c r="AC159" s="8">
        <f t="shared" ca="1" si="504"/>
        <v>1698568.2551444201</v>
      </c>
      <c r="AD159" s="8">
        <f t="shared" ca="1" si="504"/>
        <v>1745000.9649706078</v>
      </c>
      <c r="AE159" s="8">
        <f t="shared" ca="1" si="504"/>
        <v>1793031.0633963605</v>
      </c>
      <c r="AF159" s="8">
        <f t="shared" ca="1" si="504"/>
        <v>1842719.5201560468</v>
      </c>
      <c r="AG159" s="8">
        <f t="shared" ca="1" si="504"/>
        <v>1894129.6587253201</v>
      </c>
      <c r="AH159" s="8">
        <f t="shared" ca="1" si="504"/>
        <v>1947327.2450107713</v>
      </c>
      <c r="AI159" s="8">
        <f t="shared" ca="1" si="504"/>
        <v>2002380.5792762381</v>
      </c>
      <c r="AJ159" s="8">
        <f t="shared" ca="1" si="504"/>
        <v>2059360.5914203662</v>
      </c>
      <c r="AK159" s="8">
        <f t="shared" ca="1" si="504"/>
        <v>2118340.9397239783</v>
      </c>
      <c r="AL159" s="8">
        <f t="shared" ca="1" si="504"/>
        <v>2179398.1131898882</v>
      </c>
      <c r="AM159" s="8">
        <f t="shared" ca="1" si="504"/>
        <v>2242611.5376020237</v>
      </c>
    </row>
    <row r="160" spans="1:39" x14ac:dyDescent="0.2">
      <c r="A160" s="18" t="str">
        <f t="shared" si="501"/>
        <v>Home</v>
      </c>
      <c r="C160" s="8">
        <f t="shared" ref="C160:AM160" si="505">C54</f>
        <v>618000</v>
      </c>
      <c r="D160" s="8">
        <f t="shared" si="505"/>
        <v>636540</v>
      </c>
      <c r="E160" s="8">
        <f t="shared" si="505"/>
        <v>655636.20000000007</v>
      </c>
      <c r="F160" s="8">
        <f t="shared" si="505"/>
        <v>675305.28600000008</v>
      </c>
      <c r="G160" s="8">
        <f t="shared" si="505"/>
        <v>695564.44458000013</v>
      </c>
      <c r="H160" s="8">
        <f t="shared" si="505"/>
        <v>716431.3779174001</v>
      </c>
      <c r="I160" s="8">
        <f t="shared" si="505"/>
        <v>737924.3192549221</v>
      </c>
      <c r="J160" s="8">
        <f t="shared" ref="J160:AM160" si="506">J54</f>
        <v>760062.04883256974</v>
      </c>
      <c r="K160" s="8">
        <f t="shared" si="506"/>
        <v>782863.91029754688</v>
      </c>
      <c r="L160" s="8">
        <f t="shared" si="506"/>
        <v>806349.82760647335</v>
      </c>
      <c r="M160" s="8">
        <f t="shared" si="506"/>
        <v>830540.32243466761</v>
      </c>
      <c r="N160" s="8">
        <f t="shared" si="506"/>
        <v>855456.5321077077</v>
      </c>
      <c r="O160" s="8">
        <f t="shared" si="506"/>
        <v>881120.22807093896</v>
      </c>
      <c r="P160" s="8">
        <f t="shared" si="506"/>
        <v>907553.83491306717</v>
      </c>
      <c r="Q160" s="8">
        <f t="shared" si="506"/>
        <v>934780.44996045926</v>
      </c>
      <c r="R160" s="8">
        <f t="shared" si="506"/>
        <v>962823.86345927301</v>
      </c>
      <c r="S160" s="8">
        <f t="shared" si="506"/>
        <v>991708.57936305122</v>
      </c>
      <c r="T160" s="8">
        <f t="shared" si="506"/>
        <v>1021459.8367439428</v>
      </c>
      <c r="U160" s="8">
        <f t="shared" si="506"/>
        <v>1052103.6318462612</v>
      </c>
      <c r="V160" s="8">
        <f t="shared" si="506"/>
        <v>1083666.7408016492</v>
      </c>
      <c r="W160" s="8">
        <f t="shared" si="506"/>
        <v>1116176.7430256987</v>
      </c>
      <c r="X160" s="8">
        <f t="shared" si="506"/>
        <v>1149662.0453164696</v>
      </c>
      <c r="Y160" s="8">
        <f t="shared" si="506"/>
        <v>1184151.9066759637</v>
      </c>
      <c r="Z160" s="8">
        <f t="shared" si="506"/>
        <v>1219676.4638762425</v>
      </c>
      <c r="AA160" s="8">
        <f t="shared" si="506"/>
        <v>1256266.7577925299</v>
      </c>
      <c r="AB160" s="8">
        <f t="shared" si="506"/>
        <v>1293954.7605263058</v>
      </c>
      <c r="AC160" s="8">
        <f t="shared" si="506"/>
        <v>1332773.403342095</v>
      </c>
      <c r="AD160" s="8">
        <f t="shared" si="506"/>
        <v>1372756.6054423579</v>
      </c>
      <c r="AE160" s="8">
        <f t="shared" si="506"/>
        <v>1413939.3036056287</v>
      </c>
      <c r="AF160" s="8">
        <f t="shared" si="506"/>
        <v>1456357.4827137976</v>
      </c>
      <c r="AG160" s="8">
        <f t="shared" si="506"/>
        <v>1500048.2071952117</v>
      </c>
      <c r="AH160" s="8">
        <f t="shared" si="506"/>
        <v>1545049.653411068</v>
      </c>
      <c r="AI160" s="8">
        <f t="shared" si="506"/>
        <v>1591401.1430134</v>
      </c>
      <c r="AJ160" s="8">
        <f t="shared" si="506"/>
        <v>1639143.177303802</v>
      </c>
      <c r="AK160" s="8">
        <f t="shared" si="506"/>
        <v>1688317.4726229161</v>
      </c>
      <c r="AL160" s="8">
        <f t="shared" si="506"/>
        <v>1738966.9968016036</v>
      </c>
      <c r="AM160" s="8">
        <f t="shared" si="506"/>
        <v>1791136.0067056518</v>
      </c>
    </row>
    <row r="161" spans="1:39" x14ac:dyDescent="0.2">
      <c r="A161" s="18" t="str">
        <f t="shared" si="501"/>
        <v>Other property</v>
      </c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</row>
    <row r="162" spans="1:39" x14ac:dyDescent="0.2">
      <c r="A162" s="19" t="str">
        <f t="shared" si="501"/>
        <v>Sliema</v>
      </c>
      <c r="C162" s="8">
        <f t="shared" ref="C162:G162" ca="1" si="507">C144</f>
        <v>309000</v>
      </c>
      <c r="D162" s="8">
        <f t="shared" ca="1" si="507"/>
        <v>318270</v>
      </c>
      <c r="E162" s="8">
        <f t="shared" ca="1" si="507"/>
        <v>327818.10000000003</v>
      </c>
      <c r="F162" s="8">
        <f t="shared" ca="1" si="507"/>
        <v>337652.64300000004</v>
      </c>
      <c r="G162" s="8">
        <f t="shared" ca="1" si="507"/>
        <v>347782.22229000006</v>
      </c>
      <c r="H162" s="8">
        <f t="shared" ref="H162:AM162" ca="1" si="508">H144</f>
        <v>358215.68895870005</v>
      </c>
      <c r="I162" s="8">
        <f t="shared" ca="1" si="508"/>
        <v>368962.15962746105</v>
      </c>
      <c r="J162" s="8">
        <f t="shared" ref="J162:AM162" ca="1" si="509">J144</f>
        <v>380031.02441628487</v>
      </c>
      <c r="K162" s="8">
        <f t="shared" ca="1" si="509"/>
        <v>391431.95514877344</v>
      </c>
      <c r="L162" s="8">
        <f t="shared" ca="1" si="509"/>
        <v>403174.91380323668</v>
      </c>
      <c r="M162" s="8">
        <f t="shared" ca="1" si="509"/>
        <v>415270.16121733381</v>
      </c>
      <c r="N162" s="8">
        <f t="shared" ca="1" si="509"/>
        <v>427728.26605385385</v>
      </c>
      <c r="O162" s="8">
        <f t="shared" ca="1" si="509"/>
        <v>440560.11403546948</v>
      </c>
      <c r="P162" s="8">
        <f t="shared" ca="1" si="509"/>
        <v>453776.91745653359</v>
      </c>
      <c r="Q162" s="8">
        <f t="shared" ca="1" si="509"/>
        <v>467390.22498022963</v>
      </c>
      <c r="R162" s="8">
        <f t="shared" ca="1" si="509"/>
        <v>481411.9317296365</v>
      </c>
      <c r="S162" s="8">
        <f t="shared" ca="1" si="509"/>
        <v>495854.28968152561</v>
      </c>
      <c r="T162" s="8">
        <f t="shared" ca="1" si="509"/>
        <v>510729.91837197141</v>
      </c>
      <c r="U162" s="8">
        <f t="shared" ca="1" si="509"/>
        <v>526051.81592313061</v>
      </c>
      <c r="V162" s="8">
        <f t="shared" ca="1" si="509"/>
        <v>541833.37040082458</v>
      </c>
      <c r="W162" s="8">
        <f t="shared" ca="1" si="509"/>
        <v>558088.37151284935</v>
      </c>
      <c r="X162" s="8">
        <f t="shared" ca="1" si="509"/>
        <v>574831.02265823481</v>
      </c>
      <c r="Y162" s="8">
        <f t="shared" ca="1" si="509"/>
        <v>592075.95333798183</v>
      </c>
      <c r="Z162" s="8">
        <f t="shared" ca="1" si="509"/>
        <v>609838.23193812126</v>
      </c>
      <c r="AA162" s="8">
        <f t="shared" ca="1" si="509"/>
        <v>628133.37889626494</v>
      </c>
      <c r="AB162" s="8">
        <f t="shared" ca="1" si="509"/>
        <v>646977.38026315288</v>
      </c>
      <c r="AC162" s="8">
        <f t="shared" ca="1" si="509"/>
        <v>666386.70167104749</v>
      </c>
      <c r="AD162" s="8">
        <f t="shared" ca="1" si="509"/>
        <v>686378.30272117897</v>
      </c>
      <c r="AE162" s="8">
        <f t="shared" ca="1" si="509"/>
        <v>706969.65180281433</v>
      </c>
      <c r="AF162" s="8">
        <f t="shared" ca="1" si="509"/>
        <v>728178.7413568988</v>
      </c>
      <c r="AG162" s="8">
        <f t="shared" ca="1" si="509"/>
        <v>750024.10359760583</v>
      </c>
      <c r="AH162" s="8">
        <f t="shared" ca="1" si="509"/>
        <v>772524.82670553401</v>
      </c>
      <c r="AI162" s="8">
        <f t="shared" ca="1" si="509"/>
        <v>795700.57150670001</v>
      </c>
      <c r="AJ162" s="8">
        <f t="shared" ca="1" si="509"/>
        <v>819571.58865190099</v>
      </c>
      <c r="AK162" s="8">
        <f t="shared" ca="1" si="509"/>
        <v>844158.73631145805</v>
      </c>
      <c r="AL162" s="8">
        <f t="shared" ca="1" si="509"/>
        <v>869483.49840080179</v>
      </c>
      <c r="AM162" s="8">
        <f t="shared" ca="1" si="509"/>
        <v>895568.00335282588</v>
      </c>
    </row>
    <row r="163" spans="1:39" x14ac:dyDescent="0.2">
      <c r="A163" s="19" t="str">
        <f t="shared" si="501"/>
        <v>Gzira</v>
      </c>
      <c r="C163" s="8">
        <f t="shared" ref="C163:G163" ca="1" si="510">C145</f>
        <v>154500</v>
      </c>
      <c r="D163" s="8">
        <f t="shared" ca="1" si="510"/>
        <v>159135</v>
      </c>
      <c r="E163" s="8">
        <f t="shared" ca="1" si="510"/>
        <v>163909.05000000002</v>
      </c>
      <c r="F163" s="8">
        <f t="shared" ca="1" si="510"/>
        <v>168826.32150000002</v>
      </c>
      <c r="G163" s="8">
        <f t="shared" ca="1" si="510"/>
        <v>173891.11114500003</v>
      </c>
      <c r="H163" s="8">
        <f t="shared" ref="H163:AM163" ca="1" si="511">H145</f>
        <v>179107.84447935002</v>
      </c>
      <c r="I163" s="8">
        <f t="shared" ca="1" si="511"/>
        <v>184481.07981373052</v>
      </c>
      <c r="J163" s="8">
        <f t="shared" ref="J163:AM163" ca="1" si="512">J145</f>
        <v>190015.51220814243</v>
      </c>
      <c r="K163" s="8">
        <f t="shared" ca="1" si="512"/>
        <v>195715.97757438672</v>
      </c>
      <c r="L163" s="8">
        <f t="shared" ca="1" si="512"/>
        <v>201587.45690161834</v>
      </c>
      <c r="M163" s="8">
        <f t="shared" ca="1" si="512"/>
        <v>207635.0806086669</v>
      </c>
      <c r="N163" s="8">
        <f t="shared" ca="1" si="512"/>
        <v>213864.13302692692</v>
      </c>
      <c r="O163" s="8">
        <f t="shared" ca="1" si="512"/>
        <v>220280.05701773474</v>
      </c>
      <c r="P163" s="8">
        <f t="shared" ca="1" si="512"/>
        <v>226888.45872826679</v>
      </c>
      <c r="Q163" s="8">
        <f t="shared" ca="1" si="512"/>
        <v>233695.11249011481</v>
      </c>
      <c r="R163" s="8">
        <f t="shared" ca="1" si="512"/>
        <v>240705.96586481825</v>
      </c>
      <c r="S163" s="8">
        <f t="shared" ca="1" si="512"/>
        <v>247927.1448407628</v>
      </c>
      <c r="T163" s="8">
        <f t="shared" ca="1" si="512"/>
        <v>255364.9591859857</v>
      </c>
      <c r="U163" s="8">
        <f t="shared" ca="1" si="512"/>
        <v>263025.9079615653</v>
      </c>
      <c r="V163" s="8">
        <f t="shared" ca="1" si="512"/>
        <v>270916.68520041229</v>
      </c>
      <c r="W163" s="8">
        <f t="shared" ca="1" si="512"/>
        <v>279044.18575642467</v>
      </c>
      <c r="X163" s="8">
        <f t="shared" ca="1" si="512"/>
        <v>287415.51132911741</v>
      </c>
      <c r="Y163" s="8">
        <f t="shared" ca="1" si="512"/>
        <v>296037.97666899092</v>
      </c>
      <c r="Z163" s="8">
        <f t="shared" ca="1" si="512"/>
        <v>304919.11596906063</v>
      </c>
      <c r="AA163" s="8">
        <f t="shared" ca="1" si="512"/>
        <v>314066.68944813247</v>
      </c>
      <c r="AB163" s="8">
        <f t="shared" ca="1" si="512"/>
        <v>323488.69013157644</v>
      </c>
      <c r="AC163" s="8">
        <f t="shared" ca="1" si="512"/>
        <v>333193.35083552374</v>
      </c>
      <c r="AD163" s="8">
        <f t="shared" ca="1" si="512"/>
        <v>343189.15136058949</v>
      </c>
      <c r="AE163" s="8">
        <f t="shared" ca="1" si="512"/>
        <v>353484.82590140717</v>
      </c>
      <c r="AF163" s="8">
        <f t="shared" ca="1" si="512"/>
        <v>364089.3706784494</v>
      </c>
      <c r="AG163" s="8">
        <f t="shared" ca="1" si="512"/>
        <v>375012.05179880292</v>
      </c>
      <c r="AH163" s="8">
        <f t="shared" ca="1" si="512"/>
        <v>386262.41335276701</v>
      </c>
      <c r="AI163" s="8">
        <f t="shared" ca="1" si="512"/>
        <v>397850.28575335001</v>
      </c>
      <c r="AJ163" s="8">
        <f t="shared" ca="1" si="512"/>
        <v>409785.7943259505</v>
      </c>
      <c r="AK163" s="8">
        <f t="shared" ca="1" si="512"/>
        <v>422079.36815572903</v>
      </c>
      <c r="AL163" s="8">
        <f t="shared" ca="1" si="512"/>
        <v>434741.7492004009</v>
      </c>
      <c r="AM163" s="8">
        <f t="shared" ca="1" si="512"/>
        <v>447784.00167641294</v>
      </c>
    </row>
    <row r="164" spans="1:39" x14ac:dyDescent="0.2">
      <c r="A164" s="19" t="str">
        <f t="shared" si="501"/>
        <v>Qormi</v>
      </c>
      <c r="C164" s="8">
        <f t="shared" ref="C164:G164" ca="1" si="513">C146</f>
        <v>226600</v>
      </c>
      <c r="D164" s="8">
        <f t="shared" ca="1" si="513"/>
        <v>233398</v>
      </c>
      <c r="E164" s="8">
        <f t="shared" ca="1" si="513"/>
        <v>240399.94</v>
      </c>
      <c r="F164" s="8">
        <f t="shared" ca="1" si="513"/>
        <v>247611.9382</v>
      </c>
      <c r="G164" s="8">
        <f t="shared" ca="1" si="513"/>
        <v>255040.29634600002</v>
      </c>
      <c r="H164" s="8">
        <f t="shared" ref="H164:AM164" ca="1" si="514">H146</f>
        <v>262691.50523638004</v>
      </c>
      <c r="I164" s="8">
        <f t="shared" ca="1" si="514"/>
        <v>270572.25039347145</v>
      </c>
      <c r="J164" s="8">
        <f t="shared" ref="J164:AM164" ca="1" si="515">J146</f>
        <v>278689.41790527559</v>
      </c>
      <c r="K164" s="8">
        <f t="shared" ca="1" si="515"/>
        <v>287050.10044243385</v>
      </c>
      <c r="L164" s="8">
        <f t="shared" ca="1" si="515"/>
        <v>295661.60345570685</v>
      </c>
      <c r="M164" s="8">
        <f t="shared" ca="1" si="515"/>
        <v>304531.45155937807</v>
      </c>
      <c r="N164" s="8">
        <f t="shared" ca="1" si="515"/>
        <v>313667.39510615944</v>
      </c>
      <c r="O164" s="8">
        <f t="shared" ca="1" si="515"/>
        <v>323077.41695934423</v>
      </c>
      <c r="P164" s="8">
        <f t="shared" ca="1" si="515"/>
        <v>332769.73946812458</v>
      </c>
      <c r="Q164" s="8">
        <f t="shared" ca="1" si="515"/>
        <v>342752.8316521683</v>
      </c>
      <c r="R164" s="8">
        <f t="shared" ca="1" si="515"/>
        <v>353035.41660173336</v>
      </c>
      <c r="S164" s="8">
        <f t="shared" ca="1" si="515"/>
        <v>363626.47909978539</v>
      </c>
      <c r="T164" s="8">
        <f t="shared" ca="1" si="515"/>
        <v>374535.27347277896</v>
      </c>
      <c r="U164" s="8">
        <f t="shared" ca="1" si="515"/>
        <v>385771.33167696232</v>
      </c>
      <c r="V164" s="8">
        <f t="shared" ca="1" si="515"/>
        <v>397344.47162727121</v>
      </c>
      <c r="W164" s="8">
        <f t="shared" ca="1" si="515"/>
        <v>409264.80577608937</v>
      </c>
      <c r="X164" s="8">
        <f t="shared" ca="1" si="515"/>
        <v>421542.74994937208</v>
      </c>
      <c r="Y164" s="8">
        <f t="shared" ca="1" si="515"/>
        <v>434189.03244785324</v>
      </c>
      <c r="Z164" s="8">
        <f t="shared" ca="1" si="515"/>
        <v>447214.70342128887</v>
      </c>
      <c r="AA164" s="8">
        <f t="shared" ca="1" si="515"/>
        <v>460631.14452392753</v>
      </c>
      <c r="AB164" s="8">
        <f t="shared" ca="1" si="515"/>
        <v>474450.07885964535</v>
      </c>
      <c r="AC164" s="8">
        <f t="shared" ca="1" si="515"/>
        <v>488683.58122543473</v>
      </c>
      <c r="AD164" s="8">
        <f t="shared" ca="1" si="515"/>
        <v>503344.08866219776</v>
      </c>
      <c r="AE164" s="8">
        <f t="shared" ca="1" si="515"/>
        <v>518444.41132206371</v>
      </c>
      <c r="AF164" s="8">
        <f t="shared" ca="1" si="515"/>
        <v>533997.74366172566</v>
      </c>
      <c r="AG164" s="8">
        <f t="shared" ca="1" si="515"/>
        <v>550017.67597157741</v>
      </c>
      <c r="AH164" s="8">
        <f t="shared" ca="1" si="515"/>
        <v>566518.20625072473</v>
      </c>
      <c r="AI164" s="8">
        <f t="shared" ca="1" si="515"/>
        <v>583513.75243824651</v>
      </c>
      <c r="AJ164" s="8">
        <f t="shared" ca="1" si="515"/>
        <v>601019.16501139395</v>
      </c>
      <c r="AK164" s="8">
        <f t="shared" ca="1" si="515"/>
        <v>619049.73996173579</v>
      </c>
      <c r="AL164" s="8">
        <f t="shared" ca="1" si="515"/>
        <v>637621.23216058791</v>
      </c>
      <c r="AM164" s="8">
        <f t="shared" ca="1" si="515"/>
        <v>656749.86912540556</v>
      </c>
    </row>
    <row r="165" spans="1:39" x14ac:dyDescent="0.2">
      <c r="A165" s="18" t="str">
        <f t="shared" si="501"/>
        <v>Stock market equity investments</v>
      </c>
      <c r="C165" s="8">
        <f t="shared" ref="C165:AM165" ca="1" si="516">C77</f>
        <v>32400.000000000004</v>
      </c>
      <c r="D165" s="8">
        <f t="shared" ca="1" si="516"/>
        <v>34992.000000000007</v>
      </c>
      <c r="E165" s="8">
        <f t="shared" ca="1" si="516"/>
        <v>37791.360000000008</v>
      </c>
      <c r="F165" s="8">
        <f t="shared" ca="1" si="516"/>
        <v>40814.668800000007</v>
      </c>
      <c r="G165" s="8">
        <f t="shared" ca="1" si="516"/>
        <v>44079.842304000005</v>
      </c>
      <c r="H165" s="8">
        <f t="shared" ca="1" si="516"/>
        <v>47606.229688320003</v>
      </c>
      <c r="I165" s="8">
        <f t="shared" ca="1" si="516"/>
        <v>51414.728063385606</v>
      </c>
      <c r="J165" s="8">
        <f t="shared" ref="J165:AM165" ca="1" si="517">J77</f>
        <v>55527.906308456455</v>
      </c>
      <c r="K165" s="8">
        <f t="shared" ca="1" si="517"/>
        <v>59970.138813132973</v>
      </c>
      <c r="L165" s="8">
        <f t="shared" ca="1" si="517"/>
        <v>64767.74991818361</v>
      </c>
      <c r="M165" s="8">
        <f t="shared" ca="1" si="517"/>
        <v>69949.169911638295</v>
      </c>
      <c r="N165" s="8">
        <f t="shared" ca="1" si="517"/>
        <v>75545.103504569357</v>
      </c>
      <c r="O165" s="8">
        <f t="shared" ca="1" si="517"/>
        <v>81588.711784934902</v>
      </c>
      <c r="P165" s="8">
        <f t="shared" ca="1" si="517"/>
        <v>88115.808727729687</v>
      </c>
      <c r="Q165" s="8">
        <f t="shared" ca="1" si="517"/>
        <v>95165.073425948067</v>
      </c>
      <c r="R165" s="8">
        <f t="shared" ca="1" si="517"/>
        <v>102778.27930002392</v>
      </c>
      <c r="S165" s="8">
        <f t="shared" ca="1" si="517"/>
        <v>111000.54164402583</v>
      </c>
      <c r="T165" s="8">
        <f t="shared" ca="1" si="517"/>
        <v>119880.5849755479</v>
      </c>
      <c r="U165" s="8">
        <f t="shared" ca="1" si="517"/>
        <v>129471.03177359173</v>
      </c>
      <c r="V165" s="8">
        <f t="shared" ca="1" si="517"/>
        <v>139828.71431547907</v>
      </c>
      <c r="W165" s="8">
        <f t="shared" ca="1" si="517"/>
        <v>151015.01146071739</v>
      </c>
      <c r="X165" s="8">
        <f t="shared" ca="1" si="517"/>
        <v>163096.21237757479</v>
      </c>
      <c r="Y165" s="8">
        <f t="shared" ca="1" si="517"/>
        <v>176143.90936778078</v>
      </c>
      <c r="Z165" s="8">
        <f t="shared" ca="1" si="517"/>
        <v>190235.42211720324</v>
      </c>
      <c r="AA165" s="8">
        <f t="shared" ca="1" si="517"/>
        <v>205454.25588657951</v>
      </c>
      <c r="AB165" s="8">
        <f t="shared" ca="1" si="517"/>
        <v>221890.59635750588</v>
      </c>
      <c r="AC165" s="8">
        <f t="shared" ca="1" si="517"/>
        <v>239641.84406610637</v>
      </c>
      <c r="AD165" s="8">
        <f t="shared" ca="1" si="517"/>
        <v>258813.19159139489</v>
      </c>
      <c r="AE165" s="8">
        <f t="shared" ca="1" si="517"/>
        <v>279518.24691870646</v>
      </c>
      <c r="AF165" s="8">
        <f t="shared" ca="1" si="517"/>
        <v>301879.70667220297</v>
      </c>
      <c r="AG165" s="8">
        <f t="shared" ca="1" si="517"/>
        <v>326030.0832059792</v>
      </c>
      <c r="AH165" s="8">
        <f t="shared" ca="1" si="517"/>
        <v>352112.48986245756</v>
      </c>
      <c r="AI165" s="8">
        <f t="shared" ca="1" si="517"/>
        <v>380281.48905145418</v>
      </c>
      <c r="AJ165" s="8">
        <f t="shared" ca="1" si="517"/>
        <v>410704.00817557052</v>
      </c>
      <c r="AK165" s="8">
        <f t="shared" ca="1" si="517"/>
        <v>443560.32882961619</v>
      </c>
      <c r="AL165" s="8">
        <f t="shared" ca="1" si="517"/>
        <v>479045.15513598546</v>
      </c>
      <c r="AM165" s="8">
        <f t="shared" ca="1" si="517"/>
        <v>517368.76754686428</v>
      </c>
    </row>
    <row r="166" spans="1:39" x14ac:dyDescent="0.2">
      <c r="A166" s="18" t="str">
        <f t="shared" si="501"/>
        <v>Home loan</v>
      </c>
      <c r="C166" s="8">
        <f t="shared" ref="C166:AM166" si="518">C60</f>
        <v>-41787.691633353177</v>
      </c>
      <c r="D166" s="8">
        <f t="shared" si="518"/>
        <v>-33325.598049266016</v>
      </c>
      <c r="E166" s="8">
        <f t="shared" si="518"/>
        <v>-24606.12179132711</v>
      </c>
      <c r="F166" s="8">
        <f t="shared" si="518"/>
        <v>-15621.434319218446</v>
      </c>
      <c r="G166" s="8">
        <f t="shared" si="518"/>
        <v>-6363.4689800768465</v>
      </c>
      <c r="H166" s="8">
        <f t="shared" si="518"/>
        <v>0</v>
      </c>
      <c r="I166" s="8">
        <f t="shared" si="518"/>
        <v>0</v>
      </c>
      <c r="J166" s="8">
        <f t="shared" ref="J166:AM166" si="519">J60</f>
        <v>0</v>
      </c>
      <c r="K166" s="8">
        <f t="shared" si="519"/>
        <v>0</v>
      </c>
      <c r="L166" s="8">
        <f t="shared" si="519"/>
        <v>0</v>
      </c>
      <c r="M166" s="8">
        <f t="shared" si="519"/>
        <v>0</v>
      </c>
      <c r="N166" s="8">
        <f t="shared" si="519"/>
        <v>0</v>
      </c>
      <c r="O166" s="8">
        <f t="shared" si="519"/>
        <v>0</v>
      </c>
      <c r="P166" s="8">
        <f t="shared" si="519"/>
        <v>0</v>
      </c>
      <c r="Q166" s="8">
        <f t="shared" si="519"/>
        <v>0</v>
      </c>
      <c r="R166" s="8">
        <f t="shared" si="519"/>
        <v>0</v>
      </c>
      <c r="S166" s="8">
        <f t="shared" si="519"/>
        <v>0</v>
      </c>
      <c r="T166" s="8">
        <f t="shared" si="519"/>
        <v>0</v>
      </c>
      <c r="U166" s="8">
        <f t="shared" si="519"/>
        <v>0</v>
      </c>
      <c r="V166" s="8">
        <f t="shared" si="519"/>
        <v>0</v>
      </c>
      <c r="W166" s="8">
        <f t="shared" si="519"/>
        <v>0</v>
      </c>
      <c r="X166" s="8">
        <f t="shared" si="519"/>
        <v>0</v>
      </c>
      <c r="Y166" s="8">
        <f t="shared" si="519"/>
        <v>0</v>
      </c>
      <c r="Z166" s="8">
        <f t="shared" si="519"/>
        <v>0</v>
      </c>
      <c r="AA166" s="8">
        <f t="shared" si="519"/>
        <v>0</v>
      </c>
      <c r="AB166" s="8">
        <f t="shared" si="519"/>
        <v>0</v>
      </c>
      <c r="AC166" s="8">
        <f t="shared" si="519"/>
        <v>0</v>
      </c>
      <c r="AD166" s="8">
        <f t="shared" si="519"/>
        <v>0</v>
      </c>
      <c r="AE166" s="8">
        <f t="shared" si="519"/>
        <v>0</v>
      </c>
      <c r="AF166" s="8">
        <f t="shared" si="519"/>
        <v>0</v>
      </c>
      <c r="AG166" s="8">
        <f t="shared" si="519"/>
        <v>0</v>
      </c>
      <c r="AH166" s="8">
        <f t="shared" si="519"/>
        <v>0</v>
      </c>
      <c r="AI166" s="8">
        <f t="shared" si="519"/>
        <v>0</v>
      </c>
      <c r="AJ166" s="8">
        <f t="shared" si="519"/>
        <v>0</v>
      </c>
      <c r="AK166" s="8">
        <f t="shared" si="519"/>
        <v>0</v>
      </c>
      <c r="AL166" s="8">
        <f t="shared" si="519"/>
        <v>0</v>
      </c>
      <c r="AM166" s="8">
        <f t="shared" si="519"/>
        <v>0</v>
      </c>
    </row>
    <row r="167" spans="1:39" x14ac:dyDescent="0.2">
      <c r="A167" s="18" t="str">
        <f t="shared" si="501"/>
        <v>Other property loans</v>
      </c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</row>
    <row r="168" spans="1:39" x14ac:dyDescent="0.2">
      <c r="A168" s="19" t="str">
        <f t="shared" si="501"/>
        <v>Sliema</v>
      </c>
      <c r="C168" s="8">
        <f ca="1">C154</f>
        <v>-45437.606462973985</v>
      </c>
      <c r="D168" s="8">
        <f t="shared" ref="D168:G168" ca="1" si="520">D154</f>
        <v>-40736.443360703342</v>
      </c>
      <c r="E168" s="8">
        <f t="shared" ca="1" si="520"/>
        <v>-35892.289884070618</v>
      </c>
      <c r="F168" s="8">
        <f t="shared" ca="1" si="520"/>
        <v>-30900.796844010245</v>
      </c>
      <c r="G168" s="8">
        <f t="shared" ca="1" si="520"/>
        <v>-25757.48276670936</v>
      </c>
      <c r="H168" s="8">
        <f t="shared" ref="H168:AM168" ca="1" si="521">H154</f>
        <v>-20457.729870040646</v>
      </c>
      <c r="I168" s="8">
        <f t="shared" ca="1" si="521"/>
        <v>-14996.779917614593</v>
      </c>
      <c r="J168" s="8">
        <f t="shared" ref="J168:AM168" ca="1" si="522">J154</f>
        <v>-9369.7299467287376</v>
      </c>
      <c r="K168" s="8">
        <f t="shared" ca="1" si="522"/>
        <v>-3571.5278663783029</v>
      </c>
      <c r="L168" s="8">
        <f t="shared" ca="1" si="522"/>
        <v>0</v>
      </c>
      <c r="M168" s="8">
        <f t="shared" ca="1" si="522"/>
        <v>0</v>
      </c>
      <c r="N168" s="8">
        <f t="shared" ca="1" si="522"/>
        <v>0</v>
      </c>
      <c r="O168" s="8">
        <f t="shared" ca="1" si="522"/>
        <v>0</v>
      </c>
      <c r="P168" s="8">
        <f t="shared" ca="1" si="522"/>
        <v>0</v>
      </c>
      <c r="Q168" s="8">
        <f t="shared" ca="1" si="522"/>
        <v>0</v>
      </c>
      <c r="R168" s="8">
        <f t="shared" ca="1" si="522"/>
        <v>0</v>
      </c>
      <c r="S168" s="8">
        <f t="shared" ca="1" si="522"/>
        <v>0</v>
      </c>
      <c r="T168" s="8">
        <f t="shared" ca="1" si="522"/>
        <v>0</v>
      </c>
      <c r="U168" s="8">
        <f t="shared" ca="1" si="522"/>
        <v>0</v>
      </c>
      <c r="V168" s="8">
        <f t="shared" ca="1" si="522"/>
        <v>0</v>
      </c>
      <c r="W168" s="8">
        <f t="shared" ca="1" si="522"/>
        <v>0</v>
      </c>
      <c r="X168" s="8">
        <f t="shared" ca="1" si="522"/>
        <v>0</v>
      </c>
      <c r="Y168" s="8">
        <f t="shared" ca="1" si="522"/>
        <v>0</v>
      </c>
      <c r="Z168" s="8">
        <f t="shared" ca="1" si="522"/>
        <v>0</v>
      </c>
      <c r="AA168" s="8">
        <f t="shared" ca="1" si="522"/>
        <v>0</v>
      </c>
      <c r="AB168" s="8">
        <f t="shared" ca="1" si="522"/>
        <v>0</v>
      </c>
      <c r="AC168" s="8">
        <f t="shared" ca="1" si="522"/>
        <v>0</v>
      </c>
      <c r="AD168" s="8">
        <f t="shared" ca="1" si="522"/>
        <v>0</v>
      </c>
      <c r="AE168" s="8">
        <f t="shared" ca="1" si="522"/>
        <v>0</v>
      </c>
      <c r="AF168" s="8">
        <f t="shared" ca="1" si="522"/>
        <v>0</v>
      </c>
      <c r="AG168" s="8">
        <f t="shared" ca="1" si="522"/>
        <v>0</v>
      </c>
      <c r="AH168" s="8">
        <f t="shared" ca="1" si="522"/>
        <v>0</v>
      </c>
      <c r="AI168" s="8">
        <f t="shared" ca="1" si="522"/>
        <v>0</v>
      </c>
      <c r="AJ168" s="8">
        <f t="shared" ca="1" si="522"/>
        <v>0</v>
      </c>
      <c r="AK168" s="8">
        <f t="shared" ca="1" si="522"/>
        <v>0</v>
      </c>
      <c r="AL168" s="8">
        <f t="shared" ca="1" si="522"/>
        <v>0</v>
      </c>
      <c r="AM168" s="8">
        <f t="shared" ca="1" si="522"/>
        <v>0</v>
      </c>
    </row>
    <row r="169" spans="1:39" x14ac:dyDescent="0.2">
      <c r="A169" s="19" t="str">
        <f t="shared" si="501"/>
        <v>Gzira</v>
      </c>
      <c r="C169" s="8">
        <f ca="1">C155</f>
        <v>-6249.4443415125261</v>
      </c>
      <c r="D169" s="8">
        <f t="shared" ref="D169:G169" ca="1" si="523">D155</f>
        <v>-3953.4626671330816</v>
      </c>
      <c r="E169" s="8">
        <f t="shared" ca="1" si="523"/>
        <v>-1611.1380819997976</v>
      </c>
      <c r="F169" s="8">
        <f t="shared" ca="1" si="523"/>
        <v>0</v>
      </c>
      <c r="G169" s="8">
        <f t="shared" ca="1" si="523"/>
        <v>0</v>
      </c>
      <c r="H169" s="8">
        <f t="shared" ref="H169:AM169" ca="1" si="524">H155</f>
        <v>0</v>
      </c>
      <c r="I169" s="8">
        <f t="shared" ca="1" si="524"/>
        <v>0</v>
      </c>
      <c r="J169" s="8">
        <f t="shared" ref="J169:AM169" ca="1" si="525">J155</f>
        <v>0</v>
      </c>
      <c r="K169" s="8">
        <f t="shared" ca="1" si="525"/>
        <v>0</v>
      </c>
      <c r="L169" s="8">
        <f t="shared" ca="1" si="525"/>
        <v>0</v>
      </c>
      <c r="M169" s="8">
        <f t="shared" ca="1" si="525"/>
        <v>0</v>
      </c>
      <c r="N169" s="8">
        <f t="shared" ca="1" si="525"/>
        <v>0</v>
      </c>
      <c r="O169" s="8">
        <f t="shared" ca="1" si="525"/>
        <v>0</v>
      </c>
      <c r="P169" s="8">
        <f t="shared" ca="1" si="525"/>
        <v>0</v>
      </c>
      <c r="Q169" s="8">
        <f t="shared" ca="1" si="525"/>
        <v>0</v>
      </c>
      <c r="R169" s="8">
        <f t="shared" ca="1" si="525"/>
        <v>0</v>
      </c>
      <c r="S169" s="8">
        <f t="shared" ca="1" si="525"/>
        <v>0</v>
      </c>
      <c r="T169" s="8">
        <f t="shared" ca="1" si="525"/>
        <v>0</v>
      </c>
      <c r="U169" s="8">
        <f t="shared" ca="1" si="525"/>
        <v>0</v>
      </c>
      <c r="V169" s="8">
        <f t="shared" ca="1" si="525"/>
        <v>0</v>
      </c>
      <c r="W169" s="8">
        <f t="shared" ca="1" si="525"/>
        <v>0</v>
      </c>
      <c r="X169" s="8">
        <f t="shared" ca="1" si="525"/>
        <v>0</v>
      </c>
      <c r="Y169" s="8">
        <f t="shared" ca="1" si="525"/>
        <v>0</v>
      </c>
      <c r="Z169" s="8">
        <f t="shared" ca="1" si="525"/>
        <v>0</v>
      </c>
      <c r="AA169" s="8">
        <f t="shared" ca="1" si="525"/>
        <v>0</v>
      </c>
      <c r="AB169" s="8">
        <f t="shared" ca="1" si="525"/>
        <v>0</v>
      </c>
      <c r="AC169" s="8">
        <f t="shared" ca="1" si="525"/>
        <v>0</v>
      </c>
      <c r="AD169" s="8">
        <f t="shared" ca="1" si="525"/>
        <v>0</v>
      </c>
      <c r="AE169" s="8">
        <f t="shared" ca="1" si="525"/>
        <v>0</v>
      </c>
      <c r="AF169" s="8">
        <f t="shared" ca="1" si="525"/>
        <v>0</v>
      </c>
      <c r="AG169" s="8">
        <f t="shared" ca="1" si="525"/>
        <v>0</v>
      </c>
      <c r="AH169" s="8">
        <f t="shared" ca="1" si="525"/>
        <v>0</v>
      </c>
      <c r="AI169" s="8">
        <f t="shared" ca="1" si="525"/>
        <v>0</v>
      </c>
      <c r="AJ169" s="8">
        <f t="shared" ca="1" si="525"/>
        <v>0</v>
      </c>
      <c r="AK169" s="8">
        <f t="shared" ca="1" si="525"/>
        <v>0</v>
      </c>
      <c r="AL169" s="8">
        <f t="shared" ca="1" si="525"/>
        <v>0</v>
      </c>
      <c r="AM169" s="8">
        <f t="shared" ca="1" si="525"/>
        <v>0</v>
      </c>
    </row>
    <row r="170" spans="1:39" x14ac:dyDescent="0.2">
      <c r="A170" s="19" t="str">
        <f t="shared" si="501"/>
        <v>Qormi</v>
      </c>
      <c r="C170" s="8">
        <f ca="1">C156</f>
        <v>-12697.714595321995</v>
      </c>
      <c r="D170" s="8">
        <f t="shared" ref="D170:G170" ca="1" si="526">D156</f>
        <v>-10277.63989987525</v>
      </c>
      <c r="E170" s="8">
        <f t="shared" ca="1" si="526"/>
        <v>-7733.7495899939004</v>
      </c>
      <c r="F170" s="8">
        <f t="shared" ca="1" si="526"/>
        <v>-5059.7090238560577</v>
      </c>
      <c r="G170" s="8">
        <f t="shared" ca="1" si="526"/>
        <v>-2248.8594673418665</v>
      </c>
      <c r="H170" s="8">
        <f t="shared" ref="H170:AM170" ca="1" si="527">H156</f>
        <v>0</v>
      </c>
      <c r="I170" s="8">
        <f t="shared" ca="1" si="527"/>
        <v>0</v>
      </c>
      <c r="J170" s="8">
        <f t="shared" ref="J170:AM170" ca="1" si="528">J156</f>
        <v>0</v>
      </c>
      <c r="K170" s="8">
        <f t="shared" ca="1" si="528"/>
        <v>0</v>
      </c>
      <c r="L170" s="8">
        <f t="shared" ca="1" si="528"/>
        <v>0</v>
      </c>
      <c r="M170" s="8">
        <f t="shared" ca="1" si="528"/>
        <v>0</v>
      </c>
      <c r="N170" s="8">
        <f t="shared" ca="1" si="528"/>
        <v>0</v>
      </c>
      <c r="O170" s="8">
        <f t="shared" ca="1" si="528"/>
        <v>0</v>
      </c>
      <c r="P170" s="8">
        <f t="shared" ca="1" si="528"/>
        <v>0</v>
      </c>
      <c r="Q170" s="8">
        <f t="shared" ca="1" si="528"/>
        <v>0</v>
      </c>
      <c r="R170" s="8">
        <f t="shared" ca="1" si="528"/>
        <v>0</v>
      </c>
      <c r="S170" s="8">
        <f t="shared" ca="1" si="528"/>
        <v>0</v>
      </c>
      <c r="T170" s="8">
        <f t="shared" ca="1" si="528"/>
        <v>0</v>
      </c>
      <c r="U170" s="8">
        <f t="shared" ca="1" si="528"/>
        <v>0</v>
      </c>
      <c r="V170" s="8">
        <f t="shared" ca="1" si="528"/>
        <v>0</v>
      </c>
      <c r="W170" s="8">
        <f t="shared" ca="1" si="528"/>
        <v>0</v>
      </c>
      <c r="X170" s="8">
        <f t="shared" ca="1" si="528"/>
        <v>0</v>
      </c>
      <c r="Y170" s="8">
        <f t="shared" ca="1" si="528"/>
        <v>0</v>
      </c>
      <c r="Z170" s="8">
        <f t="shared" ca="1" si="528"/>
        <v>0</v>
      </c>
      <c r="AA170" s="8">
        <f t="shared" ca="1" si="528"/>
        <v>0</v>
      </c>
      <c r="AB170" s="8">
        <f t="shared" ca="1" si="528"/>
        <v>0</v>
      </c>
      <c r="AC170" s="8">
        <f t="shared" ca="1" si="528"/>
        <v>0</v>
      </c>
      <c r="AD170" s="8">
        <f t="shared" ca="1" si="528"/>
        <v>0</v>
      </c>
      <c r="AE170" s="8">
        <f t="shared" ca="1" si="528"/>
        <v>0</v>
      </c>
      <c r="AF170" s="8">
        <f t="shared" ca="1" si="528"/>
        <v>0</v>
      </c>
      <c r="AG170" s="8">
        <f t="shared" ca="1" si="528"/>
        <v>0</v>
      </c>
      <c r="AH170" s="8">
        <f t="shared" ca="1" si="528"/>
        <v>0</v>
      </c>
      <c r="AI170" s="8">
        <f t="shared" ca="1" si="528"/>
        <v>0</v>
      </c>
      <c r="AJ170" s="8">
        <f t="shared" ca="1" si="528"/>
        <v>0</v>
      </c>
      <c r="AK170" s="8">
        <f t="shared" ca="1" si="528"/>
        <v>0</v>
      </c>
      <c r="AL170" s="8">
        <f t="shared" ca="1" si="528"/>
        <v>0</v>
      </c>
      <c r="AM170" s="8">
        <f t="shared" ca="1" si="528"/>
        <v>0</v>
      </c>
    </row>
    <row r="171" spans="1:39" x14ac:dyDescent="0.2">
      <c r="A171" s="18" t="str">
        <f t="shared" si="501"/>
        <v>Other loan</v>
      </c>
      <c r="C171" s="8">
        <f t="shared" ref="C171:AM171" si="529">C65</f>
        <v>-3629.9331288130147</v>
      </c>
      <c r="D171" s="8">
        <f t="shared" si="529"/>
        <v>-3237.0413427676731</v>
      </c>
      <c r="E171" s="8">
        <f t="shared" si="529"/>
        <v>-2819.9168510595237</v>
      </c>
      <c r="F171" s="8">
        <f t="shared" si="529"/>
        <v>-2377.0650334277229</v>
      </c>
      <c r="G171" s="8">
        <f t="shared" si="529"/>
        <v>-1906.8990847041773</v>
      </c>
      <c r="H171" s="8">
        <f t="shared" si="529"/>
        <v>-1407.7343290501685</v>
      </c>
      <c r="I171" s="8">
        <f t="shared" si="529"/>
        <v>-877.78218350754105</v>
      </c>
      <c r="J171" s="8">
        <f t="shared" ref="J171:AM171" si="530">J65</f>
        <v>-315.14374923495234</v>
      </c>
      <c r="K171" s="8">
        <f t="shared" si="530"/>
        <v>0</v>
      </c>
      <c r="L171" s="8">
        <f t="shared" si="530"/>
        <v>0</v>
      </c>
      <c r="M171" s="8">
        <f t="shared" si="530"/>
        <v>0</v>
      </c>
      <c r="N171" s="8">
        <f t="shared" si="530"/>
        <v>0</v>
      </c>
      <c r="O171" s="8">
        <f t="shared" si="530"/>
        <v>0</v>
      </c>
      <c r="P171" s="8">
        <f t="shared" si="530"/>
        <v>0</v>
      </c>
      <c r="Q171" s="8">
        <f t="shared" si="530"/>
        <v>0</v>
      </c>
      <c r="R171" s="8">
        <f t="shared" si="530"/>
        <v>0</v>
      </c>
      <c r="S171" s="8">
        <f t="shared" si="530"/>
        <v>0</v>
      </c>
      <c r="T171" s="8">
        <f t="shared" si="530"/>
        <v>0</v>
      </c>
      <c r="U171" s="8">
        <f t="shared" si="530"/>
        <v>0</v>
      </c>
      <c r="V171" s="8">
        <f t="shared" si="530"/>
        <v>0</v>
      </c>
      <c r="W171" s="8">
        <f t="shared" si="530"/>
        <v>0</v>
      </c>
      <c r="X171" s="8">
        <f t="shared" si="530"/>
        <v>0</v>
      </c>
      <c r="Y171" s="8">
        <f t="shared" si="530"/>
        <v>0</v>
      </c>
      <c r="Z171" s="8">
        <f t="shared" si="530"/>
        <v>0</v>
      </c>
      <c r="AA171" s="8">
        <f t="shared" si="530"/>
        <v>0</v>
      </c>
      <c r="AB171" s="8">
        <f t="shared" si="530"/>
        <v>0</v>
      </c>
      <c r="AC171" s="8">
        <f t="shared" si="530"/>
        <v>0</v>
      </c>
      <c r="AD171" s="8">
        <f t="shared" si="530"/>
        <v>0</v>
      </c>
      <c r="AE171" s="8">
        <f t="shared" si="530"/>
        <v>0</v>
      </c>
      <c r="AF171" s="8">
        <f t="shared" si="530"/>
        <v>0</v>
      </c>
      <c r="AG171" s="8">
        <f t="shared" si="530"/>
        <v>0</v>
      </c>
      <c r="AH171" s="8">
        <f t="shared" si="530"/>
        <v>0</v>
      </c>
      <c r="AI171" s="8">
        <f t="shared" si="530"/>
        <v>0</v>
      </c>
      <c r="AJ171" s="8">
        <f t="shared" si="530"/>
        <v>0</v>
      </c>
      <c r="AK171" s="8">
        <f t="shared" si="530"/>
        <v>0</v>
      </c>
      <c r="AL171" s="8">
        <f t="shared" si="530"/>
        <v>0</v>
      </c>
      <c r="AM171" s="8">
        <f t="shared" si="530"/>
        <v>0</v>
      </c>
    </row>
    <row r="172" spans="1:39" x14ac:dyDescent="0.2">
      <c r="A172" s="5"/>
      <c r="C172" s="10">
        <f ca="1">SUM(C158:C171)</f>
        <v>1306450.1098380252</v>
      </c>
      <c r="D172" s="10">
        <f t="shared" ref="D172:G172" ca="1" si="531">SUM(D158:D171)</f>
        <v>1395707.6271802546</v>
      </c>
      <c r="E172" s="10">
        <f t="shared" ca="1" si="531"/>
        <v>1467136.1463015494</v>
      </c>
      <c r="F172" s="10">
        <f t="shared" ca="1" si="531"/>
        <v>1571603.3362318811</v>
      </c>
      <c r="G172" s="10">
        <f t="shared" ca="1" si="531"/>
        <v>1681302.697570574</v>
      </c>
      <c r="H172" s="10">
        <f t="shared" ref="H172:AM172" ca="1" si="532">SUM(H158:H171)</f>
        <v>1803377.0200058362</v>
      </c>
      <c r="I172" s="10">
        <f t="shared" ca="1" si="532"/>
        <v>1925515.1787208037</v>
      </c>
      <c r="J172" s="10">
        <f t="shared" ref="J172:AM172" ca="1" si="533">SUM(J158:J171)</f>
        <v>2035479.4655151977</v>
      </c>
      <c r="K172" s="10">
        <f t="shared" ca="1" si="533"/>
        <v>2230857.9093484082</v>
      </c>
      <c r="L172" s="10">
        <f t="shared" ca="1" si="533"/>
        <v>2337070.8546082387</v>
      </c>
      <c r="M172" s="10">
        <f t="shared" ca="1" si="533"/>
        <v>2497393.2532110862</v>
      </c>
      <c r="N172" s="10">
        <f t="shared" ca="1" si="533"/>
        <v>2665258.0876822406</v>
      </c>
      <c r="O172" s="10">
        <f t="shared" ca="1" si="533"/>
        <v>2840981.6839948334</v>
      </c>
      <c r="P172" s="10">
        <f t="shared" ca="1" si="533"/>
        <v>3024893.4362583752</v>
      </c>
      <c r="Q172" s="10">
        <f t="shared" ca="1" si="533"/>
        <v>3217336.3840928273</v>
      </c>
      <c r="R172" s="10">
        <f t="shared" ca="1" si="533"/>
        <v>3418667.8193695345</v>
      </c>
      <c r="S172" s="10">
        <f t="shared" ca="1" si="533"/>
        <v>3523327.6935754288</v>
      </c>
      <c r="T172" s="10">
        <f t="shared" ca="1" si="533"/>
        <v>3639392.6550664837</v>
      </c>
      <c r="U172" s="10">
        <f t="shared" ca="1" si="533"/>
        <v>3759698.0656085555</v>
      </c>
      <c r="V172" s="10">
        <f t="shared" ca="1" si="533"/>
        <v>3884419.3743087347</v>
      </c>
      <c r="W172" s="10">
        <f t="shared" ca="1" si="533"/>
        <v>4013740.5745730293</v>
      </c>
      <c r="X172" s="10">
        <f t="shared" ca="1" si="533"/>
        <v>4127447.7822845993</v>
      </c>
      <c r="Y172" s="10">
        <f t="shared" ca="1" si="533"/>
        <v>4245130.1795230387</v>
      </c>
      <c r="Z172" s="10">
        <f t="shared" ca="1" si="533"/>
        <v>4366962.2522903671</v>
      </c>
      <c r="AA172" s="10">
        <f t="shared" ca="1" si="533"/>
        <v>4493127.9574828027</v>
      </c>
      <c r="AB172" s="10">
        <f t="shared" ca="1" si="533"/>
        <v>4623821.3304968812</v>
      </c>
      <c r="AC172" s="10">
        <f t="shared" ca="1" si="533"/>
        <v>4759247.136284628</v>
      </c>
      <c r="AD172" s="10">
        <f t="shared" ca="1" si="533"/>
        <v>4909482.3047483265</v>
      </c>
      <c r="AE172" s="10">
        <f t="shared" ca="1" si="533"/>
        <v>5065387.5029469803</v>
      </c>
      <c r="AF172" s="10">
        <f t="shared" ca="1" si="533"/>
        <v>5227222.5652391212</v>
      </c>
      <c r="AG172" s="10">
        <f t="shared" ca="1" si="533"/>
        <v>5395261.7804944962</v>
      </c>
      <c r="AH172" s="10">
        <f t="shared" ca="1" si="533"/>
        <v>5569794.8345933221</v>
      </c>
      <c r="AI172" s="10">
        <f t="shared" ca="1" si="533"/>
        <v>5751127.821039388</v>
      </c>
      <c r="AJ172" s="10">
        <f t="shared" ca="1" si="533"/>
        <v>5939584.3248889837</v>
      </c>
      <c r="AK172" s="10">
        <f t="shared" ca="1" si="533"/>
        <v>6135506.5856054332</v>
      </c>
      <c r="AL172" s="10">
        <f t="shared" ca="1" si="533"/>
        <v>6339256.7448892677</v>
      </c>
      <c r="AM172" s="10">
        <f t="shared" ca="1" si="533"/>
        <v>6551218.1860091835</v>
      </c>
    </row>
    <row r="173" spans="1:39" x14ac:dyDescent="0.2"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</row>
    <row r="174" spans="1:39" ht="19" x14ac:dyDescent="0.25">
      <c r="A174" s="30" t="s">
        <v>88</v>
      </c>
      <c r="B174" s="31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</row>
    <row r="175" spans="1:39" x14ac:dyDescent="0.2"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</row>
    <row r="176" spans="1:39" x14ac:dyDescent="0.2">
      <c r="A176" s="17" t="s">
        <v>72</v>
      </c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</row>
    <row r="177" spans="1:39" x14ac:dyDescent="0.2">
      <c r="A177" s="4" t="s">
        <v>9</v>
      </c>
      <c r="C177" s="8">
        <f t="shared" ref="C177:AM177" ca="1" si="534">C53</f>
        <v>75752.5</v>
      </c>
      <c r="D177" s="8">
        <f t="shared" ca="1" si="534"/>
        <v>104902.8125</v>
      </c>
      <c r="E177" s="8">
        <f t="shared" ca="1" si="534"/>
        <v>114244.71249999999</v>
      </c>
      <c r="F177" s="8">
        <f t="shared" ca="1" si="534"/>
        <v>155351.48395239323</v>
      </c>
      <c r="G177" s="8">
        <f t="shared" ca="1" si="534"/>
        <v>201221.49120440619</v>
      </c>
      <c r="H177" s="8">
        <f t="shared" ca="1" si="534"/>
        <v>261189.83792477695</v>
      </c>
      <c r="I177" s="8">
        <f t="shared" ca="1" si="534"/>
        <v>328035.20366895478</v>
      </c>
      <c r="J177" s="8">
        <f t="shared" ref="J177:AM177" ca="1" si="535">J53</f>
        <v>380838.42954043212</v>
      </c>
      <c r="K177" s="8">
        <f t="shared" ca="1" si="535"/>
        <v>517397.35493851278</v>
      </c>
      <c r="L177" s="8">
        <f t="shared" ca="1" si="535"/>
        <v>565529.30292301986</v>
      </c>
      <c r="M177" s="8">
        <f t="shared" ca="1" si="535"/>
        <v>669467.06747940183</v>
      </c>
      <c r="N177" s="8">
        <f t="shared" ca="1" si="535"/>
        <v>778996.65788302326</v>
      </c>
      <c r="O177" s="8">
        <f t="shared" ca="1" si="535"/>
        <v>894355.15612641082</v>
      </c>
      <c r="P177" s="8">
        <f t="shared" ca="1" si="535"/>
        <v>1015788.6769646533</v>
      </c>
      <c r="Q177" s="8">
        <f t="shared" ca="1" si="535"/>
        <v>1143552.6915839072</v>
      </c>
      <c r="R177" s="8">
        <f t="shared" ca="1" si="535"/>
        <v>1277912.3624140497</v>
      </c>
      <c r="S177" s="8">
        <f t="shared" ca="1" si="535"/>
        <v>1313210.6589462783</v>
      </c>
      <c r="T177" s="8">
        <f t="shared" ca="1" si="535"/>
        <v>1357422.0823162566</v>
      </c>
      <c r="U177" s="8">
        <f t="shared" ca="1" si="535"/>
        <v>1403274.3464270437</v>
      </c>
      <c r="V177" s="8">
        <f t="shared" ca="1" si="535"/>
        <v>1450829.3919630982</v>
      </c>
      <c r="W177" s="8">
        <f t="shared" ca="1" si="535"/>
        <v>1500151.4570412496</v>
      </c>
      <c r="X177" s="8">
        <f t="shared" ca="1" si="535"/>
        <v>1530900.2406538306</v>
      </c>
      <c r="Y177" s="8">
        <f t="shared" ca="1" si="535"/>
        <v>1562531.4010244682</v>
      </c>
      <c r="Z177" s="8">
        <f t="shared" ca="1" si="535"/>
        <v>1595078.31496845</v>
      </c>
      <c r="AA177" s="8">
        <f t="shared" ca="1" si="535"/>
        <v>1628575.7309353678</v>
      </c>
      <c r="AB177" s="8">
        <f t="shared" ca="1" si="535"/>
        <v>1663059.824358695</v>
      </c>
      <c r="AC177" s="8">
        <f t="shared" ca="1" si="535"/>
        <v>1698568.2551444201</v>
      </c>
      <c r="AD177" s="8">
        <f t="shared" ca="1" si="535"/>
        <v>1745000.9649706078</v>
      </c>
      <c r="AE177" s="8">
        <f t="shared" ca="1" si="535"/>
        <v>1793031.0633963605</v>
      </c>
      <c r="AF177" s="8">
        <f t="shared" ca="1" si="535"/>
        <v>1842719.5201560468</v>
      </c>
      <c r="AG177" s="8">
        <f t="shared" ca="1" si="535"/>
        <v>1894129.6587253201</v>
      </c>
      <c r="AH177" s="8">
        <f t="shared" ca="1" si="535"/>
        <v>1947327.2450107713</v>
      </c>
      <c r="AI177" s="8">
        <f t="shared" ca="1" si="535"/>
        <v>2002380.5792762381</v>
      </c>
      <c r="AJ177" s="8">
        <f t="shared" ca="1" si="535"/>
        <v>2059360.5914203662</v>
      </c>
      <c r="AK177" s="8">
        <f t="shared" ca="1" si="535"/>
        <v>2118340.9397239783</v>
      </c>
      <c r="AL177" s="8">
        <f t="shared" ca="1" si="535"/>
        <v>2179398.1131898882</v>
      </c>
      <c r="AM177" s="8">
        <f t="shared" ca="1" si="535"/>
        <v>2242611.5376020237</v>
      </c>
    </row>
    <row r="178" spans="1:39" x14ac:dyDescent="0.2">
      <c r="A178" s="4" t="s">
        <v>29</v>
      </c>
      <c r="C178" s="8">
        <f t="shared" ref="C178:AM178" ca="1" si="536">C66</f>
        <v>1306450.1098380252</v>
      </c>
      <c r="D178" s="8">
        <f t="shared" ca="1" si="536"/>
        <v>1395707.6271802546</v>
      </c>
      <c r="E178" s="8">
        <f t="shared" ca="1" si="536"/>
        <v>1467136.1463015494</v>
      </c>
      <c r="F178" s="8">
        <f t="shared" ca="1" si="536"/>
        <v>1571603.3362318811</v>
      </c>
      <c r="G178" s="8">
        <f t="shared" ca="1" si="536"/>
        <v>1681302.697570574</v>
      </c>
      <c r="H178" s="8">
        <f t="shared" ca="1" si="536"/>
        <v>1803377.0200058362</v>
      </c>
      <c r="I178" s="8">
        <f t="shared" ca="1" si="536"/>
        <v>1925515.1787208037</v>
      </c>
      <c r="J178" s="8">
        <f t="shared" ref="J178:AM178" ca="1" si="537">J66</f>
        <v>2035479.4655151977</v>
      </c>
      <c r="K178" s="8">
        <f t="shared" ca="1" si="537"/>
        <v>2230857.9093484082</v>
      </c>
      <c r="L178" s="8">
        <f t="shared" ca="1" si="537"/>
        <v>2337070.8546082387</v>
      </c>
      <c r="M178" s="8">
        <f t="shared" ca="1" si="537"/>
        <v>2497393.2532110862</v>
      </c>
      <c r="N178" s="8">
        <f t="shared" ca="1" si="537"/>
        <v>2665258.0876822406</v>
      </c>
      <c r="O178" s="8">
        <f t="shared" ca="1" si="537"/>
        <v>2840981.6839948334</v>
      </c>
      <c r="P178" s="8">
        <f t="shared" ca="1" si="537"/>
        <v>3024893.4362583752</v>
      </c>
      <c r="Q178" s="8">
        <f t="shared" ca="1" si="537"/>
        <v>3217336.3840928273</v>
      </c>
      <c r="R178" s="8">
        <f t="shared" ca="1" si="537"/>
        <v>3418667.819369535</v>
      </c>
      <c r="S178" s="8">
        <f t="shared" ca="1" si="537"/>
        <v>3523327.6935754293</v>
      </c>
      <c r="T178" s="8">
        <f t="shared" ca="1" si="537"/>
        <v>3639392.6550664837</v>
      </c>
      <c r="U178" s="8">
        <f t="shared" ca="1" si="537"/>
        <v>3759698.0656085555</v>
      </c>
      <c r="V178" s="8">
        <f t="shared" ca="1" si="537"/>
        <v>3884419.3743087347</v>
      </c>
      <c r="W178" s="8">
        <f t="shared" ca="1" si="537"/>
        <v>4013740.5745730298</v>
      </c>
      <c r="X178" s="8">
        <f t="shared" ca="1" si="537"/>
        <v>4127447.7822845997</v>
      </c>
      <c r="Y178" s="8">
        <f t="shared" ca="1" si="537"/>
        <v>4245130.1795230387</v>
      </c>
      <c r="Z178" s="8">
        <f t="shared" ca="1" si="537"/>
        <v>4366962.2522903671</v>
      </c>
      <c r="AA178" s="8">
        <f t="shared" ca="1" si="537"/>
        <v>4493127.9574828027</v>
      </c>
      <c r="AB178" s="8">
        <f t="shared" ca="1" si="537"/>
        <v>4623821.3304968821</v>
      </c>
      <c r="AC178" s="8">
        <f t="shared" ca="1" si="537"/>
        <v>4759247.136284628</v>
      </c>
      <c r="AD178" s="8">
        <f t="shared" ca="1" si="537"/>
        <v>4909482.3047483265</v>
      </c>
      <c r="AE178" s="8">
        <f t="shared" ca="1" si="537"/>
        <v>5065387.5029469812</v>
      </c>
      <c r="AF178" s="8">
        <f t="shared" ca="1" si="537"/>
        <v>5227222.5652391221</v>
      </c>
      <c r="AG178" s="8">
        <f t="shared" ca="1" si="537"/>
        <v>5395261.7804944972</v>
      </c>
      <c r="AH178" s="8">
        <f t="shared" ca="1" si="537"/>
        <v>5569794.8345933221</v>
      </c>
      <c r="AI178" s="8">
        <f t="shared" ca="1" si="537"/>
        <v>5751127.8210393889</v>
      </c>
      <c r="AJ178" s="8">
        <f t="shared" ca="1" si="537"/>
        <v>5939584.3248889847</v>
      </c>
      <c r="AK178" s="8">
        <f t="shared" ca="1" si="537"/>
        <v>6135506.5856054341</v>
      </c>
      <c r="AL178" s="8">
        <f t="shared" ca="1" si="537"/>
        <v>6339256.7448892687</v>
      </c>
      <c r="AM178" s="8">
        <f t="shared" ca="1" si="537"/>
        <v>6551218.1860091845</v>
      </c>
    </row>
    <row r="179" spans="1:39" x14ac:dyDescent="0.2">
      <c r="A179" s="4" t="s">
        <v>81</v>
      </c>
      <c r="C179" s="12" t="str">
        <f ca="1">IF(COUNTIF(177:177,"&lt;0")&gt;0,"NO","YES!")</f>
        <v>YES!</v>
      </c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</row>
    <row r="180" spans="1:39" x14ac:dyDescent="0.2">
      <c r="A180" s="4" t="s">
        <v>35</v>
      </c>
      <c r="C180" s="12" t="str" cm="1">
        <f t="array" aca="1" ref="C180" ca="1">IFERROR(INDEX($3:$3, MATCH(TRUE, INDEX(177:177&lt;0,0), 0)), "")</f>
        <v/>
      </c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</row>
    <row r="181" spans="1:39" x14ac:dyDescent="0.2">
      <c r="A181" s="4"/>
      <c r="C181" s="12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</row>
    <row r="182" spans="1:39" x14ac:dyDescent="0.2">
      <c r="A182" s="17" t="s">
        <v>73</v>
      </c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</row>
    <row r="183" spans="1:39" x14ac:dyDescent="0.2">
      <c r="A183" s="4" t="s">
        <v>9</v>
      </c>
      <c r="C183" s="8">
        <f t="shared" ref="C183" ca="1" si="538">C159</f>
        <v>75752.5</v>
      </c>
      <c r="D183" s="8">
        <f t="shared" ref="D183:G183" ca="1" si="539">D159</f>
        <v>104902.8125</v>
      </c>
      <c r="E183" s="8">
        <f t="shared" ca="1" si="539"/>
        <v>114244.71249999999</v>
      </c>
      <c r="F183" s="8">
        <f t="shared" ca="1" si="539"/>
        <v>155351.48395239323</v>
      </c>
      <c r="G183" s="8">
        <f t="shared" ca="1" si="539"/>
        <v>201221.49120440619</v>
      </c>
      <c r="H183" s="8">
        <f t="shared" ref="H183:AM183" ca="1" si="540">H159</f>
        <v>261189.83792477695</v>
      </c>
      <c r="I183" s="8">
        <f t="shared" ca="1" si="540"/>
        <v>328035.20366895478</v>
      </c>
      <c r="J183" s="8">
        <f t="shared" ref="J183:AM183" ca="1" si="541">J159</f>
        <v>380838.42954043212</v>
      </c>
      <c r="K183" s="8">
        <f t="shared" ca="1" si="541"/>
        <v>517397.35493851278</v>
      </c>
      <c r="L183" s="8">
        <f t="shared" ca="1" si="541"/>
        <v>565529.30292301986</v>
      </c>
      <c r="M183" s="8">
        <f t="shared" ca="1" si="541"/>
        <v>669467.06747940183</v>
      </c>
      <c r="N183" s="8">
        <f t="shared" ca="1" si="541"/>
        <v>778996.65788302326</v>
      </c>
      <c r="O183" s="8">
        <f t="shared" ca="1" si="541"/>
        <v>894355.15612641082</v>
      </c>
      <c r="P183" s="8">
        <f t="shared" ca="1" si="541"/>
        <v>1015788.6769646533</v>
      </c>
      <c r="Q183" s="8">
        <f t="shared" ca="1" si="541"/>
        <v>1143552.6915839072</v>
      </c>
      <c r="R183" s="8">
        <f t="shared" ca="1" si="541"/>
        <v>1277912.3624140497</v>
      </c>
      <c r="S183" s="8">
        <f t="shared" ca="1" si="541"/>
        <v>1313210.6589462783</v>
      </c>
      <c r="T183" s="8">
        <f t="shared" ca="1" si="541"/>
        <v>1357422.0823162566</v>
      </c>
      <c r="U183" s="8">
        <f t="shared" ca="1" si="541"/>
        <v>1403274.3464270437</v>
      </c>
      <c r="V183" s="8">
        <f t="shared" ca="1" si="541"/>
        <v>1450829.3919630982</v>
      </c>
      <c r="W183" s="8">
        <f t="shared" ca="1" si="541"/>
        <v>1500151.4570412496</v>
      </c>
      <c r="X183" s="8">
        <f t="shared" ca="1" si="541"/>
        <v>1530900.2406538306</v>
      </c>
      <c r="Y183" s="8">
        <f t="shared" ca="1" si="541"/>
        <v>1562531.4010244682</v>
      </c>
      <c r="Z183" s="8">
        <f t="shared" ca="1" si="541"/>
        <v>1595078.31496845</v>
      </c>
      <c r="AA183" s="8">
        <f t="shared" ca="1" si="541"/>
        <v>1628575.7309353678</v>
      </c>
      <c r="AB183" s="8">
        <f t="shared" ca="1" si="541"/>
        <v>1663059.824358695</v>
      </c>
      <c r="AC183" s="8">
        <f t="shared" ca="1" si="541"/>
        <v>1698568.2551444201</v>
      </c>
      <c r="AD183" s="8">
        <f t="shared" ca="1" si="541"/>
        <v>1745000.9649706078</v>
      </c>
      <c r="AE183" s="8">
        <f t="shared" ca="1" si="541"/>
        <v>1793031.0633963605</v>
      </c>
      <c r="AF183" s="8">
        <f t="shared" ca="1" si="541"/>
        <v>1842719.5201560468</v>
      </c>
      <c r="AG183" s="8">
        <f t="shared" ca="1" si="541"/>
        <v>1894129.6587253201</v>
      </c>
      <c r="AH183" s="8">
        <f t="shared" ca="1" si="541"/>
        <v>1947327.2450107713</v>
      </c>
      <c r="AI183" s="8">
        <f t="shared" ca="1" si="541"/>
        <v>2002380.5792762381</v>
      </c>
      <c r="AJ183" s="8">
        <f t="shared" ca="1" si="541"/>
        <v>2059360.5914203662</v>
      </c>
      <c r="AK183" s="8">
        <f t="shared" ca="1" si="541"/>
        <v>2118340.9397239783</v>
      </c>
      <c r="AL183" s="8">
        <f t="shared" ca="1" si="541"/>
        <v>2179398.1131898882</v>
      </c>
      <c r="AM183" s="8">
        <f t="shared" ca="1" si="541"/>
        <v>2242611.5376020237</v>
      </c>
    </row>
    <row r="184" spans="1:39" x14ac:dyDescent="0.2">
      <c r="A184" s="4" t="s">
        <v>29</v>
      </c>
      <c r="C184" s="8">
        <f t="shared" ref="C184" ca="1" si="542">C172</f>
        <v>1306450.1098380252</v>
      </c>
      <c r="D184" s="8">
        <f t="shared" ref="D184:G184" ca="1" si="543">D172</f>
        <v>1395707.6271802546</v>
      </c>
      <c r="E184" s="8">
        <f t="shared" ca="1" si="543"/>
        <v>1467136.1463015494</v>
      </c>
      <c r="F184" s="8">
        <f t="shared" ca="1" si="543"/>
        <v>1571603.3362318811</v>
      </c>
      <c r="G184" s="8">
        <f t="shared" ca="1" si="543"/>
        <v>1681302.697570574</v>
      </c>
      <c r="H184" s="8">
        <f t="shared" ref="H184:AM184" ca="1" si="544">H172</f>
        <v>1803377.0200058362</v>
      </c>
      <c r="I184" s="8">
        <f t="shared" ca="1" si="544"/>
        <v>1925515.1787208037</v>
      </c>
      <c r="J184" s="8">
        <f t="shared" ref="J184:AM184" ca="1" si="545">J172</f>
        <v>2035479.4655151977</v>
      </c>
      <c r="K184" s="8">
        <f t="shared" ca="1" si="545"/>
        <v>2230857.9093484082</v>
      </c>
      <c r="L184" s="8">
        <f t="shared" ca="1" si="545"/>
        <v>2337070.8546082387</v>
      </c>
      <c r="M184" s="8">
        <f t="shared" ca="1" si="545"/>
        <v>2497393.2532110862</v>
      </c>
      <c r="N184" s="8">
        <f t="shared" ca="1" si="545"/>
        <v>2665258.0876822406</v>
      </c>
      <c r="O184" s="8">
        <f t="shared" ca="1" si="545"/>
        <v>2840981.6839948334</v>
      </c>
      <c r="P184" s="8">
        <f t="shared" ca="1" si="545"/>
        <v>3024893.4362583752</v>
      </c>
      <c r="Q184" s="8">
        <f t="shared" ca="1" si="545"/>
        <v>3217336.3840928273</v>
      </c>
      <c r="R184" s="8">
        <f t="shared" ca="1" si="545"/>
        <v>3418667.8193695345</v>
      </c>
      <c r="S184" s="8">
        <f t="shared" ca="1" si="545"/>
        <v>3523327.6935754288</v>
      </c>
      <c r="T184" s="8">
        <f t="shared" ca="1" si="545"/>
        <v>3639392.6550664837</v>
      </c>
      <c r="U184" s="8">
        <f t="shared" ca="1" si="545"/>
        <v>3759698.0656085555</v>
      </c>
      <c r="V184" s="8">
        <f t="shared" ca="1" si="545"/>
        <v>3884419.3743087347</v>
      </c>
      <c r="W184" s="8">
        <f t="shared" ca="1" si="545"/>
        <v>4013740.5745730293</v>
      </c>
      <c r="X184" s="8">
        <f t="shared" ca="1" si="545"/>
        <v>4127447.7822845993</v>
      </c>
      <c r="Y184" s="8">
        <f t="shared" ca="1" si="545"/>
        <v>4245130.1795230387</v>
      </c>
      <c r="Z184" s="8">
        <f t="shared" ca="1" si="545"/>
        <v>4366962.2522903671</v>
      </c>
      <c r="AA184" s="8">
        <f t="shared" ca="1" si="545"/>
        <v>4493127.9574828027</v>
      </c>
      <c r="AB184" s="8">
        <f t="shared" ca="1" si="545"/>
        <v>4623821.3304968812</v>
      </c>
      <c r="AC184" s="8">
        <f t="shared" ca="1" si="545"/>
        <v>4759247.136284628</v>
      </c>
      <c r="AD184" s="8">
        <f t="shared" ca="1" si="545"/>
        <v>4909482.3047483265</v>
      </c>
      <c r="AE184" s="8">
        <f t="shared" ca="1" si="545"/>
        <v>5065387.5029469803</v>
      </c>
      <c r="AF184" s="8">
        <f t="shared" ca="1" si="545"/>
        <v>5227222.5652391212</v>
      </c>
      <c r="AG184" s="8">
        <f t="shared" ca="1" si="545"/>
        <v>5395261.7804944962</v>
      </c>
      <c r="AH184" s="8">
        <f t="shared" ca="1" si="545"/>
        <v>5569794.8345933221</v>
      </c>
      <c r="AI184" s="8">
        <f t="shared" ca="1" si="545"/>
        <v>5751127.821039388</v>
      </c>
      <c r="AJ184" s="8">
        <f t="shared" ca="1" si="545"/>
        <v>5939584.3248889837</v>
      </c>
      <c r="AK184" s="8">
        <f t="shared" ca="1" si="545"/>
        <v>6135506.5856054332</v>
      </c>
      <c r="AL184" s="8">
        <f t="shared" ca="1" si="545"/>
        <v>6339256.7448892677</v>
      </c>
      <c r="AM184" s="8">
        <f t="shared" ca="1" si="545"/>
        <v>6551218.1860091835</v>
      </c>
    </row>
    <row r="185" spans="1:39" x14ac:dyDescent="0.2">
      <c r="A185" s="4" t="s">
        <v>74</v>
      </c>
      <c r="C185" s="12" t="str">
        <f ca="1">IF(COUNTIF(183:183,"&lt;0")&gt;0,"NO","YES!")</f>
        <v>YES!</v>
      </c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</row>
    <row r="186" spans="1:39" x14ac:dyDescent="0.2">
      <c r="A186" s="4" t="s">
        <v>35</v>
      </c>
      <c r="C186" s="12" t="str" cm="1">
        <f t="array" aca="1" ref="C186" ca="1">IFERROR(INDEX($3:$3, MATCH(TRUE, INDEX(183:183&lt;0,0), 0)), "Never")</f>
        <v>Never</v>
      </c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</row>
    <row r="187" spans="1:39" x14ac:dyDescent="0.2">
      <c r="A187" s="4"/>
      <c r="C187" s="8"/>
      <c r="D187" s="8"/>
      <c r="E187" s="27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</row>
    <row r="188" spans="1:39" x14ac:dyDescent="0.2">
      <c r="A188" s="4" t="s">
        <v>31</v>
      </c>
      <c r="C188" s="11" t="s">
        <v>30</v>
      </c>
      <c r="D188" s="25" t="s">
        <v>76</v>
      </c>
      <c r="E188" s="25" t="s">
        <v>75</v>
      </c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</row>
    <row r="189" spans="1:39" x14ac:dyDescent="0.2">
      <c r="A189" s="18" t="s">
        <v>28</v>
      </c>
      <c r="C189" s="8">
        <f ca="1">-SUM(75:75)</f>
        <v>0</v>
      </c>
      <c r="D189" s="25" t="str" cm="1">
        <f t="array" aca="1" ref="D189" ca="1">IFERROR(TEXT(INDEX(2:2, MATCH(TRUE, INDEX(75:75&lt;0,0), 0)), "0000"), "")</f>
        <v/>
      </c>
      <c r="E189" s="26" t="str" cm="1">
        <f t="array" aca="1" ref="E189" ca="1">IFERROR(INDEX(3:3, MATCH(TRUE, INDEX(75:75&lt;0,0), 0)),"")</f>
        <v/>
      </c>
      <c r="F189" s="28" t="s">
        <v>77</v>
      </c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</row>
    <row r="190" spans="1:39" x14ac:dyDescent="0.2">
      <c r="A190" s="18" t="s">
        <v>71</v>
      </c>
      <c r="C190" s="7"/>
      <c r="D190" s="27"/>
      <c r="E190" s="27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</row>
    <row r="191" spans="1:39" x14ac:dyDescent="0.2">
      <c r="A191" s="19" t="str">
        <f>$A$56</f>
        <v>Sliema</v>
      </c>
      <c r="C191" s="8">
        <f ca="1">-IFERROR(MIN(INDEX($139:$141, MATCH(A191, $A$139:$A$141, 0), 0)),0)</f>
        <v>0</v>
      </c>
      <c r="D191" s="25" t="str" cm="1">
        <f t="array" aca="1" ref="D191" ca="1">IFERROR(TEXT(INDEX($2:$2,MATCH(0, $C144:$XFD144, 0) + COLUMN($C144) - 1),"0000"),"")</f>
        <v/>
      </c>
      <c r="E191" s="26" t="str" cm="1">
        <f t="array" aca="1" ref="E191" ca="1">IFERROR(INDEX($3:$3,MATCH(0, $C144:$XFD144, 0) + COLUMN($C144) - 1),"")</f>
        <v/>
      </c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</row>
    <row r="192" spans="1:39" x14ac:dyDescent="0.2">
      <c r="A192" s="19" t="str">
        <f>$A$57</f>
        <v>Gzira</v>
      </c>
      <c r="C192" s="8">
        <f ca="1">-IFERROR(MIN(INDEX($139:$141, MATCH(A192, $A$139:$A$141, 0), 0)),0)</f>
        <v>0</v>
      </c>
      <c r="D192" s="25" t="str" cm="1">
        <f t="array" aca="1" ref="D192" ca="1">IFERROR(TEXT(INDEX($2:$2,MATCH(0, $C145:$XFD145, 0) + COLUMN($C145) - 1),"0000"),"")</f>
        <v/>
      </c>
      <c r="E192" s="26" t="str" cm="1">
        <f t="array" aca="1" ref="E192" ca="1">IFERROR(INDEX($3:$3,MATCH(0, $C145:$XFD145, 0) + COLUMN($C145) - 1),"")</f>
        <v/>
      </c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</row>
    <row r="193" spans="1:39" x14ac:dyDescent="0.2">
      <c r="A193" s="19" t="str">
        <f>$A$58</f>
        <v>Qormi</v>
      </c>
      <c r="C193" s="8">
        <f ca="1">-IFERROR(MIN(INDEX($139:$141, MATCH(A193, $A$139:$A$141, 0), 0)),0)</f>
        <v>0</v>
      </c>
      <c r="D193" s="25" t="str" cm="1">
        <f t="array" aca="1" ref="D193" ca="1">IFERROR(TEXT(INDEX($2:$2,MATCH(0, $C146:$XFD146, 0) + COLUMN($C146) - 1),"0000"),"")</f>
        <v/>
      </c>
      <c r="E193" s="26" t="str" cm="1">
        <f t="array" aca="1" ref="E193" ca="1">IFERROR(INDEX($3:$3,MATCH(0, $C146:$XFD146, 0) + COLUMN($C146) - 1),"")</f>
        <v/>
      </c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</row>
    <row r="194" spans="1:39" x14ac:dyDescent="0.2">
      <c r="A194" s="7"/>
      <c r="C194" s="10">
        <f ca="1">SUM(C191:C193)</f>
        <v>0</v>
      </c>
      <c r="D194" s="27"/>
      <c r="E194" s="27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</row>
    <row r="195" spans="1:39" x14ac:dyDescent="0.2">
      <c r="C195" s="8"/>
      <c r="E195" s="8"/>
      <c r="F195" s="8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</row>
    <row r="196" spans="1:39" x14ac:dyDescent="0.2">
      <c r="A196" s="17" t="s">
        <v>78</v>
      </c>
      <c r="B196" s="2" t="s">
        <v>1</v>
      </c>
      <c r="C196" s="8">
        <f t="shared" ref="C196:AM196" si="546">C3</f>
        <v>49</v>
      </c>
      <c r="D196" s="8">
        <f t="shared" si="546"/>
        <v>50</v>
      </c>
      <c r="E196" s="8">
        <f t="shared" si="546"/>
        <v>51</v>
      </c>
      <c r="F196" s="8">
        <f t="shared" si="546"/>
        <v>52</v>
      </c>
      <c r="G196" s="8">
        <f t="shared" si="546"/>
        <v>53</v>
      </c>
      <c r="H196" s="8">
        <f t="shared" si="546"/>
        <v>54</v>
      </c>
      <c r="I196" s="8">
        <f t="shared" si="546"/>
        <v>55</v>
      </c>
      <c r="J196" s="8">
        <f t="shared" ref="J196:AM196" si="547">J3</f>
        <v>56</v>
      </c>
      <c r="K196" s="8">
        <f t="shared" si="547"/>
        <v>57</v>
      </c>
      <c r="L196" s="8">
        <f t="shared" si="547"/>
        <v>58</v>
      </c>
      <c r="M196" s="8">
        <f t="shared" si="547"/>
        <v>59</v>
      </c>
      <c r="N196" s="8">
        <f t="shared" si="547"/>
        <v>60</v>
      </c>
      <c r="O196" s="8">
        <f t="shared" si="547"/>
        <v>61</v>
      </c>
      <c r="P196" s="8">
        <f t="shared" si="547"/>
        <v>62</v>
      </c>
      <c r="Q196" s="8">
        <f t="shared" si="547"/>
        <v>63</v>
      </c>
      <c r="R196" s="8">
        <f t="shared" si="547"/>
        <v>64</v>
      </c>
      <c r="S196" s="8">
        <f t="shared" si="547"/>
        <v>65</v>
      </c>
      <c r="T196" s="8">
        <f t="shared" si="547"/>
        <v>66</v>
      </c>
      <c r="U196" s="8">
        <f t="shared" si="547"/>
        <v>67</v>
      </c>
      <c r="V196" s="8">
        <f t="shared" si="547"/>
        <v>68</v>
      </c>
      <c r="W196" s="8">
        <f t="shared" si="547"/>
        <v>69</v>
      </c>
      <c r="X196" s="8">
        <f t="shared" si="547"/>
        <v>70</v>
      </c>
      <c r="Y196" s="8">
        <f t="shared" si="547"/>
        <v>71</v>
      </c>
      <c r="Z196" s="8">
        <f t="shared" si="547"/>
        <v>72</v>
      </c>
      <c r="AA196" s="8">
        <f t="shared" si="547"/>
        <v>73</v>
      </c>
      <c r="AB196" s="8">
        <f t="shared" si="547"/>
        <v>74</v>
      </c>
      <c r="AC196" s="8">
        <f t="shared" si="547"/>
        <v>75</v>
      </c>
      <c r="AD196" s="8">
        <f t="shared" si="547"/>
        <v>76</v>
      </c>
      <c r="AE196" s="8">
        <f t="shared" si="547"/>
        <v>77</v>
      </c>
      <c r="AF196" s="8">
        <f t="shared" si="547"/>
        <v>78</v>
      </c>
      <c r="AG196" s="8">
        <f t="shared" si="547"/>
        <v>79</v>
      </c>
      <c r="AH196" s="8">
        <f t="shared" si="547"/>
        <v>80</v>
      </c>
      <c r="AI196" s="8">
        <f t="shared" si="547"/>
        <v>81</v>
      </c>
      <c r="AJ196" s="8">
        <f t="shared" si="547"/>
        <v>82</v>
      </c>
      <c r="AK196" s="8">
        <f t="shared" si="547"/>
        <v>83</v>
      </c>
      <c r="AL196" s="8">
        <f t="shared" si="547"/>
        <v>84</v>
      </c>
      <c r="AM196" s="8">
        <f t="shared" si="547"/>
        <v>85</v>
      </c>
    </row>
    <row r="197" spans="1:39" x14ac:dyDescent="0.2">
      <c r="A197" s="4" t="s">
        <v>72</v>
      </c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</row>
    <row r="198" spans="1:39" x14ac:dyDescent="0.2">
      <c r="A198" s="4" t="s">
        <v>9</v>
      </c>
      <c r="C198" s="8">
        <f ca="1">C177</f>
        <v>75752.5</v>
      </c>
      <c r="D198" s="8">
        <f t="shared" ref="D198:G198" ca="1" si="548">D177</f>
        <v>104902.8125</v>
      </c>
      <c r="E198" s="8">
        <f t="shared" ca="1" si="548"/>
        <v>114244.71249999999</v>
      </c>
      <c r="F198" s="8">
        <f t="shared" ca="1" si="548"/>
        <v>155351.48395239323</v>
      </c>
      <c r="G198" s="8">
        <f t="shared" ca="1" si="548"/>
        <v>201221.49120440619</v>
      </c>
      <c r="H198" s="8">
        <f t="shared" ref="H198:AM198" ca="1" si="549">H177</f>
        <v>261189.83792477695</v>
      </c>
      <c r="I198" s="8">
        <f t="shared" ca="1" si="549"/>
        <v>328035.20366895478</v>
      </c>
      <c r="J198" s="8">
        <f t="shared" ref="J198:AM198" ca="1" si="550">J177</f>
        <v>380838.42954043212</v>
      </c>
      <c r="K198" s="8">
        <f t="shared" ca="1" si="550"/>
        <v>517397.35493851278</v>
      </c>
      <c r="L198" s="8">
        <f t="shared" ca="1" si="550"/>
        <v>565529.30292301986</v>
      </c>
      <c r="M198" s="8">
        <f t="shared" ca="1" si="550"/>
        <v>669467.06747940183</v>
      </c>
      <c r="N198" s="8">
        <f t="shared" ca="1" si="550"/>
        <v>778996.65788302326</v>
      </c>
      <c r="O198" s="8">
        <f t="shared" ca="1" si="550"/>
        <v>894355.15612641082</v>
      </c>
      <c r="P198" s="8">
        <f t="shared" ca="1" si="550"/>
        <v>1015788.6769646533</v>
      </c>
      <c r="Q198" s="8">
        <f t="shared" ca="1" si="550"/>
        <v>1143552.6915839072</v>
      </c>
      <c r="R198" s="8">
        <f t="shared" ca="1" si="550"/>
        <v>1277912.3624140497</v>
      </c>
      <c r="S198" s="8">
        <f t="shared" ca="1" si="550"/>
        <v>1313210.6589462783</v>
      </c>
      <c r="T198" s="8">
        <f t="shared" ca="1" si="550"/>
        <v>1357422.0823162566</v>
      </c>
      <c r="U198" s="8">
        <f t="shared" ca="1" si="550"/>
        <v>1403274.3464270437</v>
      </c>
      <c r="V198" s="8">
        <f t="shared" ca="1" si="550"/>
        <v>1450829.3919630982</v>
      </c>
      <c r="W198" s="8">
        <f t="shared" ca="1" si="550"/>
        <v>1500151.4570412496</v>
      </c>
      <c r="X198" s="8">
        <f t="shared" ca="1" si="550"/>
        <v>1530900.2406538306</v>
      </c>
      <c r="Y198" s="8">
        <f t="shared" ca="1" si="550"/>
        <v>1562531.4010244682</v>
      </c>
      <c r="Z198" s="8">
        <f t="shared" ca="1" si="550"/>
        <v>1595078.31496845</v>
      </c>
      <c r="AA198" s="8">
        <f t="shared" ca="1" si="550"/>
        <v>1628575.7309353678</v>
      </c>
      <c r="AB198" s="8">
        <f t="shared" ca="1" si="550"/>
        <v>1663059.824358695</v>
      </c>
      <c r="AC198" s="8">
        <f t="shared" ca="1" si="550"/>
        <v>1698568.2551444201</v>
      </c>
      <c r="AD198" s="8">
        <f t="shared" ca="1" si="550"/>
        <v>1745000.9649706078</v>
      </c>
      <c r="AE198" s="8">
        <f t="shared" ca="1" si="550"/>
        <v>1793031.0633963605</v>
      </c>
      <c r="AF198" s="8">
        <f t="shared" ca="1" si="550"/>
        <v>1842719.5201560468</v>
      </c>
      <c r="AG198" s="8">
        <f t="shared" ca="1" si="550"/>
        <v>1894129.6587253201</v>
      </c>
      <c r="AH198" s="8">
        <f t="shared" ca="1" si="550"/>
        <v>1947327.2450107713</v>
      </c>
      <c r="AI198" s="8">
        <f t="shared" ca="1" si="550"/>
        <v>2002380.5792762381</v>
      </c>
      <c r="AJ198" s="8">
        <f t="shared" ca="1" si="550"/>
        <v>2059360.5914203662</v>
      </c>
      <c r="AK198" s="8">
        <f t="shared" ca="1" si="550"/>
        <v>2118340.9397239783</v>
      </c>
      <c r="AL198" s="8">
        <f t="shared" ca="1" si="550"/>
        <v>2179398.1131898882</v>
      </c>
      <c r="AM198" s="8">
        <f t="shared" ca="1" si="550"/>
        <v>2242611.5376020237</v>
      </c>
    </row>
    <row r="199" spans="1:39" x14ac:dyDescent="0.2">
      <c r="A199" s="4" t="s">
        <v>29</v>
      </c>
      <c r="C199" s="8">
        <f ca="1">C178</f>
        <v>1306450.1098380252</v>
      </c>
      <c r="D199" s="8">
        <f t="shared" ref="D199:G199" ca="1" si="551">D178</f>
        <v>1395707.6271802546</v>
      </c>
      <c r="E199" s="8">
        <f t="shared" ca="1" si="551"/>
        <v>1467136.1463015494</v>
      </c>
      <c r="F199" s="8">
        <f t="shared" ca="1" si="551"/>
        <v>1571603.3362318811</v>
      </c>
      <c r="G199" s="8">
        <f t="shared" ca="1" si="551"/>
        <v>1681302.697570574</v>
      </c>
      <c r="H199" s="8">
        <f t="shared" ref="H199:AM199" ca="1" si="552">H178</f>
        <v>1803377.0200058362</v>
      </c>
      <c r="I199" s="8">
        <f t="shared" ca="1" si="552"/>
        <v>1925515.1787208037</v>
      </c>
      <c r="J199" s="8">
        <f t="shared" ref="J199:AM199" ca="1" si="553">J178</f>
        <v>2035479.4655151977</v>
      </c>
      <c r="K199" s="8">
        <f t="shared" ca="1" si="553"/>
        <v>2230857.9093484082</v>
      </c>
      <c r="L199" s="8">
        <f t="shared" ca="1" si="553"/>
        <v>2337070.8546082387</v>
      </c>
      <c r="M199" s="8">
        <f t="shared" ca="1" si="553"/>
        <v>2497393.2532110862</v>
      </c>
      <c r="N199" s="8">
        <f t="shared" ca="1" si="553"/>
        <v>2665258.0876822406</v>
      </c>
      <c r="O199" s="8">
        <f t="shared" ca="1" si="553"/>
        <v>2840981.6839948334</v>
      </c>
      <c r="P199" s="8">
        <f t="shared" ca="1" si="553"/>
        <v>3024893.4362583752</v>
      </c>
      <c r="Q199" s="8">
        <f t="shared" ca="1" si="553"/>
        <v>3217336.3840928273</v>
      </c>
      <c r="R199" s="8">
        <f t="shared" ca="1" si="553"/>
        <v>3418667.819369535</v>
      </c>
      <c r="S199" s="8">
        <f t="shared" ca="1" si="553"/>
        <v>3523327.6935754293</v>
      </c>
      <c r="T199" s="8">
        <f t="shared" ca="1" si="553"/>
        <v>3639392.6550664837</v>
      </c>
      <c r="U199" s="8">
        <f t="shared" ca="1" si="553"/>
        <v>3759698.0656085555</v>
      </c>
      <c r="V199" s="8">
        <f t="shared" ca="1" si="553"/>
        <v>3884419.3743087347</v>
      </c>
      <c r="W199" s="8">
        <f t="shared" ca="1" si="553"/>
        <v>4013740.5745730298</v>
      </c>
      <c r="X199" s="8">
        <f t="shared" ca="1" si="553"/>
        <v>4127447.7822845997</v>
      </c>
      <c r="Y199" s="8">
        <f t="shared" ca="1" si="553"/>
        <v>4245130.1795230387</v>
      </c>
      <c r="Z199" s="8">
        <f t="shared" ca="1" si="553"/>
        <v>4366962.2522903671</v>
      </c>
      <c r="AA199" s="8">
        <f t="shared" ca="1" si="553"/>
        <v>4493127.9574828027</v>
      </c>
      <c r="AB199" s="8">
        <f t="shared" ca="1" si="553"/>
        <v>4623821.3304968821</v>
      </c>
      <c r="AC199" s="8">
        <f t="shared" ca="1" si="553"/>
        <v>4759247.136284628</v>
      </c>
      <c r="AD199" s="8">
        <f t="shared" ca="1" si="553"/>
        <v>4909482.3047483265</v>
      </c>
      <c r="AE199" s="8">
        <f t="shared" ca="1" si="553"/>
        <v>5065387.5029469812</v>
      </c>
      <c r="AF199" s="8">
        <f t="shared" ca="1" si="553"/>
        <v>5227222.5652391221</v>
      </c>
      <c r="AG199" s="8">
        <f t="shared" ca="1" si="553"/>
        <v>5395261.7804944972</v>
      </c>
      <c r="AH199" s="8">
        <f t="shared" ca="1" si="553"/>
        <v>5569794.8345933221</v>
      </c>
      <c r="AI199" s="8">
        <f t="shared" ca="1" si="553"/>
        <v>5751127.8210393889</v>
      </c>
      <c r="AJ199" s="8">
        <f t="shared" ca="1" si="553"/>
        <v>5939584.3248889847</v>
      </c>
      <c r="AK199" s="8">
        <f t="shared" ca="1" si="553"/>
        <v>6135506.5856054341</v>
      </c>
      <c r="AL199" s="8">
        <f t="shared" ca="1" si="553"/>
        <v>6339256.7448892687</v>
      </c>
      <c r="AM199" s="8">
        <f t="shared" ca="1" si="553"/>
        <v>6551218.1860091845</v>
      </c>
    </row>
    <row r="200" spans="1:39" x14ac:dyDescent="0.2">
      <c r="A200" s="4" t="s">
        <v>73</v>
      </c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</row>
    <row r="201" spans="1:39" x14ac:dyDescent="0.2">
      <c r="A201" s="18" t="s">
        <v>9</v>
      </c>
      <c r="C201" s="8">
        <f ca="1">C183</f>
        <v>75752.5</v>
      </c>
      <c r="D201" s="8">
        <f t="shared" ref="D201:G201" ca="1" si="554">D183</f>
        <v>104902.8125</v>
      </c>
      <c r="E201" s="8">
        <f t="shared" ca="1" si="554"/>
        <v>114244.71249999999</v>
      </c>
      <c r="F201" s="8">
        <f t="shared" ca="1" si="554"/>
        <v>155351.48395239323</v>
      </c>
      <c r="G201" s="8">
        <f t="shared" ca="1" si="554"/>
        <v>201221.49120440619</v>
      </c>
      <c r="H201" s="8">
        <f t="shared" ref="H201:AM201" ca="1" si="555">H183</f>
        <v>261189.83792477695</v>
      </c>
      <c r="I201" s="8">
        <f t="shared" ca="1" si="555"/>
        <v>328035.20366895478</v>
      </c>
      <c r="J201" s="8">
        <f t="shared" ref="J201:AM201" ca="1" si="556">J183</f>
        <v>380838.42954043212</v>
      </c>
      <c r="K201" s="8">
        <f t="shared" ca="1" si="556"/>
        <v>517397.35493851278</v>
      </c>
      <c r="L201" s="8">
        <f t="shared" ca="1" si="556"/>
        <v>565529.30292301986</v>
      </c>
      <c r="M201" s="8">
        <f t="shared" ca="1" si="556"/>
        <v>669467.06747940183</v>
      </c>
      <c r="N201" s="8">
        <f t="shared" ca="1" si="556"/>
        <v>778996.65788302326</v>
      </c>
      <c r="O201" s="8">
        <f t="shared" ca="1" si="556"/>
        <v>894355.15612641082</v>
      </c>
      <c r="P201" s="8">
        <f t="shared" ca="1" si="556"/>
        <v>1015788.6769646533</v>
      </c>
      <c r="Q201" s="8">
        <f t="shared" ca="1" si="556"/>
        <v>1143552.6915839072</v>
      </c>
      <c r="R201" s="8">
        <f t="shared" ca="1" si="556"/>
        <v>1277912.3624140497</v>
      </c>
      <c r="S201" s="8">
        <f t="shared" ca="1" si="556"/>
        <v>1313210.6589462783</v>
      </c>
      <c r="T201" s="8">
        <f t="shared" ca="1" si="556"/>
        <v>1357422.0823162566</v>
      </c>
      <c r="U201" s="8">
        <f t="shared" ca="1" si="556"/>
        <v>1403274.3464270437</v>
      </c>
      <c r="V201" s="8">
        <f t="shared" ca="1" si="556"/>
        <v>1450829.3919630982</v>
      </c>
      <c r="W201" s="8">
        <f t="shared" ca="1" si="556"/>
        <v>1500151.4570412496</v>
      </c>
      <c r="X201" s="8">
        <f t="shared" ca="1" si="556"/>
        <v>1530900.2406538306</v>
      </c>
      <c r="Y201" s="8">
        <f t="shared" ca="1" si="556"/>
        <v>1562531.4010244682</v>
      </c>
      <c r="Z201" s="8">
        <f t="shared" ca="1" si="556"/>
        <v>1595078.31496845</v>
      </c>
      <c r="AA201" s="8">
        <f t="shared" ca="1" si="556"/>
        <v>1628575.7309353678</v>
      </c>
      <c r="AB201" s="8">
        <f t="shared" ca="1" si="556"/>
        <v>1663059.824358695</v>
      </c>
      <c r="AC201" s="8">
        <f t="shared" ca="1" si="556"/>
        <v>1698568.2551444201</v>
      </c>
      <c r="AD201" s="8">
        <f t="shared" ca="1" si="556"/>
        <v>1745000.9649706078</v>
      </c>
      <c r="AE201" s="8">
        <f t="shared" ca="1" si="556"/>
        <v>1793031.0633963605</v>
      </c>
      <c r="AF201" s="8">
        <f t="shared" ca="1" si="556"/>
        <v>1842719.5201560468</v>
      </c>
      <c r="AG201" s="8">
        <f t="shared" ca="1" si="556"/>
        <v>1894129.6587253201</v>
      </c>
      <c r="AH201" s="8">
        <f t="shared" ca="1" si="556"/>
        <v>1947327.2450107713</v>
      </c>
      <c r="AI201" s="8">
        <f t="shared" ca="1" si="556"/>
        <v>2002380.5792762381</v>
      </c>
      <c r="AJ201" s="8">
        <f t="shared" ca="1" si="556"/>
        <v>2059360.5914203662</v>
      </c>
      <c r="AK201" s="8">
        <f t="shared" ca="1" si="556"/>
        <v>2118340.9397239783</v>
      </c>
      <c r="AL201" s="8">
        <f t="shared" ca="1" si="556"/>
        <v>2179398.1131898882</v>
      </c>
      <c r="AM201" s="8">
        <f t="shared" ca="1" si="556"/>
        <v>2242611.5376020237</v>
      </c>
    </row>
    <row r="202" spans="1:39" x14ac:dyDescent="0.2">
      <c r="A202" s="18" t="s">
        <v>29</v>
      </c>
      <c r="C202" s="8">
        <f ca="1">C184</f>
        <v>1306450.1098380252</v>
      </c>
      <c r="D202" s="8">
        <f t="shared" ref="D202:G202" ca="1" si="557">D184</f>
        <v>1395707.6271802546</v>
      </c>
      <c r="E202" s="8">
        <f t="shared" ca="1" si="557"/>
        <v>1467136.1463015494</v>
      </c>
      <c r="F202" s="8">
        <f t="shared" ca="1" si="557"/>
        <v>1571603.3362318811</v>
      </c>
      <c r="G202" s="8">
        <f t="shared" ca="1" si="557"/>
        <v>1681302.697570574</v>
      </c>
      <c r="H202" s="8">
        <f t="shared" ref="H202:AM202" ca="1" si="558">H184</f>
        <v>1803377.0200058362</v>
      </c>
      <c r="I202" s="8">
        <f t="shared" ca="1" si="558"/>
        <v>1925515.1787208037</v>
      </c>
      <c r="J202" s="8">
        <f t="shared" ref="J202:AM202" ca="1" si="559">J184</f>
        <v>2035479.4655151977</v>
      </c>
      <c r="K202" s="8">
        <f t="shared" ca="1" si="559"/>
        <v>2230857.9093484082</v>
      </c>
      <c r="L202" s="8">
        <f t="shared" ca="1" si="559"/>
        <v>2337070.8546082387</v>
      </c>
      <c r="M202" s="8">
        <f t="shared" ca="1" si="559"/>
        <v>2497393.2532110862</v>
      </c>
      <c r="N202" s="8">
        <f t="shared" ca="1" si="559"/>
        <v>2665258.0876822406</v>
      </c>
      <c r="O202" s="8">
        <f t="shared" ca="1" si="559"/>
        <v>2840981.6839948334</v>
      </c>
      <c r="P202" s="8">
        <f t="shared" ca="1" si="559"/>
        <v>3024893.4362583752</v>
      </c>
      <c r="Q202" s="8">
        <f t="shared" ca="1" si="559"/>
        <v>3217336.3840928273</v>
      </c>
      <c r="R202" s="8">
        <f t="shared" ca="1" si="559"/>
        <v>3418667.8193695345</v>
      </c>
      <c r="S202" s="8">
        <f t="shared" ca="1" si="559"/>
        <v>3523327.6935754288</v>
      </c>
      <c r="T202" s="8">
        <f t="shared" ca="1" si="559"/>
        <v>3639392.6550664837</v>
      </c>
      <c r="U202" s="8">
        <f t="shared" ca="1" si="559"/>
        <v>3759698.0656085555</v>
      </c>
      <c r="V202" s="8">
        <f t="shared" ca="1" si="559"/>
        <v>3884419.3743087347</v>
      </c>
      <c r="W202" s="8">
        <f t="shared" ca="1" si="559"/>
        <v>4013740.5745730293</v>
      </c>
      <c r="X202" s="8">
        <f t="shared" ca="1" si="559"/>
        <v>4127447.7822845993</v>
      </c>
      <c r="Y202" s="8">
        <f t="shared" ca="1" si="559"/>
        <v>4245130.1795230387</v>
      </c>
      <c r="Z202" s="8">
        <f t="shared" ca="1" si="559"/>
        <v>4366962.2522903671</v>
      </c>
      <c r="AA202" s="8">
        <f t="shared" ca="1" si="559"/>
        <v>4493127.9574828027</v>
      </c>
      <c r="AB202" s="8">
        <f t="shared" ca="1" si="559"/>
        <v>4623821.3304968812</v>
      </c>
      <c r="AC202" s="8">
        <f t="shared" ca="1" si="559"/>
        <v>4759247.136284628</v>
      </c>
      <c r="AD202" s="8">
        <f t="shared" ca="1" si="559"/>
        <v>4909482.3047483265</v>
      </c>
      <c r="AE202" s="8">
        <f t="shared" ca="1" si="559"/>
        <v>5065387.5029469803</v>
      </c>
      <c r="AF202" s="8">
        <f t="shared" ca="1" si="559"/>
        <v>5227222.5652391212</v>
      </c>
      <c r="AG202" s="8">
        <f t="shared" ca="1" si="559"/>
        <v>5395261.7804944962</v>
      </c>
      <c r="AH202" s="8">
        <f t="shared" ca="1" si="559"/>
        <v>5569794.8345933221</v>
      </c>
      <c r="AI202" s="8">
        <f t="shared" ca="1" si="559"/>
        <v>5751127.821039388</v>
      </c>
      <c r="AJ202" s="8">
        <f t="shared" ca="1" si="559"/>
        <v>5939584.3248889837</v>
      </c>
      <c r="AK202" s="8">
        <f t="shared" ca="1" si="559"/>
        <v>6135506.5856054332</v>
      </c>
      <c r="AL202" s="8">
        <f t="shared" ca="1" si="559"/>
        <v>6339256.7448892677</v>
      </c>
      <c r="AM202" s="8">
        <f t="shared" ca="1" si="559"/>
        <v>6551218.1860091835</v>
      </c>
    </row>
    <row r="203" spans="1:39" x14ac:dyDescent="0.2">
      <c r="A203" s="5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</row>
    <row r="204" spans="1:39" x14ac:dyDescent="0.2"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</row>
    <row r="205" spans="1:39" x14ac:dyDescent="0.2"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</row>
    <row r="206" spans="1:39" x14ac:dyDescent="0.2"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</row>
    <row r="207" spans="1:39" x14ac:dyDescent="0.2"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</row>
    <row r="208" spans="1:39" x14ac:dyDescent="0.2"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</row>
    <row r="209" spans="3:39" x14ac:dyDescent="0.2"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</row>
    <row r="210" spans="3:39" x14ac:dyDescent="0.2"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</row>
    <row r="211" spans="3:39" x14ac:dyDescent="0.2"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</row>
    <row r="212" spans="3:39" x14ac:dyDescent="0.2"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</row>
    <row r="213" spans="3:39" x14ac:dyDescent="0.2"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</row>
    <row r="214" spans="3:39" x14ac:dyDescent="0.2"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</row>
    <row r="215" spans="3:39" x14ac:dyDescent="0.2"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</row>
    <row r="216" spans="3:39" x14ac:dyDescent="0.2"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</row>
    <row r="217" spans="3:39" x14ac:dyDescent="0.2"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</row>
    <row r="218" spans="3:39" x14ac:dyDescent="0.2"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</row>
    <row r="219" spans="3:39" x14ac:dyDescent="0.2"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</row>
    <row r="220" spans="3:39" x14ac:dyDescent="0.2"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</row>
    <row r="221" spans="3:39" x14ac:dyDescent="0.2"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</row>
    <row r="222" spans="3:39" x14ac:dyDescent="0.2"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</row>
    <row r="223" spans="3:39" x14ac:dyDescent="0.2"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</row>
    <row r="224" spans="3:39" x14ac:dyDescent="0.2"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</row>
    <row r="225" spans="3:39" x14ac:dyDescent="0.2"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</row>
    <row r="226" spans="3:39" x14ac:dyDescent="0.2"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</row>
    <row r="227" spans="3:39" x14ac:dyDescent="0.2"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</row>
    <row r="228" spans="3:39" x14ac:dyDescent="0.2"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</row>
    <row r="229" spans="3:39" x14ac:dyDescent="0.2"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</row>
    <row r="230" spans="3:39" x14ac:dyDescent="0.2"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</row>
    <row r="231" spans="3:39" x14ac:dyDescent="0.2"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</row>
    <row r="232" spans="3:39" x14ac:dyDescent="0.2"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</row>
    <row r="233" spans="3:39" x14ac:dyDescent="0.2"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</row>
    <row r="234" spans="3:39" x14ac:dyDescent="0.2"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</row>
    <row r="235" spans="3:39" x14ac:dyDescent="0.2"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</row>
    <row r="236" spans="3:39" x14ac:dyDescent="0.2"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</row>
    <row r="237" spans="3:39" x14ac:dyDescent="0.2"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</row>
    <row r="238" spans="3:39" x14ac:dyDescent="0.2"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</row>
    <row r="239" spans="3:39" x14ac:dyDescent="0.2"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</row>
    <row r="240" spans="3:39" x14ac:dyDescent="0.2"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</row>
    <row r="241" spans="3:39" x14ac:dyDescent="0.2"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</row>
    <row r="242" spans="3:39" x14ac:dyDescent="0.2"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</row>
    <row r="243" spans="3:39" x14ac:dyDescent="0.2"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</row>
    <row r="244" spans="3:39" x14ac:dyDescent="0.2"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</row>
    <row r="245" spans="3:39" x14ac:dyDescent="0.2"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</row>
    <row r="246" spans="3:39" x14ac:dyDescent="0.2"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</row>
    <row r="247" spans="3:39" x14ac:dyDescent="0.2"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</row>
    <row r="248" spans="3:39" x14ac:dyDescent="0.2"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</row>
    <row r="249" spans="3:39" x14ac:dyDescent="0.2"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</row>
    <row r="250" spans="3:39" x14ac:dyDescent="0.2"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</row>
    <row r="251" spans="3:39" x14ac:dyDescent="0.2"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</row>
    <row r="252" spans="3:39" x14ac:dyDescent="0.2"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</row>
    <row r="253" spans="3:39" x14ac:dyDescent="0.2"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</row>
    <row r="254" spans="3:39" x14ac:dyDescent="0.2"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</row>
    <row r="255" spans="3:39" x14ac:dyDescent="0.2"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</row>
    <row r="256" spans="3:39" x14ac:dyDescent="0.2"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</row>
    <row r="257" spans="3:39" x14ac:dyDescent="0.2"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</row>
    <row r="258" spans="3:39" x14ac:dyDescent="0.2"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</row>
    <row r="259" spans="3:39" x14ac:dyDescent="0.2"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</row>
    <row r="260" spans="3:39" x14ac:dyDescent="0.2"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</row>
    <row r="261" spans="3:39" x14ac:dyDescent="0.2"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</row>
    <row r="262" spans="3:39" x14ac:dyDescent="0.2"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</row>
    <row r="263" spans="3:39" x14ac:dyDescent="0.2"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</row>
    <row r="264" spans="3:39" x14ac:dyDescent="0.2"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</row>
    <row r="265" spans="3:39" x14ac:dyDescent="0.2"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</row>
    <row r="266" spans="3:39" x14ac:dyDescent="0.2"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</row>
    <row r="267" spans="3:39" x14ac:dyDescent="0.2"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</row>
    <row r="268" spans="3:39" x14ac:dyDescent="0.2"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</row>
    <row r="269" spans="3:39" x14ac:dyDescent="0.2"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</row>
    <row r="270" spans="3:39" x14ac:dyDescent="0.2"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</row>
    <row r="271" spans="3:39" x14ac:dyDescent="0.2"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</row>
    <row r="272" spans="3:39" x14ac:dyDescent="0.2"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</row>
    <row r="273" spans="3:39" x14ac:dyDescent="0.2"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</row>
    <row r="274" spans="3:39" x14ac:dyDescent="0.2"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</row>
    <row r="275" spans="3:39" x14ac:dyDescent="0.2"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</row>
    <row r="276" spans="3:39" x14ac:dyDescent="0.2"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</row>
    <row r="277" spans="3:39" x14ac:dyDescent="0.2"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</row>
    <row r="278" spans="3:39" x14ac:dyDescent="0.2"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</row>
    <row r="279" spans="3:39" x14ac:dyDescent="0.2"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</row>
    <row r="280" spans="3:39" x14ac:dyDescent="0.2"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</row>
    <row r="281" spans="3:39" x14ac:dyDescent="0.2"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</row>
    <row r="282" spans="3:39" x14ac:dyDescent="0.2"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</row>
    <row r="283" spans="3:39" x14ac:dyDescent="0.2"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</row>
    <row r="284" spans="3:39" x14ac:dyDescent="0.2"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</row>
    <row r="285" spans="3:39" x14ac:dyDescent="0.2"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</row>
    <row r="286" spans="3:39" x14ac:dyDescent="0.2"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</row>
    <row r="287" spans="3:39" x14ac:dyDescent="0.2"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</row>
    <row r="288" spans="3:39" x14ac:dyDescent="0.2"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</row>
    <row r="289" spans="3:39" x14ac:dyDescent="0.2"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</row>
    <row r="290" spans="3:39" x14ac:dyDescent="0.2"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</row>
    <row r="291" spans="3:39" x14ac:dyDescent="0.2"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</row>
    <row r="292" spans="3:39" x14ac:dyDescent="0.2"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</row>
    <row r="293" spans="3:39" x14ac:dyDescent="0.2"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</row>
    <row r="294" spans="3:39" x14ac:dyDescent="0.2"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</row>
    <row r="295" spans="3:39" x14ac:dyDescent="0.2"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</row>
    <row r="296" spans="3:39" x14ac:dyDescent="0.2"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</row>
    <row r="297" spans="3:39" x14ac:dyDescent="0.2"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</row>
    <row r="298" spans="3:39" x14ac:dyDescent="0.2"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</row>
    <row r="299" spans="3:39" x14ac:dyDescent="0.2"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</row>
    <row r="300" spans="3:39" x14ac:dyDescent="0.2"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</row>
    <row r="301" spans="3:39" x14ac:dyDescent="0.2"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</row>
    <row r="302" spans="3:39" x14ac:dyDescent="0.2"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</row>
    <row r="303" spans="3:39" x14ac:dyDescent="0.2"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</row>
    <row r="304" spans="3:39" x14ac:dyDescent="0.2"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</row>
    <row r="305" spans="3:39" x14ac:dyDescent="0.2"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</row>
    <row r="306" spans="3:39" x14ac:dyDescent="0.2"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</row>
    <row r="307" spans="3:39" x14ac:dyDescent="0.2"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</row>
    <row r="308" spans="3:39" x14ac:dyDescent="0.2"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</row>
    <row r="309" spans="3:39" x14ac:dyDescent="0.2"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</row>
    <row r="310" spans="3:39" x14ac:dyDescent="0.2"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</row>
    <row r="311" spans="3:39" x14ac:dyDescent="0.2"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</row>
    <row r="312" spans="3:39" x14ac:dyDescent="0.2"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</row>
    <row r="313" spans="3:39" x14ac:dyDescent="0.2"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</row>
    <row r="314" spans="3:39" x14ac:dyDescent="0.2"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</row>
    <row r="315" spans="3:39" x14ac:dyDescent="0.2"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</row>
    <row r="316" spans="3:39" x14ac:dyDescent="0.2"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</row>
    <row r="317" spans="3:39" x14ac:dyDescent="0.2"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</row>
    <row r="318" spans="3:39" x14ac:dyDescent="0.2"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</row>
    <row r="319" spans="3:39" x14ac:dyDescent="0.2"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</row>
    <row r="320" spans="3:39" x14ac:dyDescent="0.2"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</row>
    <row r="321" spans="3:39" x14ac:dyDescent="0.2"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</row>
    <row r="322" spans="3:39" x14ac:dyDescent="0.2"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</row>
    <row r="323" spans="3:39" x14ac:dyDescent="0.2"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</row>
    <row r="324" spans="3:39" x14ac:dyDescent="0.2"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</row>
    <row r="325" spans="3:39" x14ac:dyDescent="0.2"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</row>
    <row r="326" spans="3:39" x14ac:dyDescent="0.2"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</row>
    <row r="327" spans="3:39" x14ac:dyDescent="0.2"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</row>
    <row r="328" spans="3:39" x14ac:dyDescent="0.2"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</row>
    <row r="329" spans="3:39" x14ac:dyDescent="0.2"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</row>
    <row r="330" spans="3:39" x14ac:dyDescent="0.2"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</row>
    <row r="331" spans="3:39" x14ac:dyDescent="0.2"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</row>
    <row r="332" spans="3:39" x14ac:dyDescent="0.2"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</row>
    <row r="333" spans="3:39" x14ac:dyDescent="0.2"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</row>
    <row r="334" spans="3:39" x14ac:dyDescent="0.2"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</row>
    <row r="335" spans="3:39" x14ac:dyDescent="0.2"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</row>
    <row r="336" spans="3:39" x14ac:dyDescent="0.2"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</row>
    <row r="337" spans="3:39" x14ac:dyDescent="0.2"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</row>
    <row r="338" spans="3:39" x14ac:dyDescent="0.2"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</row>
    <row r="339" spans="3:39" x14ac:dyDescent="0.2"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</row>
    <row r="340" spans="3:39" x14ac:dyDescent="0.2"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</row>
    <row r="341" spans="3:39" x14ac:dyDescent="0.2"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</row>
    <row r="342" spans="3:39" x14ac:dyDescent="0.2"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</row>
    <row r="343" spans="3:39" x14ac:dyDescent="0.2"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</row>
    <row r="344" spans="3:39" x14ac:dyDescent="0.2"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</row>
    <row r="345" spans="3:39" x14ac:dyDescent="0.2"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</row>
    <row r="346" spans="3:39" x14ac:dyDescent="0.2"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</row>
    <row r="347" spans="3:39" x14ac:dyDescent="0.2"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</row>
    <row r="348" spans="3:39" x14ac:dyDescent="0.2"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14D0C-8E54-FD49-9F91-8069ED82671C}">
  <sheetPr codeName="Sheet5"/>
  <dimension ref="A1:AM348"/>
  <sheetViews>
    <sheetView zoomScale="110" zoomScaleNormal="110" workbookViewId="0">
      <pane xSplit="1" ySplit="3" topLeftCell="Z173" activePane="bottomRight" state="frozen"/>
      <selection activeCell="AM3" sqref="AM3"/>
      <selection pane="topRight" activeCell="AM3" sqref="AM3"/>
      <selection pane="bottomLeft" activeCell="AM3" sqref="AM3"/>
      <selection pane="bottomRight" activeCell="N26" sqref="N26"/>
    </sheetView>
  </sheetViews>
  <sheetFormatPr baseColWidth="10" defaultRowHeight="16" x14ac:dyDescent="0.2"/>
  <cols>
    <col min="1" max="1" width="39.33203125" style="2" customWidth="1"/>
    <col min="2" max="2" width="4.33203125" style="7" customWidth="1"/>
    <col min="3" max="39" width="11.83203125" style="2" customWidth="1"/>
    <col min="40" max="78" width="11.83203125" customWidth="1"/>
  </cols>
  <sheetData>
    <row r="1" spans="1:39" x14ac:dyDescent="0.2">
      <c r="B1" s="6">
        <v>0</v>
      </c>
      <c r="C1" s="2">
        <v>1</v>
      </c>
      <c r="D1" s="2">
        <f>C1+1</f>
        <v>2</v>
      </c>
      <c r="E1" s="2">
        <f t="shared" ref="E1:AM3" si="0">D1+1</f>
        <v>3</v>
      </c>
      <c r="F1" s="2">
        <f t="shared" si="0"/>
        <v>4</v>
      </c>
      <c r="G1" s="2">
        <f t="shared" si="0"/>
        <v>5</v>
      </c>
      <c r="H1" s="2">
        <f t="shared" si="0"/>
        <v>6</v>
      </c>
      <c r="I1" s="2">
        <f t="shared" ref="I1:I3" si="1">H1+1</f>
        <v>7</v>
      </c>
      <c r="J1" s="2">
        <f t="shared" ref="J1:J3" si="2">I1+1</f>
        <v>8</v>
      </c>
      <c r="K1" s="2">
        <f t="shared" ref="K1:K3" si="3">J1+1</f>
        <v>9</v>
      </c>
      <c r="L1" s="2">
        <f t="shared" ref="L1:L3" si="4">K1+1</f>
        <v>10</v>
      </c>
      <c r="M1" s="2">
        <f t="shared" ref="M1:M3" si="5">L1+1</f>
        <v>11</v>
      </c>
      <c r="N1" s="2">
        <f t="shared" ref="N1:N3" si="6">M1+1</f>
        <v>12</v>
      </c>
      <c r="O1" s="2">
        <f t="shared" ref="O1:O3" si="7">N1+1</f>
        <v>13</v>
      </c>
      <c r="P1" s="2">
        <f t="shared" ref="P1:P3" si="8">O1+1</f>
        <v>14</v>
      </c>
      <c r="Q1" s="2">
        <f t="shared" ref="Q1:Q3" si="9">P1+1</f>
        <v>15</v>
      </c>
      <c r="R1" s="2">
        <f t="shared" ref="R1:R3" si="10">Q1+1</f>
        <v>16</v>
      </c>
      <c r="S1" s="2">
        <f t="shared" ref="S1:S3" si="11">R1+1</f>
        <v>17</v>
      </c>
      <c r="T1" s="2">
        <f t="shared" ref="T1:T3" si="12">S1+1</f>
        <v>18</v>
      </c>
      <c r="U1" s="2">
        <f t="shared" ref="U1:U3" si="13">T1+1</f>
        <v>19</v>
      </c>
      <c r="V1" s="2">
        <f t="shared" ref="V1:V3" si="14">U1+1</f>
        <v>20</v>
      </c>
      <c r="W1" s="2">
        <f t="shared" ref="W1:W3" si="15">V1+1</f>
        <v>21</v>
      </c>
      <c r="X1" s="2">
        <f t="shared" ref="X1:X3" si="16">W1+1</f>
        <v>22</v>
      </c>
      <c r="Y1" s="2">
        <f t="shared" ref="Y1:Y3" si="17">X1+1</f>
        <v>23</v>
      </c>
      <c r="Z1" s="2">
        <f t="shared" ref="Z1:Z3" si="18">Y1+1</f>
        <v>24</v>
      </c>
      <c r="AA1" s="2">
        <f t="shared" ref="AA1:AA3" si="19">Z1+1</f>
        <v>25</v>
      </c>
      <c r="AB1" s="2">
        <f t="shared" ref="AB1:AB3" si="20">AA1+1</f>
        <v>26</v>
      </c>
      <c r="AC1" s="2">
        <f t="shared" ref="AC1:AC3" si="21">AB1+1</f>
        <v>27</v>
      </c>
      <c r="AD1" s="2">
        <f t="shared" ref="AD1:AD3" si="22">AC1+1</f>
        <v>28</v>
      </c>
      <c r="AE1" s="2">
        <f t="shared" ref="AE1:AE3" si="23">AD1+1</f>
        <v>29</v>
      </c>
      <c r="AF1" s="2">
        <f t="shared" ref="AF1:AF3" si="24">AE1+1</f>
        <v>30</v>
      </c>
      <c r="AG1" s="2">
        <f t="shared" ref="AG1:AG3" si="25">AF1+1</f>
        <v>31</v>
      </c>
      <c r="AH1" s="2">
        <f t="shared" ref="AH1:AH3" si="26">AG1+1</f>
        <v>32</v>
      </c>
      <c r="AI1" s="2">
        <f t="shared" ref="AI1:AI3" si="27">AH1+1</f>
        <v>33</v>
      </c>
      <c r="AJ1" s="2">
        <f t="shared" ref="AJ1:AJ3" si="28">AI1+1</f>
        <v>34</v>
      </c>
      <c r="AK1" s="2">
        <f t="shared" ref="AK1:AK3" si="29">AJ1+1</f>
        <v>35</v>
      </c>
      <c r="AL1" s="2">
        <f t="shared" ref="AL1:AL3" si="30">AK1+1</f>
        <v>36</v>
      </c>
      <c r="AM1" s="2">
        <f t="shared" ref="AM1:AM3" si="31">AL1+1</f>
        <v>37</v>
      </c>
    </row>
    <row r="2" spans="1:39" x14ac:dyDescent="0.2">
      <c r="A2" s="12"/>
      <c r="B2" s="6" t="s">
        <v>6</v>
      </c>
      <c r="C2" s="2">
        <f ca="1">YEAR(TODAY())+1</f>
        <v>2027</v>
      </c>
      <c r="D2" s="2">
        <f ca="1">C2+1</f>
        <v>2028</v>
      </c>
      <c r="E2" s="2">
        <f t="shared" ca="1" si="0"/>
        <v>2029</v>
      </c>
      <c r="F2" s="2">
        <f t="shared" ca="1" si="0"/>
        <v>2030</v>
      </c>
      <c r="G2" s="2">
        <f t="shared" ca="1" si="0"/>
        <v>2031</v>
      </c>
      <c r="H2" s="2">
        <f t="shared" ca="1" si="0"/>
        <v>2032</v>
      </c>
      <c r="I2" s="2">
        <f t="shared" ca="1" si="1"/>
        <v>2033</v>
      </c>
      <c r="J2" s="2">
        <f t="shared" ca="1" si="2"/>
        <v>2034</v>
      </c>
      <c r="K2" s="2">
        <f t="shared" ca="1" si="3"/>
        <v>2035</v>
      </c>
      <c r="L2" s="2">
        <f t="shared" ca="1" si="4"/>
        <v>2036</v>
      </c>
      <c r="M2" s="2">
        <f t="shared" ca="1" si="5"/>
        <v>2037</v>
      </c>
      <c r="N2" s="2">
        <f t="shared" ca="1" si="6"/>
        <v>2038</v>
      </c>
      <c r="O2" s="2">
        <f t="shared" ca="1" si="7"/>
        <v>2039</v>
      </c>
      <c r="P2" s="2">
        <f t="shared" ca="1" si="8"/>
        <v>2040</v>
      </c>
      <c r="Q2" s="2">
        <f t="shared" ca="1" si="9"/>
        <v>2041</v>
      </c>
      <c r="R2" s="2">
        <f t="shared" ca="1" si="10"/>
        <v>2042</v>
      </c>
      <c r="S2" s="2">
        <f t="shared" ca="1" si="11"/>
        <v>2043</v>
      </c>
      <c r="T2" s="2">
        <f t="shared" ca="1" si="12"/>
        <v>2044</v>
      </c>
      <c r="U2" s="2">
        <f t="shared" ca="1" si="13"/>
        <v>2045</v>
      </c>
      <c r="V2" s="2">
        <f t="shared" ca="1" si="14"/>
        <v>2046</v>
      </c>
      <c r="W2" s="2">
        <f t="shared" ca="1" si="15"/>
        <v>2047</v>
      </c>
      <c r="X2" s="2">
        <f t="shared" ca="1" si="16"/>
        <v>2048</v>
      </c>
      <c r="Y2" s="2">
        <f t="shared" ca="1" si="17"/>
        <v>2049</v>
      </c>
      <c r="Z2" s="2">
        <f t="shared" ca="1" si="18"/>
        <v>2050</v>
      </c>
      <c r="AA2" s="2">
        <f t="shared" ca="1" si="19"/>
        <v>2051</v>
      </c>
      <c r="AB2" s="2">
        <f t="shared" ca="1" si="20"/>
        <v>2052</v>
      </c>
      <c r="AC2" s="2">
        <f t="shared" ca="1" si="21"/>
        <v>2053</v>
      </c>
      <c r="AD2" s="2">
        <f t="shared" ca="1" si="22"/>
        <v>2054</v>
      </c>
      <c r="AE2" s="2">
        <f t="shared" ca="1" si="23"/>
        <v>2055</v>
      </c>
      <c r="AF2" s="2">
        <f t="shared" ca="1" si="24"/>
        <v>2056</v>
      </c>
      <c r="AG2" s="2">
        <f t="shared" ca="1" si="25"/>
        <v>2057</v>
      </c>
      <c r="AH2" s="2">
        <f t="shared" ca="1" si="26"/>
        <v>2058</v>
      </c>
      <c r="AI2" s="2">
        <f t="shared" ca="1" si="27"/>
        <v>2059</v>
      </c>
      <c r="AJ2" s="2">
        <f t="shared" ca="1" si="28"/>
        <v>2060</v>
      </c>
      <c r="AK2" s="2">
        <f t="shared" ca="1" si="29"/>
        <v>2061</v>
      </c>
      <c r="AL2" s="2">
        <f t="shared" ca="1" si="30"/>
        <v>2062</v>
      </c>
      <c r="AM2" s="2">
        <f t="shared" ca="1" si="31"/>
        <v>2063</v>
      </c>
    </row>
    <row r="3" spans="1:39" x14ac:dyDescent="0.2">
      <c r="A3" s="36"/>
      <c r="B3" s="37">
        <v>55</v>
      </c>
      <c r="C3" s="2">
        <f>Inputs!B4+1</f>
        <v>49</v>
      </c>
      <c r="D3" s="2">
        <f>C3+1</f>
        <v>50</v>
      </c>
      <c r="E3" s="2">
        <f t="shared" si="0"/>
        <v>51</v>
      </c>
      <c r="F3" s="2">
        <f t="shared" si="0"/>
        <v>52</v>
      </c>
      <c r="G3" s="2">
        <f t="shared" si="0"/>
        <v>53</v>
      </c>
      <c r="H3" s="2">
        <f t="shared" si="0"/>
        <v>54</v>
      </c>
      <c r="I3" s="2">
        <f t="shared" si="1"/>
        <v>55</v>
      </c>
      <c r="J3" s="2">
        <f t="shared" si="2"/>
        <v>56</v>
      </c>
      <c r="K3" s="2">
        <f t="shared" si="3"/>
        <v>57</v>
      </c>
      <c r="L3" s="2">
        <f t="shared" si="4"/>
        <v>58</v>
      </c>
      <c r="M3" s="2">
        <f t="shared" si="5"/>
        <v>59</v>
      </c>
      <c r="N3" s="2">
        <f t="shared" si="6"/>
        <v>60</v>
      </c>
      <c r="O3" s="2">
        <f t="shared" si="7"/>
        <v>61</v>
      </c>
      <c r="P3" s="2">
        <f t="shared" si="8"/>
        <v>62</v>
      </c>
      <c r="Q3" s="2">
        <f t="shared" si="9"/>
        <v>63</v>
      </c>
      <c r="R3" s="2">
        <f t="shared" si="10"/>
        <v>64</v>
      </c>
      <c r="S3" s="2">
        <f t="shared" si="11"/>
        <v>65</v>
      </c>
      <c r="T3" s="2">
        <f t="shared" si="12"/>
        <v>66</v>
      </c>
      <c r="U3" s="2">
        <f t="shared" si="13"/>
        <v>67</v>
      </c>
      <c r="V3" s="2">
        <f t="shared" si="14"/>
        <v>68</v>
      </c>
      <c r="W3" s="2">
        <f t="shared" si="15"/>
        <v>69</v>
      </c>
      <c r="X3" s="2">
        <f t="shared" si="16"/>
        <v>70</v>
      </c>
      <c r="Y3" s="2">
        <f t="shared" si="17"/>
        <v>71</v>
      </c>
      <c r="Z3" s="2">
        <f t="shared" si="18"/>
        <v>72</v>
      </c>
      <c r="AA3" s="2">
        <f t="shared" si="19"/>
        <v>73</v>
      </c>
      <c r="AB3" s="2">
        <f t="shared" si="20"/>
        <v>74</v>
      </c>
      <c r="AC3" s="2">
        <f t="shared" si="21"/>
        <v>75</v>
      </c>
      <c r="AD3" s="2">
        <f t="shared" si="22"/>
        <v>76</v>
      </c>
      <c r="AE3" s="2">
        <f t="shared" si="23"/>
        <v>77</v>
      </c>
      <c r="AF3" s="2">
        <f t="shared" si="24"/>
        <v>78</v>
      </c>
      <c r="AG3" s="2">
        <f t="shared" si="25"/>
        <v>79</v>
      </c>
      <c r="AH3" s="2">
        <f t="shared" si="26"/>
        <v>80</v>
      </c>
      <c r="AI3" s="2">
        <f t="shared" si="27"/>
        <v>81</v>
      </c>
      <c r="AJ3" s="2">
        <f t="shared" si="28"/>
        <v>82</v>
      </c>
      <c r="AK3" s="2">
        <f t="shared" si="29"/>
        <v>83</v>
      </c>
      <c r="AL3" s="2">
        <f t="shared" si="30"/>
        <v>84</v>
      </c>
      <c r="AM3" s="2">
        <f t="shared" si="31"/>
        <v>85</v>
      </c>
    </row>
    <row r="4" spans="1:39" ht="19" x14ac:dyDescent="0.25">
      <c r="A4" s="14" t="s">
        <v>17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</row>
    <row r="5" spans="1:39" x14ac:dyDescent="0.2">
      <c r="A5" s="5" t="s">
        <v>51</v>
      </c>
      <c r="B5" s="9"/>
      <c r="C5" s="8">
        <f>IF(AND(Inputs!$B$19&gt;C3,$B$3&gt;C3),Inputs!$B$6*(1+sincr)^B1,0)</f>
        <v>80000</v>
      </c>
      <c r="D5" s="8">
        <f>IF(AND(Inputs!$B$19&gt;D3,$B$3&gt;D3),Inputs!$B$6*(1+sincr)^C1,0)</f>
        <v>82400</v>
      </c>
      <c r="E5" s="8">
        <f>IF(AND(Inputs!$B$19&gt;E3,$B$3&gt;E3),Inputs!$B$6*(1+sincr)^D1,0)</f>
        <v>84872</v>
      </c>
      <c r="F5" s="8">
        <f>IF(AND(Inputs!$B$19&gt;F3,$B$3&gt;F3),Inputs!$B$6*(1+sincr)^E1,0)</f>
        <v>87418.16</v>
      </c>
      <c r="G5" s="8">
        <f>IF(AND(Inputs!$B$19&gt;G3,$B$3&gt;G3),Inputs!$B$6*(1+sincr)^F1,0)</f>
        <v>90040.704799999992</v>
      </c>
      <c r="H5" s="8">
        <f>IF(AND(Inputs!$B$19&gt;H3,$B$3&gt;H3),Inputs!$B$6*(1+sincr)^G1,0)</f>
        <v>92741.925943999988</v>
      </c>
      <c r="I5" s="8">
        <f>IF(AND(Inputs!$B$19&gt;I3,$B$3&gt;I3),Inputs!$B$6*(1+sincr)^H1,0)</f>
        <v>0</v>
      </c>
      <c r="J5" s="8">
        <f>IF(AND(Inputs!$B$19&gt;J3,$B$3&gt;J3),Inputs!$B$6*(1+sincr)^I1,0)</f>
        <v>0</v>
      </c>
      <c r="K5" s="8">
        <f>IF(AND(Inputs!$B$19&gt;K3,$B$3&gt;K3),Inputs!$B$6*(1+sincr)^J1,0)</f>
        <v>0</v>
      </c>
      <c r="L5" s="8">
        <f>IF(AND(Inputs!$B$19&gt;L3,$B$3&gt;L3),Inputs!$B$6*(1+sincr)^K1,0)</f>
        <v>0</v>
      </c>
      <c r="M5" s="8">
        <f>IF(AND(Inputs!$B$19&gt;M3,$B$3&gt;M3),Inputs!$B$6*(1+sincr)^L1,0)</f>
        <v>0</v>
      </c>
      <c r="N5" s="8">
        <f>IF(AND(Inputs!$B$19&gt;N3,$B$3&gt;N3),Inputs!$B$6*(1+sincr)^M1,0)</f>
        <v>0</v>
      </c>
      <c r="O5" s="8">
        <f>IF(AND(Inputs!$B$19&gt;O3,$B$3&gt;O3),Inputs!$B$6*(1+sincr)^N1,0)</f>
        <v>0</v>
      </c>
      <c r="P5" s="8">
        <f>IF(AND(Inputs!$B$19&gt;P3,$B$3&gt;P3),Inputs!$B$6*(1+sincr)^O1,0)</f>
        <v>0</v>
      </c>
      <c r="Q5" s="8">
        <f>IF(AND(Inputs!$B$19&gt;Q3,$B$3&gt;Q3),Inputs!$B$6*(1+sincr)^P1,0)</f>
        <v>0</v>
      </c>
      <c r="R5" s="8">
        <f>IF(AND(Inputs!$B$19&gt;R3,$B$3&gt;R3),Inputs!$B$6*(1+sincr)^Q1,0)</f>
        <v>0</v>
      </c>
      <c r="S5" s="8">
        <f>IF(AND(Inputs!$B$19&gt;S3,$B$3&gt;S3),Inputs!$B$6*(1+sincr)^R1,0)</f>
        <v>0</v>
      </c>
      <c r="T5" s="8">
        <f>IF(AND(Inputs!$B$19&gt;T3,$B$3&gt;T3),Inputs!$B$6*(1+sincr)^S1,0)</f>
        <v>0</v>
      </c>
      <c r="U5" s="8">
        <f>IF(AND(Inputs!$B$19&gt;U3,$B$3&gt;U3),Inputs!$B$6*(1+sincr)^T1,0)</f>
        <v>0</v>
      </c>
      <c r="V5" s="8">
        <f>IF(AND(Inputs!$B$19&gt;V3,$B$3&gt;V3),Inputs!$B$6*(1+sincr)^U1,0)</f>
        <v>0</v>
      </c>
      <c r="W5" s="8">
        <f>IF(AND(Inputs!$B$19&gt;W3,$B$3&gt;W3),Inputs!$B$6*(1+sincr)^V1,0)</f>
        <v>0</v>
      </c>
      <c r="X5" s="8">
        <f>IF(AND(Inputs!$B$19&gt;X3,$B$3&gt;X3),Inputs!$B$6*(1+sincr)^W1,0)</f>
        <v>0</v>
      </c>
      <c r="Y5" s="8">
        <f>IF(AND(Inputs!$B$19&gt;Y3,$B$3&gt;Y3),Inputs!$B$6*(1+sincr)^X1,0)</f>
        <v>0</v>
      </c>
      <c r="Z5" s="8">
        <f>IF(AND(Inputs!$B$19&gt;Z3,$B$3&gt;Z3),Inputs!$B$6*(1+sincr)^Y1,0)</f>
        <v>0</v>
      </c>
      <c r="AA5" s="8">
        <f>IF(AND(Inputs!$B$19&gt;AA3,$B$3&gt;AA3),Inputs!$B$6*(1+sincr)^Z1,0)</f>
        <v>0</v>
      </c>
      <c r="AB5" s="8">
        <f>IF(AND(Inputs!$B$19&gt;AB3,$B$3&gt;AB3),Inputs!$B$6*(1+sincr)^AA1,0)</f>
        <v>0</v>
      </c>
      <c r="AC5" s="8">
        <f>IF(AND(Inputs!$B$19&gt;AC3,$B$3&gt;AC3),Inputs!$B$6*(1+sincr)^AB1,0)</f>
        <v>0</v>
      </c>
      <c r="AD5" s="8">
        <f>IF(AND(Inputs!$B$19&gt;AD3,$B$3&gt;AD3),Inputs!$B$6*(1+sincr)^AC1,0)</f>
        <v>0</v>
      </c>
      <c r="AE5" s="8">
        <f>IF(AND(Inputs!$B$19&gt;AE3,$B$3&gt;AE3),Inputs!$B$6*(1+sincr)^AD1,0)</f>
        <v>0</v>
      </c>
      <c r="AF5" s="8">
        <f>IF(AND(Inputs!$B$19&gt;AF3,$B$3&gt;AF3),Inputs!$B$6*(1+sincr)^AE1,0)</f>
        <v>0</v>
      </c>
      <c r="AG5" s="8">
        <f>IF(AND(Inputs!$B$19&gt;AG3,$B$3&gt;AG3),Inputs!$B$6*(1+sincr)^AF1,0)</f>
        <v>0</v>
      </c>
      <c r="AH5" s="8">
        <f>IF(AND(Inputs!$B$19&gt;AH3,$B$3&gt;AH3),Inputs!$B$6*(1+sincr)^AG1,0)</f>
        <v>0</v>
      </c>
      <c r="AI5" s="8">
        <f>IF(AND(Inputs!$B$19&gt;AI3,$B$3&gt;AI3),Inputs!$B$6*(1+sincr)^AH1,0)</f>
        <v>0</v>
      </c>
      <c r="AJ5" s="8">
        <f>IF(AND(Inputs!$B$19&gt;AJ3,$B$3&gt;AJ3),Inputs!$B$6*(1+sincr)^AI1,0)</f>
        <v>0</v>
      </c>
      <c r="AK5" s="8">
        <f>IF(AND(Inputs!$B$19&gt;AK3,$B$3&gt;AK3),Inputs!$B$6*(1+sincr)^AJ1,0)</f>
        <v>0</v>
      </c>
      <c r="AL5" s="8">
        <f>IF(AND(Inputs!$B$19&gt;AL3,$B$3&gt;AL3),Inputs!$B$6*(1+sincr)^AK1,0)</f>
        <v>0</v>
      </c>
      <c r="AM5" s="8">
        <f>IF(AND(Inputs!$B$19&gt;AM3,$B$3&gt;AM3),Inputs!$B$6*(1+sincr)^AL1,0)</f>
        <v>0</v>
      </c>
    </row>
    <row r="6" spans="1:39" x14ac:dyDescent="0.2">
      <c r="A6" s="5" t="s">
        <v>14</v>
      </c>
      <c r="B6" s="9"/>
      <c r="C6" s="8">
        <f>IF(C$3&lt;=Inputs!$B$71,Inputs!$B$70,0)*(1+inf)^B$1</f>
        <v>2000</v>
      </c>
      <c r="D6" s="8">
        <f>IF(D$3&lt;=Inputs!$B$71,Inputs!$B$70,0)*(1+inf)^C$1</f>
        <v>2050</v>
      </c>
      <c r="E6" s="8">
        <f>IF(E$3&lt;=Inputs!$B$71,Inputs!$B$70,0)*(1+inf)^D$1</f>
        <v>2101.25</v>
      </c>
      <c r="F6" s="8">
        <f>IF(F$3&lt;=Inputs!$B$71,Inputs!$B$70,0)*(1+inf)^E$1</f>
        <v>2153.7812499999995</v>
      </c>
      <c r="G6" s="8">
        <f>IF(G$3&lt;=Inputs!$B$71,Inputs!$B$70,0)*(1+inf)^F$1</f>
        <v>2207.6257812499994</v>
      </c>
      <c r="H6" s="8">
        <f>IF(H$3&lt;=Inputs!$B$71,Inputs!$B$70,0)*(1+inf)^G$1</f>
        <v>2262.8164257812491</v>
      </c>
      <c r="I6" s="8">
        <f>IF(I$3&lt;=Inputs!$B$71,Inputs!$B$70,0)*(1+inf)^H$1</f>
        <v>2319.3868364257805</v>
      </c>
      <c r="J6" s="8">
        <f>IF(J$3&lt;=Inputs!$B$71,Inputs!$B$70,0)*(1+inf)^I$1</f>
        <v>2377.3715073364251</v>
      </c>
      <c r="K6" s="8">
        <f>IF(K$3&lt;=Inputs!$B$71,Inputs!$B$70,0)*(1+inf)^J$1</f>
        <v>2436.8057950198354</v>
      </c>
      <c r="L6" s="8">
        <f>IF(L$3&lt;=Inputs!$B$71,Inputs!$B$70,0)*(1+inf)^K$1</f>
        <v>2497.7259398953311</v>
      </c>
      <c r="M6" s="8">
        <f>IF(M$3&lt;=Inputs!$B$71,Inputs!$B$70,0)*(1+inf)^L$1</f>
        <v>0</v>
      </c>
      <c r="N6" s="8">
        <f>IF(N$3&lt;=Inputs!$B$71,Inputs!$B$70,0)*(1+inf)^M$1</f>
        <v>0</v>
      </c>
      <c r="O6" s="8">
        <f>IF(O$3&lt;=Inputs!$B$71,Inputs!$B$70,0)*(1+inf)^N$1</f>
        <v>0</v>
      </c>
      <c r="P6" s="8">
        <f>IF(P$3&lt;=Inputs!$B$71,Inputs!$B$70,0)*(1+inf)^O$1</f>
        <v>0</v>
      </c>
      <c r="Q6" s="8">
        <f>IF(Q$3&lt;=Inputs!$B$71,Inputs!$B$70,0)*(1+inf)^P$1</f>
        <v>0</v>
      </c>
      <c r="R6" s="8">
        <f>IF(R$3&lt;=Inputs!$B$71,Inputs!$B$70,0)*(1+inf)^Q$1</f>
        <v>0</v>
      </c>
      <c r="S6" s="8">
        <f>IF(S$3&lt;=Inputs!$B$71,Inputs!$B$70,0)*(1+inf)^R$1</f>
        <v>0</v>
      </c>
      <c r="T6" s="8">
        <f>IF(T$3&lt;=Inputs!$B$71,Inputs!$B$70,0)*(1+inf)^S$1</f>
        <v>0</v>
      </c>
      <c r="U6" s="8">
        <f>IF(U$3&lt;=Inputs!$B$71,Inputs!$B$70,0)*(1+inf)^T$1</f>
        <v>0</v>
      </c>
      <c r="V6" s="8">
        <f>IF(V$3&lt;=Inputs!$B$71,Inputs!$B$70,0)*(1+inf)^U$1</f>
        <v>0</v>
      </c>
      <c r="W6" s="8">
        <f>IF(W$3&lt;=Inputs!$B$71,Inputs!$B$70,0)*(1+inf)^V$1</f>
        <v>0</v>
      </c>
      <c r="X6" s="8">
        <f>IF(X$3&lt;=Inputs!$B$71,Inputs!$B$70,0)*(1+inf)^W$1</f>
        <v>0</v>
      </c>
      <c r="Y6" s="8">
        <f>IF(Y$3&lt;=Inputs!$B$71,Inputs!$B$70,0)*(1+inf)^X$1</f>
        <v>0</v>
      </c>
      <c r="Z6" s="8">
        <f>IF(Z$3&lt;=Inputs!$B$71,Inputs!$B$70,0)*(1+inf)^Y$1</f>
        <v>0</v>
      </c>
      <c r="AA6" s="8">
        <f>IF(AA$3&lt;=Inputs!$B$71,Inputs!$B$70,0)*(1+inf)^Z$1</f>
        <v>0</v>
      </c>
      <c r="AB6" s="8">
        <f>IF(AB$3&lt;=Inputs!$B$71,Inputs!$B$70,0)*(1+inf)^AA$1</f>
        <v>0</v>
      </c>
      <c r="AC6" s="8">
        <f>IF(AC$3&lt;=Inputs!$B$71,Inputs!$B$70,0)*(1+inf)^AB$1</f>
        <v>0</v>
      </c>
      <c r="AD6" s="8">
        <f>IF(AD$3&lt;=Inputs!$B$71,Inputs!$B$70,0)*(1+inf)^AC$1</f>
        <v>0</v>
      </c>
      <c r="AE6" s="8">
        <f>IF(AE$3&lt;=Inputs!$B$71,Inputs!$B$70,0)*(1+inf)^AD$1</f>
        <v>0</v>
      </c>
      <c r="AF6" s="8">
        <f>IF(AF$3&lt;=Inputs!$B$71,Inputs!$B$70,0)*(1+inf)^AE$1</f>
        <v>0</v>
      </c>
      <c r="AG6" s="8">
        <f>IF(AG$3&lt;=Inputs!$B$71,Inputs!$B$70,0)*(1+inf)^AF$1</f>
        <v>0</v>
      </c>
      <c r="AH6" s="8">
        <f>IF(AH$3&lt;=Inputs!$B$71,Inputs!$B$70,0)*(1+inf)^AG$1</f>
        <v>0</v>
      </c>
      <c r="AI6" s="8">
        <f>IF(AI$3&lt;=Inputs!$B$71,Inputs!$B$70,0)*(1+inf)^AH$1</f>
        <v>0</v>
      </c>
      <c r="AJ6" s="8">
        <f>IF(AJ$3&lt;=Inputs!$B$71,Inputs!$B$70,0)*(1+inf)^AI$1</f>
        <v>0</v>
      </c>
      <c r="AK6" s="8">
        <f>IF(AK$3&lt;=Inputs!$B$71,Inputs!$B$70,0)*(1+inf)^AJ$1</f>
        <v>0</v>
      </c>
      <c r="AL6" s="8">
        <f>IF(AL$3&lt;=Inputs!$B$71,Inputs!$B$70,0)*(1+inf)^AK$1</f>
        <v>0</v>
      </c>
      <c r="AM6" s="8">
        <f>IF(AM$3&lt;=Inputs!$B$71,Inputs!$B$70,0)*(1+inf)^AL$1</f>
        <v>0</v>
      </c>
    </row>
    <row r="7" spans="1:39" x14ac:dyDescent="0.2">
      <c r="A7" s="5" t="s">
        <v>79</v>
      </c>
      <c r="B7" s="9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</row>
    <row r="8" spans="1:39" x14ac:dyDescent="0.2">
      <c r="A8" s="4" t="str">
        <f>TEXT(Inputs!$B$50,"")</f>
        <v>Sliema</v>
      </c>
      <c r="C8" s="8">
        <f>Inputs!B66</f>
        <v>12000</v>
      </c>
      <c r="D8" s="8">
        <f t="shared" ref="D8:AM10" si="32">C8*(1+rinc)</f>
        <v>12360</v>
      </c>
      <c r="E8" s="8">
        <f t="shared" si="32"/>
        <v>12730.800000000001</v>
      </c>
      <c r="F8" s="8">
        <f t="shared" si="32"/>
        <v>13112.724000000002</v>
      </c>
      <c r="G8" s="8">
        <f t="shared" si="32"/>
        <v>13506.105720000003</v>
      </c>
      <c r="H8" s="8">
        <f t="shared" si="32"/>
        <v>13911.288891600003</v>
      </c>
      <c r="I8" s="8">
        <f t="shared" ref="I8:I10" si="33">H8*(1+rinc)</f>
        <v>14328.627558348004</v>
      </c>
      <c r="J8" s="8">
        <f t="shared" ref="J8:J10" si="34">I8*(1+rinc)</f>
        <v>14758.486385098444</v>
      </c>
      <c r="K8" s="8">
        <f t="shared" ref="K8:K10" si="35">J8*(1+rinc)</f>
        <v>15201.240976651397</v>
      </c>
      <c r="L8" s="8">
        <f t="shared" ref="L8:L10" si="36">K8*(1+rinc)</f>
        <v>15657.278205950939</v>
      </c>
      <c r="M8" s="8">
        <f t="shared" ref="M8:M10" si="37">L8*(1+rinc)</f>
        <v>16126.996552129467</v>
      </c>
      <c r="N8" s="8">
        <f t="shared" ref="N8:N10" si="38">M8*(1+rinc)</f>
        <v>16610.806448693351</v>
      </c>
      <c r="O8" s="8">
        <f t="shared" ref="O8:O10" si="39">N8*(1+rinc)</f>
        <v>17109.130642154152</v>
      </c>
      <c r="P8" s="8">
        <f t="shared" ref="P8:P10" si="40">O8*(1+rinc)</f>
        <v>17622.404561418778</v>
      </c>
      <c r="Q8" s="8">
        <f t="shared" ref="Q8:Q10" si="41">P8*(1+rinc)</f>
        <v>18151.076698261342</v>
      </c>
      <c r="R8" s="8">
        <f t="shared" ref="R8:R10" si="42">Q8*(1+rinc)</f>
        <v>18695.608999209184</v>
      </c>
      <c r="S8" s="8">
        <f t="shared" ref="S8:S10" si="43">R8*(1+rinc)</f>
        <v>19256.47726918546</v>
      </c>
      <c r="T8" s="8">
        <f t="shared" ref="T8:T10" si="44">S8*(1+rinc)</f>
        <v>19834.171587261026</v>
      </c>
      <c r="U8" s="8">
        <f t="shared" ref="U8:U10" si="45">T8*(1+rinc)</f>
        <v>20429.196734878857</v>
      </c>
      <c r="V8" s="8">
        <f t="shared" ref="V8:V10" si="46">U8*(1+rinc)</f>
        <v>21042.072636925222</v>
      </c>
      <c r="W8" s="8">
        <f t="shared" ref="W8:W10" si="47">V8*(1+rinc)</f>
        <v>21673.334816032981</v>
      </c>
      <c r="X8" s="8">
        <f t="shared" ref="X8:X10" si="48">W8*(1+rinc)</f>
        <v>22323.53486051397</v>
      </c>
      <c r="Y8" s="8">
        <f t="shared" ref="Y8:Y10" si="49">X8*(1+rinc)</f>
        <v>22993.240906329389</v>
      </c>
      <c r="Z8" s="8">
        <f t="shared" ref="Z8:Z10" si="50">Y8*(1+rinc)</f>
        <v>23683.038133519272</v>
      </c>
      <c r="AA8" s="8">
        <f t="shared" ref="AA8:AA10" si="51">Z8*(1+rinc)</f>
        <v>24393.529277524853</v>
      </c>
      <c r="AB8" s="8">
        <f t="shared" ref="AB8:AB10" si="52">AA8*(1+rinc)</f>
        <v>25125.3351558506</v>
      </c>
      <c r="AC8" s="8">
        <f t="shared" ref="AC8:AC10" si="53">AB8*(1+rinc)</f>
        <v>25879.09521052612</v>
      </c>
      <c r="AD8" s="8">
        <f t="shared" ref="AD8:AD10" si="54">AC8*(1+rinc)</f>
        <v>26655.468066841906</v>
      </c>
      <c r="AE8" s="8">
        <f t="shared" ref="AE8:AE10" si="55">AD8*(1+rinc)</f>
        <v>27455.132108847163</v>
      </c>
      <c r="AF8" s="8">
        <f t="shared" ref="AF8:AF10" si="56">AE8*(1+rinc)</f>
        <v>28278.78607211258</v>
      </c>
      <c r="AG8" s="8">
        <f t="shared" ref="AG8:AG10" si="57">AF8*(1+rinc)</f>
        <v>29127.14965427596</v>
      </c>
      <c r="AH8" s="8">
        <f t="shared" ref="AH8:AH10" si="58">AG8*(1+rinc)</f>
        <v>30000.964143904239</v>
      </c>
      <c r="AI8" s="8">
        <f t="shared" ref="AI8:AI10" si="59">AH8*(1+rinc)</f>
        <v>30900.993068221367</v>
      </c>
      <c r="AJ8" s="8">
        <f t="shared" ref="AJ8:AJ10" si="60">AI8*(1+rinc)</f>
        <v>31828.022860268007</v>
      </c>
      <c r="AK8" s="8">
        <f t="shared" ref="AK8:AK10" si="61">AJ8*(1+rinc)</f>
        <v>32782.863546076049</v>
      </c>
      <c r="AL8" s="8">
        <f t="shared" ref="AL8:AL10" si="62">AK8*(1+rinc)</f>
        <v>33766.349452458329</v>
      </c>
      <c r="AM8" s="8">
        <f t="shared" ref="AM8:AM10" si="63">AL8*(1+rinc)</f>
        <v>34779.339936032084</v>
      </c>
    </row>
    <row r="9" spans="1:39" x14ac:dyDescent="0.2">
      <c r="A9" s="4" t="str">
        <f>TEXT(Inputs!$B$55,"")</f>
        <v>Gzira</v>
      </c>
      <c r="C9" s="8">
        <f>Inputs!B67</f>
        <v>10000</v>
      </c>
      <c r="D9" s="8">
        <f t="shared" si="32"/>
        <v>10300</v>
      </c>
      <c r="E9" s="8">
        <f t="shared" si="32"/>
        <v>10609</v>
      </c>
      <c r="F9" s="8">
        <f t="shared" si="32"/>
        <v>10927.27</v>
      </c>
      <c r="G9" s="8">
        <f t="shared" si="32"/>
        <v>11255.088100000001</v>
      </c>
      <c r="H9" s="8">
        <f t="shared" si="32"/>
        <v>11592.740743</v>
      </c>
      <c r="I9" s="8">
        <f t="shared" si="33"/>
        <v>11940.52296529</v>
      </c>
      <c r="J9" s="8">
        <f t="shared" si="34"/>
        <v>12298.7386542487</v>
      </c>
      <c r="K9" s="8">
        <f t="shared" si="35"/>
        <v>12667.700813876161</v>
      </c>
      <c r="L9" s="8">
        <f t="shared" si="36"/>
        <v>13047.731838292446</v>
      </c>
      <c r="M9" s="8">
        <f t="shared" si="37"/>
        <v>13439.163793441219</v>
      </c>
      <c r="N9" s="8">
        <f t="shared" si="38"/>
        <v>13842.338707244457</v>
      </c>
      <c r="O9" s="8">
        <f t="shared" si="39"/>
        <v>14257.60886846179</v>
      </c>
      <c r="P9" s="8">
        <f t="shared" si="40"/>
        <v>14685.337134515645</v>
      </c>
      <c r="Q9" s="8">
        <f t="shared" si="41"/>
        <v>15125.897248551115</v>
      </c>
      <c r="R9" s="8">
        <f t="shared" si="42"/>
        <v>15579.67416600765</v>
      </c>
      <c r="S9" s="8">
        <f t="shared" si="43"/>
        <v>16047.06439098788</v>
      </c>
      <c r="T9" s="8">
        <f t="shared" si="44"/>
        <v>16528.476322717517</v>
      </c>
      <c r="U9" s="8">
        <f t="shared" si="45"/>
        <v>17024.330612399044</v>
      </c>
      <c r="V9" s="8">
        <f t="shared" si="46"/>
        <v>17535.060530771018</v>
      </c>
      <c r="W9" s="8">
        <f t="shared" si="47"/>
        <v>18061.11234669415</v>
      </c>
      <c r="X9" s="8">
        <f t="shared" si="48"/>
        <v>18602.945717094975</v>
      </c>
      <c r="Y9" s="8">
        <f t="shared" si="49"/>
        <v>19161.034088607827</v>
      </c>
      <c r="Z9" s="8">
        <f t="shared" si="50"/>
        <v>19735.865111266063</v>
      </c>
      <c r="AA9" s="8">
        <f t="shared" si="51"/>
        <v>20327.941064604045</v>
      </c>
      <c r="AB9" s="8">
        <f t="shared" si="52"/>
        <v>20937.779296542169</v>
      </c>
      <c r="AC9" s="8">
        <f t="shared" si="53"/>
        <v>21565.912675438434</v>
      </c>
      <c r="AD9" s="8">
        <f t="shared" si="54"/>
        <v>22212.890055701588</v>
      </c>
      <c r="AE9" s="8">
        <f t="shared" si="55"/>
        <v>22879.276757372634</v>
      </c>
      <c r="AF9" s="8">
        <f t="shared" si="56"/>
        <v>23565.655060093814</v>
      </c>
      <c r="AG9" s="8">
        <f t="shared" si="57"/>
        <v>24272.624711896628</v>
      </c>
      <c r="AH9" s="8">
        <f t="shared" si="58"/>
        <v>25000.803453253528</v>
      </c>
      <c r="AI9" s="8">
        <f t="shared" si="59"/>
        <v>25750.827556851134</v>
      </c>
      <c r="AJ9" s="8">
        <f t="shared" si="60"/>
        <v>26523.35238355667</v>
      </c>
      <c r="AK9" s="8">
        <f t="shared" si="61"/>
        <v>27319.052955063373</v>
      </c>
      <c r="AL9" s="8">
        <f t="shared" si="62"/>
        <v>28138.624543715276</v>
      </c>
      <c r="AM9" s="8">
        <f t="shared" si="63"/>
        <v>28982.783280026735</v>
      </c>
    </row>
    <row r="10" spans="1:39" x14ac:dyDescent="0.2">
      <c r="A10" s="4" t="str">
        <f>TEXT(Inputs!$B$60,"")</f>
        <v>Qormi</v>
      </c>
      <c r="C10" s="8">
        <f>Inputs!B68</f>
        <v>8000</v>
      </c>
      <c r="D10" s="8">
        <f t="shared" si="32"/>
        <v>8240</v>
      </c>
      <c r="E10" s="8">
        <f t="shared" si="32"/>
        <v>8487.2000000000007</v>
      </c>
      <c r="F10" s="8">
        <f t="shared" si="32"/>
        <v>8741.8160000000007</v>
      </c>
      <c r="G10" s="8">
        <f t="shared" si="32"/>
        <v>9004.0704800000003</v>
      </c>
      <c r="H10" s="8">
        <f t="shared" si="32"/>
        <v>9274.1925944000013</v>
      </c>
      <c r="I10" s="8">
        <f t="shared" si="33"/>
        <v>9552.4183722320013</v>
      </c>
      <c r="J10" s="8">
        <f t="shared" si="34"/>
        <v>9838.990923398962</v>
      </c>
      <c r="K10" s="8">
        <f t="shared" si="35"/>
        <v>10134.16065110093</v>
      </c>
      <c r="L10" s="8">
        <f t="shared" si="36"/>
        <v>10438.185470633958</v>
      </c>
      <c r="M10" s="8">
        <f t="shared" si="37"/>
        <v>10751.331034752977</v>
      </c>
      <c r="N10" s="8">
        <f t="shared" si="38"/>
        <v>11073.870965795566</v>
      </c>
      <c r="O10" s="8">
        <f t="shared" si="39"/>
        <v>11406.087094769433</v>
      </c>
      <c r="P10" s="8">
        <f t="shared" si="40"/>
        <v>11748.269707612517</v>
      </c>
      <c r="Q10" s="8">
        <f t="shared" si="41"/>
        <v>12100.717798840893</v>
      </c>
      <c r="R10" s="8">
        <f t="shared" si="42"/>
        <v>12463.739332806121</v>
      </c>
      <c r="S10" s="8">
        <f t="shared" si="43"/>
        <v>12837.651512790304</v>
      </c>
      <c r="T10" s="8">
        <f t="shared" si="44"/>
        <v>13222.781058174014</v>
      </c>
      <c r="U10" s="8">
        <f t="shared" si="45"/>
        <v>13619.464489919235</v>
      </c>
      <c r="V10" s="8">
        <f t="shared" si="46"/>
        <v>14028.048424616813</v>
      </c>
      <c r="W10" s="8">
        <f t="shared" si="47"/>
        <v>14448.889877355317</v>
      </c>
      <c r="X10" s="8">
        <f t="shared" si="48"/>
        <v>14882.356573675977</v>
      </c>
      <c r="Y10" s="8">
        <f t="shared" si="49"/>
        <v>15328.827270886257</v>
      </c>
      <c r="Z10" s="8">
        <f t="shared" si="50"/>
        <v>15788.692089012846</v>
      </c>
      <c r="AA10" s="8">
        <f t="shared" si="51"/>
        <v>16262.352851683232</v>
      </c>
      <c r="AB10" s="8">
        <f t="shared" si="52"/>
        <v>16750.22343723373</v>
      </c>
      <c r="AC10" s="8">
        <f t="shared" si="53"/>
        <v>17252.730140350741</v>
      </c>
      <c r="AD10" s="8">
        <f t="shared" si="54"/>
        <v>17770.312044561262</v>
      </c>
      <c r="AE10" s="8">
        <f t="shared" si="55"/>
        <v>18303.421405898102</v>
      </c>
      <c r="AF10" s="8">
        <f t="shared" si="56"/>
        <v>18852.524048075044</v>
      </c>
      <c r="AG10" s="8">
        <f t="shared" si="57"/>
        <v>19418.099769517295</v>
      </c>
      <c r="AH10" s="8">
        <f t="shared" si="58"/>
        <v>20000.642762602816</v>
      </c>
      <c r="AI10" s="8">
        <f t="shared" si="59"/>
        <v>20600.662045480902</v>
      </c>
      <c r="AJ10" s="8">
        <f t="shared" si="60"/>
        <v>21218.68190684533</v>
      </c>
      <c r="AK10" s="8">
        <f t="shared" si="61"/>
        <v>21855.24236405069</v>
      </c>
      <c r="AL10" s="8">
        <f t="shared" si="62"/>
        <v>22510.899634972211</v>
      </c>
      <c r="AM10" s="8">
        <f t="shared" si="63"/>
        <v>23186.226624021379</v>
      </c>
    </row>
    <row r="11" spans="1:39" x14ac:dyDescent="0.2">
      <c r="A11" s="5" t="s">
        <v>89</v>
      </c>
      <c r="B11" s="9"/>
      <c r="C11" s="8">
        <f>IF(C$3&lt;Inputs!$B$19,0,Inputs!$B$21)*(1+inf)^B$1</f>
        <v>0</v>
      </c>
      <c r="D11" s="8">
        <f>IF(D$3&lt;Inputs!$B$19,0,Inputs!$B$21)*(1+inf)^C$1</f>
        <v>0</v>
      </c>
      <c r="E11" s="8">
        <f>IF(E$3&lt;Inputs!$B$19,0,Inputs!$B$21)*(1+inf)^D$1</f>
        <v>0</v>
      </c>
      <c r="F11" s="8">
        <f>IF(F$3&lt;Inputs!$B$19,0,Inputs!$B$21)*(1+inf)^E$1</f>
        <v>0</v>
      </c>
      <c r="G11" s="8">
        <f>IF(G$3&lt;Inputs!$B$19,0,Inputs!$B$21)*(1+inf)^F$1</f>
        <v>0</v>
      </c>
      <c r="H11" s="8">
        <f>IF(H$3&lt;Inputs!$B$19,0,Inputs!$B$21)*(1+inf)^G$1</f>
        <v>0</v>
      </c>
      <c r="I11" s="8">
        <f>IF(I$3&lt;Inputs!$B$19,0,Inputs!$B$21)*(1+inf)^H$1</f>
        <v>0</v>
      </c>
      <c r="J11" s="8">
        <f>IF(J$3&lt;Inputs!$B$19,0,Inputs!$B$21)*(1+inf)^I$1</f>
        <v>0</v>
      </c>
      <c r="K11" s="8">
        <f>IF(K$3&lt;Inputs!$B$19,0,Inputs!$B$21)*(1+inf)^J$1</f>
        <v>0</v>
      </c>
      <c r="L11" s="8">
        <f>IF(L$3&lt;Inputs!$B$19,0,Inputs!$B$21)*(1+inf)^K$1</f>
        <v>0</v>
      </c>
      <c r="M11" s="8">
        <f>IF(M$3&lt;Inputs!$B$19,0,Inputs!$B$21)*(1+inf)^L$1</f>
        <v>0</v>
      </c>
      <c r="N11" s="8">
        <f>IF(N$3&lt;Inputs!$B$19,0,Inputs!$B$21)*(1+inf)^M$1</f>
        <v>0</v>
      </c>
      <c r="O11" s="8">
        <f>IF(O$3&lt;Inputs!$B$19,0,Inputs!$B$21)*(1+inf)^N$1</f>
        <v>0</v>
      </c>
      <c r="P11" s="8">
        <f>IF(P$3&lt;Inputs!$B$19,0,Inputs!$B$21)*(1+inf)^O$1</f>
        <v>0</v>
      </c>
      <c r="Q11" s="8">
        <f>IF(Q$3&lt;Inputs!$B$19,0,Inputs!$B$21)*(1+inf)^P$1</f>
        <v>0</v>
      </c>
      <c r="R11" s="8">
        <f>IF(R$3&lt;Inputs!$B$19,0,Inputs!$B$21)*(1+inf)^Q$1</f>
        <v>0</v>
      </c>
      <c r="S11" s="8">
        <f>IF(S$3&lt;Inputs!$B$19,0,Inputs!$B$21)*(1+inf)^R$1</f>
        <v>23752.089930569011</v>
      </c>
      <c r="T11" s="8">
        <f>IF(T$3&lt;Inputs!$B$19,0,Inputs!$B$21)*(1+inf)^S$1</f>
        <v>24345.892178833234</v>
      </c>
      <c r="U11" s="8">
        <f>IF(U$3&lt;Inputs!$B$19,0,Inputs!$B$21)*(1+inf)^T$1</f>
        <v>24954.539483304063</v>
      </c>
      <c r="V11" s="8">
        <f>IF(V$3&lt;Inputs!$B$19,0,Inputs!$B$21)*(1+inf)^U$1</f>
        <v>25578.402970386665</v>
      </c>
      <c r="W11" s="8">
        <f>IF(W$3&lt;Inputs!$B$19,0,Inputs!$B$21)*(1+inf)^V$1</f>
        <v>26217.863044646328</v>
      </c>
      <c r="X11" s="8">
        <f>IF(X$3&lt;Inputs!$B$19,0,Inputs!$B$21)*(1+inf)^W$1</f>
        <v>26873.309620762484</v>
      </c>
      <c r="Y11" s="8">
        <f>IF(Y$3&lt;Inputs!$B$19,0,Inputs!$B$21)*(1+inf)^X$1</f>
        <v>27545.142361281545</v>
      </c>
      <c r="Z11" s="8">
        <f>IF(Z$3&lt;Inputs!$B$19,0,Inputs!$B$21)*(1+inf)^Y$1</f>
        <v>28233.770920313586</v>
      </c>
      <c r="AA11" s="8">
        <f>IF(AA$3&lt;Inputs!$B$19,0,Inputs!$B$21)*(1+inf)^Z$1</f>
        <v>28939.615193321424</v>
      </c>
      <c r="AB11" s="8">
        <f>IF(AB$3&lt;Inputs!$B$19,0,Inputs!$B$21)*(1+inf)^AA$1</f>
        <v>29663.105573154455</v>
      </c>
      <c r="AC11" s="8">
        <f>IF(AC$3&lt;Inputs!$B$19,0,Inputs!$B$21)*(1+inf)^AB$1</f>
        <v>30404.683212483313</v>
      </c>
      <c r="AD11" s="8">
        <f>IF(AD$3&lt;Inputs!$B$19,0,Inputs!$B$21)*(1+inf)^AC$1</f>
        <v>31164.800292795393</v>
      </c>
      <c r="AE11" s="8">
        <f>IF(AE$3&lt;Inputs!$B$19,0,Inputs!$B$21)*(1+inf)^AD$1</f>
        <v>31943.920300115278</v>
      </c>
      <c r="AF11" s="8">
        <f>IF(AF$3&lt;Inputs!$B$19,0,Inputs!$B$21)*(1+inf)^AE$1</f>
        <v>32742.518307618164</v>
      </c>
      <c r="AG11" s="8">
        <f>IF(AG$3&lt;Inputs!$B$19,0,Inputs!$B$21)*(1+inf)^AF$1</f>
        <v>33561.08126530861</v>
      </c>
      <c r="AH11" s="8">
        <f>IF(AH$3&lt;Inputs!$B$19,0,Inputs!$B$21)*(1+inf)^AG$1</f>
        <v>34400.108296941333</v>
      </c>
      <c r="AI11" s="8">
        <f>IF(AI$3&lt;Inputs!$B$19,0,Inputs!$B$21)*(1+inf)^AH$1</f>
        <v>35260.111004364859</v>
      </c>
      <c r="AJ11" s="8">
        <f>IF(AJ$3&lt;Inputs!$B$19,0,Inputs!$B$21)*(1+inf)^AI$1</f>
        <v>36141.613779473977</v>
      </c>
      <c r="AK11" s="8">
        <f>IF(AK$3&lt;Inputs!$B$19,0,Inputs!$B$21)*(1+inf)^AJ$1</f>
        <v>37045.154123960827</v>
      </c>
      <c r="AL11" s="8">
        <f>IF(AL$3&lt;Inputs!$B$19,0,Inputs!$B$21)*(1+inf)^AK$1</f>
        <v>37971.28297705984</v>
      </c>
      <c r="AM11" s="8">
        <f>IF(AM$3&lt;Inputs!$B$19,0,Inputs!$B$21)*(1+inf)^AL$1</f>
        <v>38920.565051486345</v>
      </c>
    </row>
    <row r="12" spans="1:39" x14ac:dyDescent="0.2">
      <c r="A12" s="5" t="s">
        <v>90</v>
      </c>
      <c r="B12" s="9"/>
      <c r="C12" s="8">
        <f>MIN(0,MAX(-IF(C11=0,0,(Inputs!$B$19-INDEX(3:3,MATCH(0,5:5,0))))*Inputs!$B$157*(1+inf)^B$1,-C11))</f>
        <v>0</v>
      </c>
      <c r="D12" s="8">
        <f>MIN(0,MAX(-IF(D11=0,0,(Inputs!$B$19-INDEX(3:3,MATCH(0,5:5,0))))*Inputs!$B$157*(1+inf)^C$1,-D11))</f>
        <v>0</v>
      </c>
      <c r="E12" s="8">
        <f>MIN(0,MAX(-IF(E11=0,0,(Inputs!$B$19-INDEX(3:3,MATCH(0,5:5,0))))*Inputs!$B$157*(1+inf)^D$1,-E11))</f>
        <v>0</v>
      </c>
      <c r="F12" s="8">
        <f>MIN(0,MAX(-IF(F11=0,0,(Inputs!$B$19-INDEX(3:3,MATCH(0,5:5,0))))*Inputs!$B$157*(1+inf)^E$1,-F11))</f>
        <v>0</v>
      </c>
      <c r="G12" s="8">
        <f>MIN(0,MAX(-IF(G11=0,0,(Inputs!$B$19-INDEX(3:3,MATCH(0,5:5,0))))*Inputs!$B$157*(1+inf)^F$1,-G11))</f>
        <v>0</v>
      </c>
      <c r="H12" s="8">
        <f>MIN(0,MAX(-IF(H11=0,0,(Inputs!$B$19-INDEX(3:3,MATCH(0,5:5,0))))*Inputs!$B$157*(1+inf)^G$1,-H11))</f>
        <v>0</v>
      </c>
      <c r="I12" s="8">
        <f>MIN(0,MAX(-IF(I11=0,0,(Inputs!$B$19-INDEX(3:3,MATCH(0,5:5,0))))*Inputs!$B$157*(1+inf)^H$1,-I11))</f>
        <v>0</v>
      </c>
      <c r="J12" s="8">
        <f>MIN(0,MAX(-IF(J11=0,0,(Inputs!$B$19-INDEX(3:3,MATCH(0,5:5,0))))*Inputs!$B$157*(1+inf)^I$1,-J11))</f>
        <v>0</v>
      </c>
      <c r="K12" s="8">
        <f>MIN(0,MAX(-IF(K11=0,0,(Inputs!$B$19-INDEX(3:3,MATCH(0,5:5,0))))*Inputs!$B$157*(1+inf)^J$1,-K11))</f>
        <v>0</v>
      </c>
      <c r="L12" s="8">
        <f>MIN(0,MAX(-IF(L11=0,0,(Inputs!$B$19-INDEX(3:3,MATCH(0,5:5,0))))*Inputs!$B$157*(1+inf)^K$1,-L11))</f>
        <v>0</v>
      </c>
      <c r="M12" s="8">
        <f>MIN(0,MAX(-IF(M11=0,0,(Inputs!$B$19-INDEX(3:3,MATCH(0,5:5,0))))*Inputs!$B$157*(1+inf)^L$1,-M11))</f>
        <v>0</v>
      </c>
      <c r="N12" s="8">
        <f>MIN(0,MAX(-IF(N11=0,0,(Inputs!$B$19-INDEX(3:3,MATCH(0,5:5,0))))*Inputs!$B$157*(1+inf)^M$1,-N11))</f>
        <v>0</v>
      </c>
      <c r="O12" s="8">
        <f>MIN(0,MAX(-IF(O11=0,0,(Inputs!$B$19-INDEX(3:3,MATCH(0,5:5,0))))*Inputs!$B$157*(1+inf)^N$1,-O11))</f>
        <v>0</v>
      </c>
      <c r="P12" s="8">
        <f>MIN(0,MAX(-IF(P11=0,0,(Inputs!$B$19-INDEX(3:3,MATCH(0,5:5,0))))*Inputs!$B$157*(1+inf)^O$1,-P11))</f>
        <v>0</v>
      </c>
      <c r="Q12" s="8">
        <f>MIN(0,MAX(-IF(Q11=0,0,(Inputs!$B$19-INDEX(3:3,MATCH(0,5:5,0))))*Inputs!$B$157*(1+inf)^P$1,-Q11))</f>
        <v>0</v>
      </c>
      <c r="R12" s="8">
        <f>MIN(0,MAX(-IF(R11=0,0,(Inputs!$B$19-INDEX(3:3,MATCH(0,5:5,0))))*Inputs!$B$157*(1+inf)^Q$1,-R11))</f>
        <v>0</v>
      </c>
      <c r="S12" s="8">
        <f>MIN(0,MAX(-IF(S11=0,0,(Inputs!$B$19-INDEX(3:3,MATCH(0,5:5,0))))*Inputs!$B$157*(1+inf)^R$1,-S11))</f>
        <v>-4453.5168619816895</v>
      </c>
      <c r="T12" s="8">
        <f>MIN(0,MAX(-IF(T11=0,0,(Inputs!$B$19-INDEX(3:3,MATCH(0,5:5,0))))*Inputs!$B$157*(1+inf)^S$1,-T11))</f>
        <v>-4564.8547835312311</v>
      </c>
      <c r="U12" s="8">
        <f>MIN(0,MAX(-IF(U11=0,0,(Inputs!$B$19-INDEX(3:3,MATCH(0,5:5,0))))*Inputs!$B$157*(1+inf)^T$1,-U11))</f>
        <v>-4678.9761531195118</v>
      </c>
      <c r="V12" s="8">
        <f>MIN(0,MAX(-IF(V11=0,0,(Inputs!$B$19-INDEX(3:3,MATCH(0,5:5,0))))*Inputs!$B$157*(1+inf)^U$1,-V11))</f>
        <v>-4795.9505569474995</v>
      </c>
      <c r="W12" s="8">
        <f>MIN(0,MAX(-IF(W11=0,0,(Inputs!$B$19-INDEX(3:3,MATCH(0,5:5,0))))*Inputs!$B$157*(1+inf)^V$1,-W11))</f>
        <v>-4915.849320871187</v>
      </c>
      <c r="X12" s="8">
        <f>MIN(0,MAX(-IF(X11=0,0,(Inputs!$B$19-INDEX(3:3,MATCH(0,5:5,0))))*Inputs!$B$157*(1+inf)^W$1,-X11))</f>
        <v>-5038.7455538929662</v>
      </c>
      <c r="Y12" s="8">
        <f>MIN(0,MAX(-IF(Y11=0,0,(Inputs!$B$19-INDEX(3:3,MATCH(0,5:5,0))))*Inputs!$B$157*(1+inf)^X$1,-Y11))</f>
        <v>-5164.7141927402899</v>
      </c>
      <c r="Z12" s="8">
        <f>MIN(0,MAX(-IF(Z11=0,0,(Inputs!$B$19-INDEX(3:3,MATCH(0,5:5,0))))*Inputs!$B$157*(1+inf)^Y$1,-Z11))</f>
        <v>-5293.8320475587971</v>
      </c>
      <c r="AA12" s="8">
        <f>MIN(0,MAX(-IF(AA11=0,0,(Inputs!$B$19-INDEX(3:3,MATCH(0,5:5,0))))*Inputs!$B$157*(1+inf)^Z$1,-AA11))</f>
        <v>-5426.1778487477668</v>
      </c>
      <c r="AB12" s="8">
        <f>MIN(0,MAX(-IF(AB11=0,0,(Inputs!$B$19-INDEX(3:3,MATCH(0,5:5,0))))*Inputs!$B$157*(1+inf)^AA$1,-AB11))</f>
        <v>-5561.8322949664598</v>
      </c>
      <c r="AC12" s="8">
        <f>MIN(0,MAX(-IF(AC11=0,0,(Inputs!$B$19-INDEX(3:3,MATCH(0,5:5,0))))*Inputs!$B$157*(1+inf)^AB$1,-AC11))</f>
        <v>-5700.8781023406209</v>
      </c>
      <c r="AD12" s="8">
        <f>MIN(0,MAX(-IF(AD11=0,0,(Inputs!$B$19-INDEX(3:3,MATCH(0,5:5,0))))*Inputs!$B$157*(1+inf)^AC$1,-AD11))</f>
        <v>-5843.4000548991362</v>
      </c>
      <c r="AE12" s="8">
        <f>MIN(0,MAX(-IF(AE11=0,0,(Inputs!$B$19-INDEX(3:3,MATCH(0,5:5,0))))*Inputs!$B$157*(1+inf)^AD$1,-AE11))</f>
        <v>-5989.4850562716147</v>
      </c>
      <c r="AF12" s="8">
        <f>MIN(0,MAX(-IF(AF11=0,0,(Inputs!$B$19-INDEX(3:3,MATCH(0,5:5,0))))*Inputs!$B$157*(1+inf)^AE$1,-AF11))</f>
        <v>-6139.2221826784053</v>
      </c>
      <c r="AG12" s="8">
        <f>MIN(0,MAX(-IF(AG11=0,0,(Inputs!$B$19-INDEX(3:3,MATCH(0,5:5,0))))*Inputs!$B$157*(1+inf)^AF$1,-AG11))</f>
        <v>-6292.702737245364</v>
      </c>
      <c r="AH12" s="8">
        <f>MIN(0,MAX(-IF(AH11=0,0,(Inputs!$B$19-INDEX(3:3,MATCH(0,5:5,0))))*Inputs!$B$157*(1+inf)^AG$1,-AH11))</f>
        <v>-6450.0203056765004</v>
      </c>
      <c r="AI12" s="8">
        <f>MIN(0,MAX(-IF(AI11=0,0,(Inputs!$B$19-INDEX(3:3,MATCH(0,5:5,0))))*Inputs!$B$157*(1+inf)^AH$1,-AI11))</f>
        <v>-6611.2708133184115</v>
      </c>
      <c r="AJ12" s="8">
        <f>MIN(0,MAX(-IF(AJ11=0,0,(Inputs!$B$19-INDEX(3:3,MATCH(0,5:5,0))))*Inputs!$B$157*(1+inf)^AI$1,-AJ11))</f>
        <v>-6776.5525836513707</v>
      </c>
      <c r="AK12" s="8">
        <f>MIN(0,MAX(-IF(AK11=0,0,(Inputs!$B$19-INDEX(3:3,MATCH(0,5:5,0))))*Inputs!$B$157*(1+inf)^AJ$1,-AK11))</f>
        <v>-6945.9663982426555</v>
      </c>
      <c r="AL12" s="8">
        <f>MIN(0,MAX(-IF(AL11=0,0,(Inputs!$B$19-INDEX(3:3,MATCH(0,5:5,0))))*Inputs!$B$157*(1+inf)^AK$1,-AL11))</f>
        <v>-7119.6155581987205</v>
      </c>
      <c r="AM12" s="8">
        <f>MIN(0,MAX(-IF(AM11=0,0,(Inputs!$B$19-INDEX(3:3,MATCH(0,5:5,0))))*Inputs!$B$157*(1+inf)^AL$1,-AM11))</f>
        <v>-7297.6059471536892</v>
      </c>
    </row>
    <row r="13" spans="1:39" x14ac:dyDescent="0.2">
      <c r="A13" s="5" t="s">
        <v>52</v>
      </c>
      <c r="B13" s="9"/>
      <c r="C13" s="8">
        <f>IF(AND(C$3&gt;=Inputs!$B$142,C$3&lt;=Inputs!$B$143),Inputs!$B$141*(1+inf)^B$1,0)</f>
        <v>0</v>
      </c>
      <c r="D13" s="8">
        <f>IF(AND(D$3&gt;=Inputs!$B$142,D$3&lt;=Inputs!$B$143),Inputs!$B$141*(1+inf)^C$1,0)</f>
        <v>0</v>
      </c>
      <c r="E13" s="8">
        <f>IF(AND(E$3&gt;=Inputs!$B$142,E$3&lt;=Inputs!$B$143),Inputs!$B$141*(1+inf)^D$1,0)</f>
        <v>0</v>
      </c>
      <c r="F13" s="8">
        <f>IF(AND(F$3&gt;=Inputs!$B$142,F$3&lt;=Inputs!$B$143),Inputs!$B$141*(1+inf)^E$1,0)</f>
        <v>0</v>
      </c>
      <c r="G13" s="8">
        <f>IF(AND(G$3&gt;=Inputs!$B$142,G$3&lt;=Inputs!$B$143),Inputs!$B$141*(1+inf)^F$1,0)</f>
        <v>0</v>
      </c>
      <c r="H13" s="8">
        <f>IF(AND(H$3&gt;=Inputs!$B$142,H$3&lt;=Inputs!$B$143),Inputs!$B$141*(1+inf)^G$1,0)</f>
        <v>0</v>
      </c>
      <c r="I13" s="8">
        <f>IF(AND(I$3&gt;=Inputs!$B$142,I$3&lt;=Inputs!$B$143),Inputs!$B$141*(1+inf)^H$1,0)</f>
        <v>0</v>
      </c>
      <c r="J13" s="8">
        <f>IF(AND(J$3&gt;=Inputs!$B$142,J$3&lt;=Inputs!$B$143),Inputs!$B$141*(1+inf)^I$1,0)</f>
        <v>0</v>
      </c>
      <c r="K13" s="8">
        <f>IF(AND(K$3&gt;=Inputs!$B$142,K$3&lt;=Inputs!$B$143),Inputs!$B$141*(1+inf)^J$1,0)</f>
        <v>0</v>
      </c>
      <c r="L13" s="8">
        <f>IF(AND(L$3&gt;=Inputs!$B$142,L$3&lt;=Inputs!$B$143),Inputs!$B$141*(1+inf)^K$1,0)</f>
        <v>14986.355639371985</v>
      </c>
      <c r="M13" s="8">
        <f>IF(AND(M$3&gt;=Inputs!$B$142,M$3&lt;=Inputs!$B$143),Inputs!$B$141*(1+inf)^L$1,0)</f>
        <v>15361.014530356286</v>
      </c>
      <c r="N13" s="8">
        <f>IF(AND(N$3&gt;=Inputs!$B$142,N$3&lt;=Inputs!$B$143),Inputs!$B$141*(1+inf)^M$1,0)</f>
        <v>15745.039893615192</v>
      </c>
      <c r="O13" s="8">
        <f>IF(AND(O$3&gt;=Inputs!$B$142,O$3&lt;=Inputs!$B$143),Inputs!$B$141*(1+inf)^N$1,0)</f>
        <v>16138.66589095557</v>
      </c>
      <c r="P13" s="8">
        <f>IF(AND(P$3&gt;=Inputs!$B$142,P$3&lt;=Inputs!$B$143),Inputs!$B$141*(1+inf)^O$1,0)</f>
        <v>16542.13253822946</v>
      </c>
      <c r="Q13" s="8">
        <f>IF(AND(Q$3&gt;=Inputs!$B$142,Q$3&lt;=Inputs!$B$143),Inputs!$B$141*(1+inf)^P$1,0)</f>
        <v>16955.685851685193</v>
      </c>
      <c r="R13" s="8">
        <f>IF(AND(R$3&gt;=Inputs!$B$142,R$3&lt;=Inputs!$B$143),Inputs!$B$141*(1+inf)^Q$1,0)</f>
        <v>17379.577997977325</v>
      </c>
      <c r="S13" s="8">
        <f>IF(AND(S$3&gt;=Inputs!$B$142,S$3&lt;=Inputs!$B$143),Inputs!$B$141*(1+inf)^R$1,0)</f>
        <v>17814.067447926758</v>
      </c>
      <c r="T13" s="8">
        <f>IF(AND(T$3&gt;=Inputs!$B$142,T$3&lt;=Inputs!$B$143),Inputs!$B$141*(1+inf)^S$1,0)</f>
        <v>18259.419134124924</v>
      </c>
      <c r="U13" s="8">
        <f>IF(AND(U$3&gt;=Inputs!$B$142,U$3&lt;=Inputs!$B$143),Inputs!$B$141*(1+inf)^T$1,0)</f>
        <v>18715.904612478047</v>
      </c>
      <c r="V13" s="8">
        <f>IF(AND(V$3&gt;=Inputs!$B$142,V$3&lt;=Inputs!$B$143),Inputs!$B$141*(1+inf)^U$1,0)</f>
        <v>19183.802227789998</v>
      </c>
      <c r="W13" s="8">
        <f>IF(AND(W$3&gt;=Inputs!$B$142,W$3&lt;=Inputs!$B$143),Inputs!$B$141*(1+inf)^V$1,0)</f>
        <v>19663.397283484748</v>
      </c>
      <c r="X13" s="8">
        <f>IF(AND(X$3&gt;=Inputs!$B$142,X$3&lt;=Inputs!$B$143),Inputs!$B$141*(1+inf)^W$1,0)</f>
        <v>0</v>
      </c>
      <c r="Y13" s="8">
        <f>IF(AND(Y$3&gt;=Inputs!$B$142,Y$3&lt;=Inputs!$B$143),Inputs!$B$141*(1+inf)^X$1,0)</f>
        <v>0</v>
      </c>
      <c r="Z13" s="8">
        <f>IF(AND(Z$3&gt;=Inputs!$B$142,Z$3&lt;=Inputs!$B$143),Inputs!$B$141*(1+inf)^Y$1,0)</f>
        <v>0</v>
      </c>
      <c r="AA13" s="8">
        <f>IF(AND(AA$3&gt;=Inputs!$B$142,AA$3&lt;=Inputs!$B$143),Inputs!$B$141*(1+inf)^Z$1,0)</f>
        <v>0</v>
      </c>
      <c r="AB13" s="8">
        <f>IF(AND(AB$3&gt;=Inputs!$B$142,AB$3&lt;=Inputs!$B$143),Inputs!$B$141*(1+inf)^AA$1,0)</f>
        <v>0</v>
      </c>
      <c r="AC13" s="8">
        <f>IF(AND(AC$3&gt;=Inputs!$B$142,AC$3&lt;=Inputs!$B$143),Inputs!$B$141*(1+inf)^AB$1,0)</f>
        <v>0</v>
      </c>
      <c r="AD13" s="8">
        <f>IF(AND(AD$3&gt;=Inputs!$B$142,AD$3&lt;=Inputs!$B$143),Inputs!$B$141*(1+inf)^AC$1,0)</f>
        <v>0</v>
      </c>
      <c r="AE13" s="8">
        <f>IF(AND(AE$3&gt;=Inputs!$B$142,AE$3&lt;=Inputs!$B$143),Inputs!$B$141*(1+inf)^AD$1,0)</f>
        <v>0</v>
      </c>
      <c r="AF13" s="8">
        <f>IF(AND(AF$3&gt;=Inputs!$B$142,AF$3&lt;=Inputs!$B$143),Inputs!$B$141*(1+inf)^AE$1,0)</f>
        <v>0</v>
      </c>
      <c r="AG13" s="8">
        <f>IF(AND(AG$3&gt;=Inputs!$B$142,AG$3&lt;=Inputs!$B$143),Inputs!$B$141*(1+inf)^AF$1,0)</f>
        <v>0</v>
      </c>
      <c r="AH13" s="8">
        <f>IF(AND(AH$3&gt;=Inputs!$B$142,AH$3&lt;=Inputs!$B$143),Inputs!$B$141*(1+inf)^AG$1,0)</f>
        <v>0</v>
      </c>
      <c r="AI13" s="8">
        <f>IF(AND(AI$3&gt;=Inputs!$B$142,AI$3&lt;=Inputs!$B$143),Inputs!$B$141*(1+inf)^AH$1,0)</f>
        <v>0</v>
      </c>
      <c r="AJ13" s="8">
        <f>IF(AND(AJ$3&gt;=Inputs!$B$142,AJ$3&lt;=Inputs!$B$143),Inputs!$B$141*(1+inf)^AI$1,0)</f>
        <v>0</v>
      </c>
      <c r="AK13" s="8">
        <f>IF(AND(AK$3&gt;=Inputs!$B$142,AK$3&lt;=Inputs!$B$143),Inputs!$B$141*(1+inf)^AJ$1,0)</f>
        <v>0</v>
      </c>
      <c r="AL13" s="8">
        <f>IF(AND(AL$3&gt;=Inputs!$B$142,AL$3&lt;=Inputs!$B$143),Inputs!$B$141*(1+inf)^AK$1,0)</f>
        <v>0</v>
      </c>
      <c r="AM13" s="8">
        <f>IF(AND(AM$3&gt;=Inputs!$B$142,AM$3&lt;=Inputs!$B$143),Inputs!$B$141*(1+inf)^AL$1,0)</f>
        <v>0</v>
      </c>
    </row>
    <row r="14" spans="1:39" x14ac:dyDescent="0.2">
      <c r="A14" s="5" t="s">
        <v>149</v>
      </c>
      <c r="B14" s="9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</row>
    <row r="15" spans="1:39" x14ac:dyDescent="0.2">
      <c r="A15" s="4" t="str">
        <f>TEXT(Inputs!B100,"")</f>
        <v>Inheritance</v>
      </c>
      <c r="B15" s="9"/>
      <c r="C15" s="8">
        <f ca="1">IF(C$2=Inputs!$B102,Inputs!$B101,0)*(1+inf)^B$1</f>
        <v>0</v>
      </c>
      <c r="D15" s="8">
        <f ca="1">IF(D$2=Inputs!$B102,Inputs!$B101,0)*(1+inf)^C$1</f>
        <v>0</v>
      </c>
      <c r="E15" s="8">
        <f ca="1">IF(E$2=Inputs!$B102,Inputs!$B101,0)*(1+inf)^D$1</f>
        <v>0</v>
      </c>
      <c r="F15" s="8">
        <f ca="1">IF(F$2=Inputs!$B102,Inputs!$B101,0)*(1+inf)^E$1</f>
        <v>0</v>
      </c>
      <c r="G15" s="8">
        <f ca="1">IF(G$2=Inputs!$B102,Inputs!$B101,0)*(1+inf)^F$1</f>
        <v>0</v>
      </c>
      <c r="H15" s="8">
        <f ca="1">IF(H$2=Inputs!$B102,Inputs!$B101,0)*(1+inf)^G$1</f>
        <v>0</v>
      </c>
      <c r="I15" s="8">
        <f ca="1">IF(I$2=Inputs!$B102,Inputs!$B101,0)*(1+inf)^H$1</f>
        <v>0</v>
      </c>
      <c r="J15" s="8">
        <f ca="1">IF(J$2=Inputs!$B102,Inputs!$B101,0)*(1+inf)^I$1</f>
        <v>0</v>
      </c>
      <c r="K15" s="8">
        <f ca="1">IF(K$2=Inputs!$B102,Inputs!$B101,0)*(1+inf)^J$1</f>
        <v>60920.144875495884</v>
      </c>
      <c r="L15" s="8">
        <f ca="1">IF(L$2=Inputs!$B102,Inputs!$B101,0)*(1+inf)^K$1</f>
        <v>0</v>
      </c>
      <c r="M15" s="8">
        <f ca="1">IF(M$2=Inputs!$B102,Inputs!$B101,0)*(1+inf)^L$1</f>
        <v>0</v>
      </c>
      <c r="N15" s="8">
        <f ca="1">IF(N$2=Inputs!$B102,Inputs!$B101,0)*(1+inf)^M$1</f>
        <v>0</v>
      </c>
      <c r="O15" s="8">
        <f ca="1">IF(O$2=Inputs!$B102,Inputs!$B101,0)*(1+inf)^N$1</f>
        <v>0</v>
      </c>
      <c r="P15" s="8">
        <f ca="1">IF(P$2=Inputs!$B102,Inputs!$B101,0)*(1+inf)^O$1</f>
        <v>0</v>
      </c>
      <c r="Q15" s="8">
        <f ca="1">IF(Q$2=Inputs!$B102,Inputs!$B101,0)*(1+inf)^P$1</f>
        <v>0</v>
      </c>
      <c r="R15" s="8">
        <f ca="1">IF(R$2=Inputs!$B102,Inputs!$B101,0)*(1+inf)^Q$1</f>
        <v>0</v>
      </c>
      <c r="S15" s="8">
        <f ca="1">IF(S$2=Inputs!$B102,Inputs!$B101,0)*(1+inf)^R$1</f>
        <v>0</v>
      </c>
      <c r="T15" s="8">
        <f ca="1">IF(T$2=Inputs!$B102,Inputs!$B101,0)*(1+inf)^S$1</f>
        <v>0</v>
      </c>
      <c r="U15" s="8">
        <f ca="1">IF(U$2=Inputs!$B102,Inputs!$B101,0)*(1+inf)^T$1</f>
        <v>0</v>
      </c>
      <c r="V15" s="8">
        <f ca="1">IF(V$2=Inputs!$B102,Inputs!$B101,0)*(1+inf)^U$1</f>
        <v>0</v>
      </c>
      <c r="W15" s="8">
        <f ca="1">IF(W$2=Inputs!$B102,Inputs!$B101,0)*(1+inf)^V$1</f>
        <v>0</v>
      </c>
      <c r="X15" s="8">
        <f ca="1">IF(X$2=Inputs!$B102,Inputs!$B101,0)*(1+inf)^W$1</f>
        <v>0</v>
      </c>
      <c r="Y15" s="8">
        <f ca="1">IF(Y$2=Inputs!$B102,Inputs!$B101,0)*(1+inf)^X$1</f>
        <v>0</v>
      </c>
      <c r="Z15" s="8">
        <f ca="1">IF(Z$2=Inputs!$B102,Inputs!$B101,0)*(1+inf)^Y$1</f>
        <v>0</v>
      </c>
      <c r="AA15" s="8">
        <f ca="1">IF(AA$2=Inputs!$B102,Inputs!$B101,0)*(1+inf)^Z$1</f>
        <v>0</v>
      </c>
      <c r="AB15" s="8">
        <f ca="1">IF(AB$2=Inputs!$B102,Inputs!$B101,0)*(1+inf)^AA$1</f>
        <v>0</v>
      </c>
      <c r="AC15" s="8">
        <f ca="1">IF(AC$2=Inputs!$B102,Inputs!$B101,0)*(1+inf)^AB$1</f>
        <v>0</v>
      </c>
      <c r="AD15" s="8">
        <f ca="1">IF(AD$2=Inputs!$B102,Inputs!$B101,0)*(1+inf)^AC$1</f>
        <v>0</v>
      </c>
      <c r="AE15" s="8">
        <f ca="1">IF(AE$2=Inputs!$B102,Inputs!$B101,0)*(1+inf)^AD$1</f>
        <v>0</v>
      </c>
      <c r="AF15" s="8">
        <f ca="1">IF(AF$2=Inputs!$B102,Inputs!$B101,0)*(1+inf)^AE$1</f>
        <v>0</v>
      </c>
      <c r="AG15" s="8">
        <f ca="1">IF(AG$2=Inputs!$B102,Inputs!$B101,0)*(1+inf)^AF$1</f>
        <v>0</v>
      </c>
      <c r="AH15" s="8">
        <f ca="1">IF(AH$2=Inputs!$B102,Inputs!$B101,0)*(1+inf)^AG$1</f>
        <v>0</v>
      </c>
      <c r="AI15" s="8">
        <f ca="1">IF(AI$2=Inputs!$B102,Inputs!$B101,0)*(1+inf)^AH$1</f>
        <v>0</v>
      </c>
      <c r="AJ15" s="8">
        <f ca="1">IF(AJ$2=Inputs!$B102,Inputs!$B101,0)*(1+inf)^AI$1</f>
        <v>0</v>
      </c>
      <c r="AK15" s="8">
        <f ca="1">IF(AK$2=Inputs!$B102,Inputs!$B101,0)*(1+inf)^AJ$1</f>
        <v>0</v>
      </c>
      <c r="AL15" s="8">
        <f ca="1">IF(AL$2=Inputs!$B102,Inputs!$B101,0)*(1+inf)^AK$1</f>
        <v>0</v>
      </c>
      <c r="AM15" s="8">
        <f ca="1">IF(AM$2=Inputs!$B102,Inputs!$B101,0)*(1+inf)^AL$1</f>
        <v>0</v>
      </c>
    </row>
    <row r="16" spans="1:39" x14ac:dyDescent="0.2">
      <c r="A16" s="4" t="str">
        <f>TEXT(Inputs!B105,"")</f>
        <v>Sell Painting</v>
      </c>
      <c r="B16" s="9"/>
      <c r="C16" s="8">
        <f ca="1">IF(C$2=Inputs!$B107,Inputs!$B106,0)*(1+inf)^B$1</f>
        <v>0</v>
      </c>
      <c r="D16" s="8">
        <f ca="1">IF(D$2=Inputs!$B107,Inputs!$B106,0)*(1+inf)^C$1</f>
        <v>0</v>
      </c>
      <c r="E16" s="8">
        <f ca="1">IF(E$2=Inputs!$B107,Inputs!$B106,0)*(1+inf)^D$1</f>
        <v>10506.25</v>
      </c>
      <c r="F16" s="8">
        <f ca="1">IF(F$2=Inputs!$B107,Inputs!$B106,0)*(1+inf)^E$1</f>
        <v>0</v>
      </c>
      <c r="G16" s="8">
        <f ca="1">IF(G$2=Inputs!$B107,Inputs!$B106,0)*(1+inf)^F$1</f>
        <v>0</v>
      </c>
      <c r="H16" s="8">
        <f ca="1">IF(H$2=Inputs!$B107,Inputs!$B106,0)*(1+inf)^G$1</f>
        <v>0</v>
      </c>
      <c r="I16" s="8">
        <f ca="1">IF(I$2=Inputs!$B107,Inputs!$B106,0)*(1+inf)^H$1</f>
        <v>0</v>
      </c>
      <c r="J16" s="8">
        <f ca="1">IF(J$2=Inputs!$B107,Inputs!$B106,0)*(1+inf)^I$1</f>
        <v>0</v>
      </c>
      <c r="K16" s="8">
        <f ca="1">IF(K$2=Inputs!$B107,Inputs!$B106,0)*(1+inf)^J$1</f>
        <v>0</v>
      </c>
      <c r="L16" s="8">
        <f ca="1">IF(L$2=Inputs!$B107,Inputs!$B106,0)*(1+inf)^K$1</f>
        <v>0</v>
      </c>
      <c r="M16" s="8">
        <f ca="1">IF(M$2=Inputs!$B107,Inputs!$B106,0)*(1+inf)^L$1</f>
        <v>0</v>
      </c>
      <c r="N16" s="8">
        <f ca="1">IF(N$2=Inputs!$B107,Inputs!$B106,0)*(1+inf)^M$1</f>
        <v>0</v>
      </c>
      <c r="O16" s="8">
        <f ca="1">IF(O$2=Inputs!$B107,Inputs!$B106,0)*(1+inf)^N$1</f>
        <v>0</v>
      </c>
      <c r="P16" s="8">
        <f ca="1">IF(P$2=Inputs!$B107,Inputs!$B106,0)*(1+inf)^O$1</f>
        <v>0</v>
      </c>
      <c r="Q16" s="8">
        <f ca="1">IF(Q$2=Inputs!$B107,Inputs!$B106,0)*(1+inf)^P$1</f>
        <v>0</v>
      </c>
      <c r="R16" s="8">
        <f ca="1">IF(R$2=Inputs!$B107,Inputs!$B106,0)*(1+inf)^Q$1</f>
        <v>0</v>
      </c>
      <c r="S16" s="8">
        <f ca="1">IF(S$2=Inputs!$B107,Inputs!$B106,0)*(1+inf)^R$1</f>
        <v>0</v>
      </c>
      <c r="T16" s="8">
        <f ca="1">IF(T$2=Inputs!$B107,Inputs!$B106,0)*(1+inf)^S$1</f>
        <v>0</v>
      </c>
      <c r="U16" s="8">
        <f ca="1">IF(U$2=Inputs!$B107,Inputs!$B106,0)*(1+inf)^T$1</f>
        <v>0</v>
      </c>
      <c r="V16" s="8">
        <f ca="1">IF(V$2=Inputs!$B107,Inputs!$B106,0)*(1+inf)^U$1</f>
        <v>0</v>
      </c>
      <c r="W16" s="8">
        <f ca="1">IF(W$2=Inputs!$B107,Inputs!$B106,0)*(1+inf)^V$1</f>
        <v>0</v>
      </c>
      <c r="X16" s="8">
        <f ca="1">IF(X$2=Inputs!$B107,Inputs!$B106,0)*(1+inf)^W$1</f>
        <v>0</v>
      </c>
      <c r="Y16" s="8">
        <f ca="1">IF(Y$2=Inputs!$B107,Inputs!$B106,0)*(1+inf)^X$1</f>
        <v>0</v>
      </c>
      <c r="Z16" s="8">
        <f ca="1">IF(Z$2=Inputs!$B107,Inputs!$B106,0)*(1+inf)^Y$1</f>
        <v>0</v>
      </c>
      <c r="AA16" s="8">
        <f ca="1">IF(AA$2=Inputs!$B107,Inputs!$B106,0)*(1+inf)^Z$1</f>
        <v>0</v>
      </c>
      <c r="AB16" s="8">
        <f ca="1">IF(AB$2=Inputs!$B107,Inputs!$B106,0)*(1+inf)^AA$1</f>
        <v>0</v>
      </c>
      <c r="AC16" s="8">
        <f ca="1">IF(AC$2=Inputs!$B107,Inputs!$B106,0)*(1+inf)^AB$1</f>
        <v>0</v>
      </c>
      <c r="AD16" s="8">
        <f ca="1">IF(AD$2=Inputs!$B107,Inputs!$B106,0)*(1+inf)^AC$1</f>
        <v>0</v>
      </c>
      <c r="AE16" s="8">
        <f ca="1">IF(AE$2=Inputs!$B107,Inputs!$B106,0)*(1+inf)^AD$1</f>
        <v>0</v>
      </c>
      <c r="AF16" s="8">
        <f ca="1">IF(AF$2=Inputs!$B107,Inputs!$B106,0)*(1+inf)^AE$1</f>
        <v>0</v>
      </c>
      <c r="AG16" s="8">
        <f ca="1">IF(AG$2=Inputs!$B107,Inputs!$B106,0)*(1+inf)^AF$1</f>
        <v>0</v>
      </c>
      <c r="AH16" s="8">
        <f ca="1">IF(AH$2=Inputs!$B107,Inputs!$B106,0)*(1+inf)^AG$1</f>
        <v>0</v>
      </c>
      <c r="AI16" s="8">
        <f ca="1">IF(AI$2=Inputs!$B107,Inputs!$B106,0)*(1+inf)^AH$1</f>
        <v>0</v>
      </c>
      <c r="AJ16" s="8">
        <f ca="1">IF(AJ$2=Inputs!$B107,Inputs!$B106,0)*(1+inf)^AI$1</f>
        <v>0</v>
      </c>
      <c r="AK16" s="8">
        <f ca="1">IF(AK$2=Inputs!$B107,Inputs!$B106,0)*(1+inf)^AJ$1</f>
        <v>0</v>
      </c>
      <c r="AL16" s="8">
        <f ca="1">IF(AL$2=Inputs!$B107,Inputs!$B106,0)*(1+inf)^AK$1</f>
        <v>0</v>
      </c>
      <c r="AM16" s="8">
        <f ca="1">IF(AM$2=Inputs!$B107,Inputs!$B106,0)*(1+inf)^AL$1</f>
        <v>0</v>
      </c>
    </row>
    <row r="17" spans="1:39" x14ac:dyDescent="0.2">
      <c r="A17" s="4" t="str">
        <f>TEXT(Inputs!B110,"")</f>
        <v>Sell Jewels</v>
      </c>
      <c r="B17" s="9"/>
      <c r="C17" s="8">
        <f ca="1">IF(C$2=Inputs!$B112,Inputs!$B111,0)*(1+inf)^B$1</f>
        <v>0</v>
      </c>
      <c r="D17" s="8">
        <f ca="1">IF(D$2=Inputs!$B112,Inputs!$B111,0)*(1+inf)^C$1</f>
        <v>0</v>
      </c>
      <c r="E17" s="8">
        <f ca="1">IF(E$2=Inputs!$B112,Inputs!$B111,0)*(1+inf)^D$1</f>
        <v>0</v>
      </c>
      <c r="F17" s="8">
        <f ca="1">IF(F$2=Inputs!$B112,Inputs!$B111,0)*(1+inf)^E$1</f>
        <v>0</v>
      </c>
      <c r="G17" s="8">
        <f ca="1">IF(G$2=Inputs!$B112,Inputs!$B111,0)*(1+inf)^F$1</f>
        <v>0</v>
      </c>
      <c r="H17" s="8">
        <f ca="1">IF(H$2=Inputs!$B112,Inputs!$B111,0)*(1+inf)^G$1</f>
        <v>5657.041064453123</v>
      </c>
      <c r="I17" s="8">
        <f ca="1">IF(I$2=Inputs!$B112,Inputs!$B111,0)*(1+inf)^H$1</f>
        <v>0</v>
      </c>
      <c r="J17" s="8">
        <f ca="1">IF(J$2=Inputs!$B112,Inputs!$B111,0)*(1+inf)^I$1</f>
        <v>0</v>
      </c>
      <c r="K17" s="8">
        <f ca="1">IF(K$2=Inputs!$B112,Inputs!$B111,0)*(1+inf)^J$1</f>
        <v>0</v>
      </c>
      <c r="L17" s="8">
        <f ca="1">IF(L$2=Inputs!$B112,Inputs!$B111,0)*(1+inf)^K$1</f>
        <v>0</v>
      </c>
      <c r="M17" s="8">
        <f ca="1">IF(M$2=Inputs!$B112,Inputs!$B111,0)*(1+inf)^L$1</f>
        <v>0</v>
      </c>
      <c r="N17" s="8">
        <f ca="1">IF(N$2=Inputs!$B112,Inputs!$B111,0)*(1+inf)^M$1</f>
        <v>0</v>
      </c>
      <c r="O17" s="8">
        <f ca="1">IF(O$2=Inputs!$B112,Inputs!$B111,0)*(1+inf)^N$1</f>
        <v>0</v>
      </c>
      <c r="P17" s="8">
        <f ca="1">IF(P$2=Inputs!$B112,Inputs!$B111,0)*(1+inf)^O$1</f>
        <v>0</v>
      </c>
      <c r="Q17" s="8">
        <f ca="1">IF(Q$2=Inputs!$B112,Inputs!$B111,0)*(1+inf)^P$1</f>
        <v>0</v>
      </c>
      <c r="R17" s="8">
        <f ca="1">IF(R$2=Inputs!$B112,Inputs!$B111,0)*(1+inf)^Q$1</f>
        <v>0</v>
      </c>
      <c r="S17" s="8">
        <f ca="1">IF(S$2=Inputs!$B112,Inputs!$B111,0)*(1+inf)^R$1</f>
        <v>0</v>
      </c>
      <c r="T17" s="8">
        <f ca="1">IF(T$2=Inputs!$B112,Inputs!$B111,0)*(1+inf)^S$1</f>
        <v>0</v>
      </c>
      <c r="U17" s="8">
        <f ca="1">IF(U$2=Inputs!$B112,Inputs!$B111,0)*(1+inf)^T$1</f>
        <v>0</v>
      </c>
      <c r="V17" s="8">
        <f ca="1">IF(V$2=Inputs!$B112,Inputs!$B111,0)*(1+inf)^U$1</f>
        <v>0</v>
      </c>
      <c r="W17" s="8">
        <f ca="1">IF(W$2=Inputs!$B112,Inputs!$B111,0)*(1+inf)^V$1</f>
        <v>0</v>
      </c>
      <c r="X17" s="8">
        <f ca="1">IF(X$2=Inputs!$B112,Inputs!$B111,0)*(1+inf)^W$1</f>
        <v>0</v>
      </c>
      <c r="Y17" s="8">
        <f ca="1">IF(Y$2=Inputs!$B112,Inputs!$B111,0)*(1+inf)^X$1</f>
        <v>0</v>
      </c>
      <c r="Z17" s="8">
        <f ca="1">IF(Z$2=Inputs!$B112,Inputs!$B111,0)*(1+inf)^Y$1</f>
        <v>0</v>
      </c>
      <c r="AA17" s="8">
        <f ca="1">IF(AA$2=Inputs!$B112,Inputs!$B111,0)*(1+inf)^Z$1</f>
        <v>0</v>
      </c>
      <c r="AB17" s="8">
        <f ca="1">IF(AB$2=Inputs!$B112,Inputs!$B111,0)*(1+inf)^AA$1</f>
        <v>0</v>
      </c>
      <c r="AC17" s="8">
        <f ca="1">IF(AC$2=Inputs!$B112,Inputs!$B111,0)*(1+inf)^AB$1</f>
        <v>0</v>
      </c>
      <c r="AD17" s="8">
        <f ca="1">IF(AD$2=Inputs!$B112,Inputs!$B111,0)*(1+inf)^AC$1</f>
        <v>0</v>
      </c>
      <c r="AE17" s="8">
        <f ca="1">IF(AE$2=Inputs!$B112,Inputs!$B111,0)*(1+inf)^AD$1</f>
        <v>0</v>
      </c>
      <c r="AF17" s="8">
        <f ca="1">IF(AF$2=Inputs!$B112,Inputs!$B111,0)*(1+inf)^AE$1</f>
        <v>0</v>
      </c>
      <c r="AG17" s="8">
        <f ca="1">IF(AG$2=Inputs!$B112,Inputs!$B111,0)*(1+inf)^AF$1</f>
        <v>0</v>
      </c>
      <c r="AH17" s="8">
        <f ca="1">IF(AH$2=Inputs!$B112,Inputs!$B111,0)*(1+inf)^AG$1</f>
        <v>0</v>
      </c>
      <c r="AI17" s="8">
        <f ca="1">IF(AI$2=Inputs!$B112,Inputs!$B111,0)*(1+inf)^AH$1</f>
        <v>0</v>
      </c>
      <c r="AJ17" s="8">
        <f ca="1">IF(AJ$2=Inputs!$B112,Inputs!$B111,0)*(1+inf)^AI$1</f>
        <v>0</v>
      </c>
      <c r="AK17" s="8">
        <f ca="1">IF(AK$2=Inputs!$B112,Inputs!$B111,0)*(1+inf)^AJ$1</f>
        <v>0</v>
      </c>
      <c r="AL17" s="8">
        <f ca="1">IF(AL$2=Inputs!$B112,Inputs!$B111,0)*(1+inf)^AK$1</f>
        <v>0</v>
      </c>
      <c r="AM17" s="8">
        <f ca="1">IF(AM$2=Inputs!$B112,Inputs!$B111,0)*(1+inf)^AL$1</f>
        <v>0</v>
      </c>
    </row>
    <row r="18" spans="1:39" x14ac:dyDescent="0.2">
      <c r="A18" s="5" t="s">
        <v>8</v>
      </c>
      <c r="C18" s="8">
        <f ca="1">MAX(AVERAGE(C49,C49+SUM(C5:C17)-C46)*Inputs!$B$149,0)</f>
        <v>1552.5</v>
      </c>
      <c r="D18" s="8">
        <f ca="1">MAX(AVERAGE(D49,D49+SUM(D5:D17)-D46)*Inputs!$B$149,0)</f>
        <v>2230.3125</v>
      </c>
      <c r="E18" s="8">
        <f ca="1">MAX(AVERAGE(E49,E49+SUM(E5:E17)-E46)*Inputs!$B$149,0)</f>
        <v>2705.5250000000001</v>
      </c>
      <c r="F18" s="8">
        <f ca="1">MAX(AVERAGE(F49,F49+SUM(F5:F17)-F46)*Inputs!$B$149,0)</f>
        <v>3328.348104350534</v>
      </c>
      <c r="G18" s="8">
        <f ca="1">MAX(AVERAGE(G49,G49+SUM(G5:G17)-G46)*Inputs!$B$149,0)</f>
        <v>4402.1354957629565</v>
      </c>
      <c r="H18" s="8">
        <f ca="1">MAX(AVERAGE(H49,H49+SUM(H5:H17)-H46)*Inputs!$B$149,0)</f>
        <v>5708.7818411010267</v>
      </c>
      <c r="I18" s="8">
        <f ca="1">MAX(AVERAGE(I49,I49+SUM(I5:I17)-I46)*Inputs!$B$149,0)</f>
        <v>6080.3309330232432</v>
      </c>
      <c r="J18" s="8">
        <f ca="1">MAX(AVERAGE(J49,J49+SUM(J5:J17)-J46)*Inputs!$B$149,0)</f>
        <v>5103.6965700222618</v>
      </c>
      <c r="K18" s="8">
        <f ca="1">MAX(AVERAGE(K49,K49+SUM(K5:K17)-K46)*Inputs!$B$149,0)</f>
        <v>4853.6612157235822</v>
      </c>
      <c r="L18" s="8">
        <f ca="1">MAX(AVERAGE(L49,L49+SUM(L5:L17)-L46)*Inputs!$B$149,0)</f>
        <v>4406.3604533765292</v>
      </c>
      <c r="M18" s="8">
        <f ca="1">MAX(AVERAGE(M49,M49+SUM(M5:M17)-M46)*Inputs!$B$149,0)</f>
        <v>3410.9971372703003</v>
      </c>
      <c r="N18" s="8">
        <f ca="1">MAX(AVERAGE(N49,N49+SUM(N5:N17)-N46)*Inputs!$B$149,0)</f>
        <v>3022.3495403241432</v>
      </c>
      <c r="O18" s="8">
        <f ca="1">MAX(AVERAGE(O49,O49+SUM(O5:O17)-O46)*Inputs!$B$149,0)</f>
        <v>2617.2529720387629</v>
      </c>
      <c r="P18" s="8">
        <f ca="1">MAX(AVERAGE(P49,P49+SUM(P5:P17)-P46)*Inputs!$B$149,0)</f>
        <v>2195.2813470468564</v>
      </c>
      <c r="Q18" s="8">
        <f ca="1">MAX(AVERAGE(Q49,Q49+SUM(Q5:Q17)-Q46)*Inputs!$B$149,0)</f>
        <v>1756.0021600733889</v>
      </c>
      <c r="R18" s="8">
        <f ca="1">MAX(AVERAGE(R49,R49+SUM(R5:R17)-R46)*Inputs!$B$149,0)</f>
        <v>1298.976569356169</v>
      </c>
      <c r="S18" s="8">
        <f ca="1">MAX(AVERAGE(S49,S49+SUM(S5:S17)-S46)*Inputs!$B$149,0)</f>
        <v>1064.9916557506131</v>
      </c>
      <c r="T18" s="8">
        <f ca="1">MAX(AVERAGE(T49,T49+SUM(T5:T17)-T46)*Inputs!$B$149,0)</f>
        <v>1160.7589542692779</v>
      </c>
      <c r="U18" s="8">
        <f ca="1">MAX(AVERAGE(U49,U49+SUM(U5:U17)-U46)*Inputs!$B$149,0)</f>
        <v>1361.8580531364184</v>
      </c>
      <c r="V18" s="8">
        <f ca="1">MAX(AVERAGE(V49,V49+SUM(V5:V17)-V46)*Inputs!$B$149,0)</f>
        <v>1578.5777839008324</v>
      </c>
      <c r="W18" s="8">
        <f ca="1">MAX(AVERAGE(W49,W49+SUM(W5:W17)-W46)*Inputs!$B$149,0)</f>
        <v>1811.7622257596013</v>
      </c>
      <c r="X18" s="8">
        <f ca="1">MAX(AVERAGE(X49,X49+SUM(X5:X17)-X46)*Inputs!$B$149,0)</f>
        <v>1810.356283316248</v>
      </c>
      <c r="Y18" s="8">
        <f ca="1">MAX(AVERAGE(Y49,Y49+SUM(Y5:Y17)-Y46)*Inputs!$B$149,0)</f>
        <v>1562.6849255519387</v>
      </c>
      <c r="Z18" s="8">
        <f ca="1">MAX(AVERAGE(Z49,Z49+SUM(Z5:Z17)-Z46)*Inputs!$B$149,0)</f>
        <v>1308.5792734359106</v>
      </c>
      <c r="AA18" s="8">
        <f ca="1">MAX(AVERAGE(AA49,AA49+SUM(AA5:AA17)-AA46)*Inputs!$B$149,0)</f>
        <v>1048.0848292355874</v>
      </c>
      <c r="AB18" s="8">
        <f ca="1">MAX(AVERAGE(AB49,AB49+SUM(AB5:AB17)-AB46)*Inputs!$B$149,0)</f>
        <v>781.25976443732691</v>
      </c>
      <c r="AC18" s="8">
        <f ca="1">MAX(AVERAGE(AC49,AC49+SUM(AC5:AC17)-AC46)*Inputs!$B$149,0)</f>
        <v>508.17571594859658</v>
      </c>
      <c r="AD18" s="8">
        <f ca="1">MAX(AVERAGE(AD49,AD49+SUM(AD5:AD17)-AD46)*Inputs!$B$149,0)</f>
        <v>350.65612107113503</v>
      </c>
      <c r="AE18" s="8">
        <f ca="1">MAX(AVERAGE(AE49,AE49+SUM(AE5:AE17)-AE46)*Inputs!$B$149,0)</f>
        <v>314.88896328315315</v>
      </c>
      <c r="AF18" s="8">
        <f ca="1">MAX(AVERAGE(AF49,AF49+SUM(AF5:AF17)-AF46)*Inputs!$B$149,0)</f>
        <v>285.56906880755395</v>
      </c>
      <c r="AG18" s="8">
        <f ca="1">MAX(AVERAGE(AG49,AG49+SUM(AG5:AG17)-AG46)*Inputs!$B$149,0)</f>
        <v>263.29479872189825</v>
      </c>
      <c r="AH18" s="8">
        <f ca="1">MAX(AVERAGE(AH49,AH49+SUM(AH5:AH17)-AH46)*Inputs!$B$149,0)</f>
        <v>248.6980119212034</v>
      </c>
      <c r="AI18" s="8">
        <f ca="1">MAX(AVERAGE(AI49,AI49+SUM(AI5:AI17)-AI46)*Inputs!$B$149,0)</f>
        <v>242.44559431223863</v>
      </c>
      <c r="AJ18" s="8">
        <f ca="1">MAX(AVERAGE(AJ49,AJ49+SUM(AJ5:AJ17)-AJ46)*Inputs!$B$149,0)</f>
        <v>245.24105037976935</v>
      </c>
      <c r="AK18" s="8">
        <f ca="1">MAX(AVERAGE(AK49,AK49+SUM(AK5:AK17)-AK46)*Inputs!$B$149,0)</f>
        <v>257.82615949305784</v>
      </c>
      <c r="AL18" s="8">
        <f ca="1">MAX(AVERAGE(AL49,AL49+SUM(AL5:AL17)-AL46)*Inputs!$B$149,0)</f>
        <v>280.982699406515</v>
      </c>
      <c r="AM18" s="8">
        <f ca="1">MAX(AVERAGE(AM49,AM49+SUM(AM5:AM17)-AM46)*Inputs!$B$149,0)</f>
        <v>315.53423949698282</v>
      </c>
    </row>
    <row r="19" spans="1:39" x14ac:dyDescent="0.2">
      <c r="C19" s="10">
        <f ca="1">SUM(C4:C18)</f>
        <v>113552.5</v>
      </c>
      <c r="D19" s="10">
        <f t="shared" ref="D19:G19" ca="1" si="64">SUM(D4:D18)</f>
        <v>117580.3125</v>
      </c>
      <c r="E19" s="10">
        <f t="shared" ca="1" si="64"/>
        <v>132012.02499999999</v>
      </c>
      <c r="F19" s="10">
        <f t="shared" ca="1" si="64"/>
        <v>125682.09935435055</v>
      </c>
      <c r="G19" s="10">
        <f t="shared" ca="1" si="64"/>
        <v>130415.73037701295</v>
      </c>
      <c r="H19" s="10">
        <f t="shared" ref="H19:AM19" ca="1" si="65">SUM(H4:H18)</f>
        <v>141148.7875043354</v>
      </c>
      <c r="I19" s="10">
        <f t="shared" ref="I19:AM19" ca="1" si="66">SUM(I4:I18)</f>
        <v>44221.286665319029</v>
      </c>
      <c r="J19" s="10">
        <f t="shared" ca="1" si="66"/>
        <v>44377.284040104794</v>
      </c>
      <c r="K19" s="10">
        <f t="shared" ca="1" si="66"/>
        <v>106213.71432786778</v>
      </c>
      <c r="L19" s="10">
        <f t="shared" ca="1" si="66"/>
        <v>61033.63754752119</v>
      </c>
      <c r="M19" s="10">
        <f t="shared" ca="1" si="66"/>
        <v>59089.503047950246</v>
      </c>
      <c r="N19" s="10">
        <f t="shared" ca="1" si="66"/>
        <v>60294.405555672711</v>
      </c>
      <c r="O19" s="10">
        <f t="shared" ca="1" si="66"/>
        <v>61528.745468379704</v>
      </c>
      <c r="P19" s="10">
        <f t="shared" ca="1" si="66"/>
        <v>62793.425288823251</v>
      </c>
      <c r="Q19" s="10">
        <f t="shared" ca="1" si="66"/>
        <v>64089.379757411938</v>
      </c>
      <c r="R19" s="10">
        <f t="shared" ca="1" si="66"/>
        <v>65417.577065356447</v>
      </c>
      <c r="S19" s="10">
        <f t="shared" ca="1" si="66"/>
        <v>86318.825345228339</v>
      </c>
      <c r="T19" s="10">
        <f t="shared" ca="1" si="66"/>
        <v>88786.644451848755</v>
      </c>
      <c r="U19" s="10">
        <f t="shared" ca="1" si="66"/>
        <v>91426.317832996152</v>
      </c>
      <c r="V19" s="10">
        <f t="shared" ca="1" si="66"/>
        <v>94150.014017443056</v>
      </c>
      <c r="W19" s="10">
        <f t="shared" ca="1" si="66"/>
        <v>96960.510273101943</v>
      </c>
      <c r="X19" s="10">
        <f t="shared" ca="1" si="66"/>
        <v>79453.757501470696</v>
      </c>
      <c r="Y19" s="10">
        <f t="shared" ca="1" si="66"/>
        <v>81426.215359916663</v>
      </c>
      <c r="Z19" s="10">
        <f t="shared" ca="1" si="66"/>
        <v>83456.113479988882</v>
      </c>
      <c r="AA19" s="10">
        <f t="shared" ca="1" si="66"/>
        <v>85545.345367621368</v>
      </c>
      <c r="AB19" s="10">
        <f t="shared" ca="1" si="66"/>
        <v>87695.870932251812</v>
      </c>
      <c r="AC19" s="10">
        <f t="shared" ca="1" si="66"/>
        <v>89909.7188524066</v>
      </c>
      <c r="AD19" s="10">
        <f t="shared" ca="1" si="66"/>
        <v>92310.726526072147</v>
      </c>
      <c r="AE19" s="10">
        <f t="shared" ca="1" si="66"/>
        <v>94907.154479244709</v>
      </c>
      <c r="AF19" s="10">
        <f t="shared" ca="1" si="66"/>
        <v>97585.830374028737</v>
      </c>
      <c r="AG19" s="10">
        <f t="shared" ca="1" si="66"/>
        <v>100349.54746247503</v>
      </c>
      <c r="AH19" s="10">
        <f t="shared" ca="1" si="66"/>
        <v>103201.19636294663</v>
      </c>
      <c r="AI19" s="10">
        <f t="shared" ca="1" si="66"/>
        <v>106143.7684559121</v>
      </c>
      <c r="AJ19" s="10">
        <f t="shared" ca="1" si="66"/>
        <v>109180.35939687239</v>
      </c>
      <c r="AK19" s="10">
        <f t="shared" ca="1" si="66"/>
        <v>112314.17275040133</v>
      </c>
      <c r="AL19" s="10">
        <f t="shared" ca="1" si="66"/>
        <v>115548.52374941345</v>
      </c>
      <c r="AM19" s="10">
        <f t="shared" ca="1" si="66"/>
        <v>118886.84318390982</v>
      </c>
    </row>
    <row r="20" spans="1:39" ht="19" x14ac:dyDescent="0.25">
      <c r="A20" s="14" t="s">
        <v>18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</row>
    <row r="21" spans="1:39" x14ac:dyDescent="0.2">
      <c r="A21" s="5" t="s">
        <v>80</v>
      </c>
      <c r="C21" s="8">
        <f>Inputs!B75</f>
        <v>1000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</row>
    <row r="22" spans="1:39" x14ac:dyDescent="0.2">
      <c r="A22" s="5" t="s">
        <v>13</v>
      </c>
      <c r="C22" s="8">
        <f>MAX(IF(C$1*12&lt;=Inputs!$G$15,12,(Inputs!$G$15-B$1*12)),0)*Inputs!$B$17</f>
        <v>9600</v>
      </c>
      <c r="D22" s="8">
        <f>MAX(IF(D$1*12&lt;=Inputs!$G$15,12,(Inputs!$G$15-C$1*12)),0)*Inputs!$B$17</f>
        <v>9600</v>
      </c>
      <c r="E22" s="8">
        <f>MAX(IF(E$1*12&lt;=Inputs!$G$15,12,(Inputs!$G$15-D$1*12)),0)*Inputs!$B$17</f>
        <v>9600</v>
      </c>
      <c r="F22" s="8">
        <f>MAX(IF(F$1*12&lt;=Inputs!$G$15,12,(Inputs!$G$15-E$1*12)),0)*Inputs!$B$17</f>
        <v>9600</v>
      </c>
      <c r="G22" s="8">
        <f>MAX(IF(G$1*12&lt;=Inputs!$G$15,12,(Inputs!$G$15-F$1*12)),0)*Inputs!$B$17</f>
        <v>9600</v>
      </c>
      <c r="H22" s="8">
        <f>MAX(IF(H$1*12&lt;=Inputs!$G$15,12,(Inputs!$G$15-G$1*12)),0)*Inputs!$B$17</f>
        <v>6435.6231080800517</v>
      </c>
      <c r="I22" s="8">
        <f>MAX(IF(I$1*12&lt;=Inputs!$G$15,12,(Inputs!$G$15-H$1*12)),0)*Inputs!$B$17</f>
        <v>0</v>
      </c>
      <c r="J22" s="8">
        <f>MAX(IF(J$1*12&lt;=Inputs!$G$15,12,(Inputs!$G$15-I$1*12)),0)*Inputs!$B$17</f>
        <v>0</v>
      </c>
      <c r="K22" s="8">
        <f>MAX(IF(K$1*12&lt;=Inputs!$G$15,12,(Inputs!$G$15-J$1*12)),0)*Inputs!$B$17</f>
        <v>0</v>
      </c>
      <c r="L22" s="8">
        <f>MAX(IF(L$1*12&lt;=Inputs!$G$15,12,(Inputs!$G$15-K$1*12)),0)*Inputs!$B$17</f>
        <v>0</v>
      </c>
      <c r="M22" s="8">
        <f>MAX(IF(M$1*12&lt;=Inputs!$G$15,12,(Inputs!$G$15-L$1*12)),0)*Inputs!$B$17</f>
        <v>0</v>
      </c>
      <c r="N22" s="8">
        <f>MAX(IF(N$1*12&lt;=Inputs!$G$15,12,(Inputs!$G$15-M$1*12)),0)*Inputs!$B$17</f>
        <v>0</v>
      </c>
      <c r="O22" s="8">
        <f>MAX(IF(O$1*12&lt;=Inputs!$G$15,12,(Inputs!$G$15-N$1*12)),0)*Inputs!$B$17</f>
        <v>0</v>
      </c>
      <c r="P22" s="8">
        <f>MAX(IF(P$1*12&lt;=Inputs!$G$15,12,(Inputs!$G$15-O$1*12)),0)*Inputs!$B$17</f>
        <v>0</v>
      </c>
      <c r="Q22" s="8">
        <f>MAX(IF(Q$1*12&lt;=Inputs!$G$15,12,(Inputs!$G$15-P$1*12)),0)*Inputs!$B$17</f>
        <v>0</v>
      </c>
      <c r="R22" s="8">
        <f>MAX(IF(R$1*12&lt;=Inputs!$G$15,12,(Inputs!$G$15-Q$1*12)),0)*Inputs!$B$17</f>
        <v>0</v>
      </c>
      <c r="S22" s="8">
        <f>MAX(IF(S$1*12&lt;=Inputs!$G$15,12,(Inputs!$G$15-R$1*12)),0)*Inputs!$B$17</f>
        <v>0</v>
      </c>
      <c r="T22" s="8">
        <f>MAX(IF(T$1*12&lt;=Inputs!$G$15,12,(Inputs!$G$15-S$1*12)),0)*Inputs!$B$17</f>
        <v>0</v>
      </c>
      <c r="U22" s="8">
        <f>MAX(IF(U$1*12&lt;=Inputs!$G$15,12,(Inputs!$G$15-T$1*12)),0)*Inputs!$B$17</f>
        <v>0</v>
      </c>
      <c r="V22" s="8">
        <f>MAX(IF(V$1*12&lt;=Inputs!$G$15,12,(Inputs!$G$15-U$1*12)),0)*Inputs!$B$17</f>
        <v>0</v>
      </c>
      <c r="W22" s="8">
        <f>MAX(IF(W$1*12&lt;=Inputs!$G$15,12,(Inputs!$G$15-V$1*12)),0)*Inputs!$B$17</f>
        <v>0</v>
      </c>
      <c r="X22" s="8">
        <f>MAX(IF(X$1*12&lt;=Inputs!$G$15,12,(Inputs!$G$15-W$1*12)),0)*Inputs!$B$17</f>
        <v>0</v>
      </c>
      <c r="Y22" s="8">
        <f>MAX(IF(Y$1*12&lt;=Inputs!$G$15,12,(Inputs!$G$15-X$1*12)),0)*Inputs!$B$17</f>
        <v>0</v>
      </c>
      <c r="Z22" s="8">
        <f>MAX(IF(Z$1*12&lt;=Inputs!$G$15,12,(Inputs!$G$15-Y$1*12)),0)*Inputs!$B$17</f>
        <v>0</v>
      </c>
      <c r="AA22" s="8">
        <f>MAX(IF(AA$1*12&lt;=Inputs!$G$15,12,(Inputs!$G$15-Z$1*12)),0)*Inputs!$B$17</f>
        <v>0</v>
      </c>
      <c r="AB22" s="8">
        <f>MAX(IF(AB$1*12&lt;=Inputs!$G$15,12,(Inputs!$G$15-AA$1*12)),0)*Inputs!$B$17</f>
        <v>0</v>
      </c>
      <c r="AC22" s="8">
        <f>MAX(IF(AC$1*12&lt;=Inputs!$G$15,12,(Inputs!$G$15-AB$1*12)),0)*Inputs!$B$17</f>
        <v>0</v>
      </c>
      <c r="AD22" s="8">
        <f>MAX(IF(AD$1*12&lt;=Inputs!$G$15,12,(Inputs!$G$15-AC$1*12)),0)*Inputs!$B$17</f>
        <v>0</v>
      </c>
      <c r="AE22" s="8">
        <f>MAX(IF(AE$1*12&lt;=Inputs!$G$15,12,(Inputs!$G$15-AD$1*12)),0)*Inputs!$B$17</f>
        <v>0</v>
      </c>
      <c r="AF22" s="8">
        <f>MAX(IF(AF$1*12&lt;=Inputs!$G$15,12,(Inputs!$G$15-AE$1*12)),0)*Inputs!$B$17</f>
        <v>0</v>
      </c>
      <c r="AG22" s="8">
        <f>MAX(IF(AG$1*12&lt;=Inputs!$G$15,12,(Inputs!$G$15-AF$1*12)),0)*Inputs!$B$17</f>
        <v>0</v>
      </c>
      <c r="AH22" s="8">
        <f>MAX(IF(AH$1*12&lt;=Inputs!$G$15,12,(Inputs!$G$15-AG$1*12)),0)*Inputs!$B$17</f>
        <v>0</v>
      </c>
      <c r="AI22" s="8">
        <f>MAX(IF(AI$1*12&lt;=Inputs!$G$15,12,(Inputs!$G$15-AH$1*12)),0)*Inputs!$B$17</f>
        <v>0</v>
      </c>
      <c r="AJ22" s="8">
        <f>MAX(IF(AJ$1*12&lt;=Inputs!$G$15,12,(Inputs!$G$15-AI$1*12)),0)*Inputs!$B$17</f>
        <v>0</v>
      </c>
      <c r="AK22" s="8">
        <f>MAX(IF(AK$1*12&lt;=Inputs!$G$15,12,(Inputs!$G$15-AJ$1*12)),0)*Inputs!$B$17</f>
        <v>0</v>
      </c>
      <c r="AL22" s="8">
        <f>MAX(IF(AL$1*12&lt;=Inputs!$G$15,12,(Inputs!$G$15-AK$1*12)),0)*Inputs!$B$17</f>
        <v>0</v>
      </c>
      <c r="AM22" s="8">
        <f>MAX(IF(AM$1*12&lt;=Inputs!$G$15,12,(Inputs!$G$15-AL$1*12)),0)*Inputs!$B$17</f>
        <v>0</v>
      </c>
    </row>
    <row r="23" spans="1:39" x14ac:dyDescent="0.2">
      <c r="A23" s="5" t="s">
        <v>57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</row>
    <row r="24" spans="1:39" x14ac:dyDescent="0.2">
      <c r="A24" s="4" t="str">
        <f>TEXT(Inputs!$B$50,"")</f>
        <v>Sliema</v>
      </c>
      <c r="C24" s="8">
        <f>MAX(IF(C$1*12&lt;=Inputs!$G$78,12,(Inputs!$G$78-B$1*12)),0)*Inputs!$B$80</f>
        <v>6000</v>
      </c>
      <c r="D24" s="8">
        <f>MAX(IF(D$1*12&lt;=Inputs!$G$78,12,(Inputs!$G$78-C$1*12)),0)*Inputs!$B$80</f>
        <v>6000</v>
      </c>
      <c r="E24" s="8">
        <f>MAX(IF(E$1*12&lt;=Inputs!$G$78,12,(Inputs!$G$78-D$1*12)),0)*Inputs!$B$80</f>
        <v>6000</v>
      </c>
      <c r="F24" s="8">
        <f>MAX(IF(F$1*12&lt;=Inputs!$G$78,12,(Inputs!$G$78-E$1*12)),0)*Inputs!$B$80</f>
        <v>6000</v>
      </c>
      <c r="G24" s="8">
        <f>MAX(IF(G$1*12&lt;=Inputs!$G$78,12,(Inputs!$G$78-F$1*12)),0)*Inputs!$B$80</f>
        <v>6000</v>
      </c>
      <c r="H24" s="8">
        <f>MAX(IF(H$1*12&lt;=Inputs!$G$78,12,(Inputs!$G$78-G$1*12)),0)*Inputs!$B$80</f>
        <v>6000</v>
      </c>
      <c r="I24" s="8">
        <f>MAX(IF(I$1*12&lt;=Inputs!$G$78,12,(Inputs!$G$78-H$1*12)),0)*Inputs!$B$80</f>
        <v>6000</v>
      </c>
      <c r="J24" s="8">
        <f>MAX(IF(J$1*12&lt;=Inputs!$G$78,12,(Inputs!$G$78-I$1*12)),0)*Inputs!$B$80</f>
        <v>6000</v>
      </c>
      <c r="K24" s="8">
        <f>MAX(IF(K$1*12&lt;=Inputs!$G$78,12,(Inputs!$G$78-J$1*12)),0)*Inputs!$B$80</f>
        <v>6000</v>
      </c>
      <c r="L24" s="8">
        <f>MAX(IF(L$1*12&lt;=Inputs!$G$78,12,(Inputs!$G$78-K$1*12)),0)*Inputs!$B$80</f>
        <v>3608.3050789871932</v>
      </c>
      <c r="M24" s="8">
        <f>MAX(IF(M$1*12&lt;=Inputs!$G$78,12,(Inputs!$G$78-L$1*12)),0)*Inputs!$B$80</f>
        <v>0</v>
      </c>
      <c r="N24" s="8">
        <f>MAX(IF(N$1*12&lt;=Inputs!$G$78,12,(Inputs!$G$78-M$1*12)),0)*Inputs!$B$80</f>
        <v>0</v>
      </c>
      <c r="O24" s="8">
        <f>MAX(IF(O$1*12&lt;=Inputs!$G$78,12,(Inputs!$G$78-N$1*12)),0)*Inputs!$B$80</f>
        <v>0</v>
      </c>
      <c r="P24" s="8">
        <f>MAX(IF(P$1*12&lt;=Inputs!$G$78,12,(Inputs!$G$78-O$1*12)),0)*Inputs!$B$80</f>
        <v>0</v>
      </c>
      <c r="Q24" s="8">
        <f>MAX(IF(Q$1*12&lt;=Inputs!$G$78,12,(Inputs!$G$78-P$1*12)),0)*Inputs!$B$80</f>
        <v>0</v>
      </c>
      <c r="R24" s="8">
        <f>MAX(IF(R$1*12&lt;=Inputs!$G$78,12,(Inputs!$G$78-Q$1*12)),0)*Inputs!$B$80</f>
        <v>0</v>
      </c>
      <c r="S24" s="8">
        <f>MAX(IF(S$1*12&lt;=Inputs!$G$78,12,(Inputs!$G$78-R$1*12)),0)*Inputs!$B$80</f>
        <v>0</v>
      </c>
      <c r="T24" s="8">
        <f>MAX(IF(T$1*12&lt;=Inputs!$G$78,12,(Inputs!$G$78-S$1*12)),0)*Inputs!$B$80</f>
        <v>0</v>
      </c>
      <c r="U24" s="8">
        <f>MAX(IF(U$1*12&lt;=Inputs!$G$78,12,(Inputs!$G$78-T$1*12)),0)*Inputs!$B$80</f>
        <v>0</v>
      </c>
      <c r="V24" s="8">
        <f>MAX(IF(V$1*12&lt;=Inputs!$G$78,12,(Inputs!$G$78-U$1*12)),0)*Inputs!$B$80</f>
        <v>0</v>
      </c>
      <c r="W24" s="8">
        <f>MAX(IF(W$1*12&lt;=Inputs!$G$78,12,(Inputs!$G$78-V$1*12)),0)*Inputs!$B$80</f>
        <v>0</v>
      </c>
      <c r="X24" s="8">
        <f>MAX(IF(X$1*12&lt;=Inputs!$G$78,12,(Inputs!$G$78-W$1*12)),0)*Inputs!$B$80</f>
        <v>0</v>
      </c>
      <c r="Y24" s="8">
        <f>MAX(IF(Y$1*12&lt;=Inputs!$G$78,12,(Inputs!$G$78-X$1*12)),0)*Inputs!$B$80</f>
        <v>0</v>
      </c>
      <c r="Z24" s="8">
        <f>MAX(IF(Z$1*12&lt;=Inputs!$G$78,12,(Inputs!$G$78-Y$1*12)),0)*Inputs!$B$80</f>
        <v>0</v>
      </c>
      <c r="AA24" s="8">
        <f>MAX(IF(AA$1*12&lt;=Inputs!$G$78,12,(Inputs!$G$78-Z$1*12)),0)*Inputs!$B$80</f>
        <v>0</v>
      </c>
      <c r="AB24" s="8">
        <f>MAX(IF(AB$1*12&lt;=Inputs!$G$78,12,(Inputs!$G$78-AA$1*12)),0)*Inputs!$B$80</f>
        <v>0</v>
      </c>
      <c r="AC24" s="8">
        <f>MAX(IF(AC$1*12&lt;=Inputs!$G$78,12,(Inputs!$G$78-AB$1*12)),0)*Inputs!$B$80</f>
        <v>0</v>
      </c>
      <c r="AD24" s="8">
        <f>MAX(IF(AD$1*12&lt;=Inputs!$G$78,12,(Inputs!$G$78-AC$1*12)),0)*Inputs!$B$80</f>
        <v>0</v>
      </c>
      <c r="AE24" s="8">
        <f>MAX(IF(AE$1*12&lt;=Inputs!$G$78,12,(Inputs!$G$78-AD$1*12)),0)*Inputs!$B$80</f>
        <v>0</v>
      </c>
      <c r="AF24" s="8">
        <f>MAX(IF(AF$1*12&lt;=Inputs!$G$78,12,(Inputs!$G$78-AE$1*12)),0)*Inputs!$B$80</f>
        <v>0</v>
      </c>
      <c r="AG24" s="8">
        <f>MAX(IF(AG$1*12&lt;=Inputs!$G$78,12,(Inputs!$G$78-AF$1*12)),0)*Inputs!$B$80</f>
        <v>0</v>
      </c>
      <c r="AH24" s="8">
        <f>MAX(IF(AH$1*12&lt;=Inputs!$G$78,12,(Inputs!$G$78-AG$1*12)),0)*Inputs!$B$80</f>
        <v>0</v>
      </c>
      <c r="AI24" s="8">
        <f>MAX(IF(AI$1*12&lt;=Inputs!$G$78,12,(Inputs!$G$78-AH$1*12)),0)*Inputs!$B$80</f>
        <v>0</v>
      </c>
      <c r="AJ24" s="8">
        <f>MAX(IF(AJ$1*12&lt;=Inputs!$G$78,12,(Inputs!$G$78-AI$1*12)),0)*Inputs!$B$80</f>
        <v>0</v>
      </c>
      <c r="AK24" s="8">
        <f>MAX(IF(AK$1*12&lt;=Inputs!$G$78,12,(Inputs!$G$78-AJ$1*12)),0)*Inputs!$B$80</f>
        <v>0</v>
      </c>
      <c r="AL24" s="8">
        <f>MAX(IF(AL$1*12&lt;=Inputs!$G$78,12,(Inputs!$G$78-AK$1*12)),0)*Inputs!$B$80</f>
        <v>0</v>
      </c>
      <c r="AM24" s="8">
        <f>MAX(IF(AM$1*12&lt;=Inputs!$G$78,12,(Inputs!$G$78-AL$1*12)),0)*Inputs!$B$80</f>
        <v>0</v>
      </c>
    </row>
    <row r="25" spans="1:39" x14ac:dyDescent="0.2">
      <c r="A25" s="4" t="str">
        <f>TEXT(Inputs!$B$55,"")</f>
        <v>Gzira</v>
      </c>
      <c r="C25" s="8">
        <f>MAX(IF(C$1*12&lt;=Inputs!$G$83,12,(Inputs!$G$83-B$1*12)),0)*Inputs!$B$85</f>
        <v>2400</v>
      </c>
      <c r="D25" s="8">
        <f>MAX(IF(D$1*12&lt;=Inputs!$G$83,12,(Inputs!$G$83-C$1*12)),0)*Inputs!$B$85</f>
        <v>2400</v>
      </c>
      <c r="E25" s="8">
        <f>MAX(IF(E$1*12&lt;=Inputs!$G$83,12,(Inputs!$G$83-D$1*12)),0)*Inputs!$B$85</f>
        <v>2400</v>
      </c>
      <c r="F25" s="8">
        <f>MAX(IF(F$1*12&lt;=Inputs!$G$83,12,(Inputs!$G$83-E$1*12)),0)*Inputs!$B$85</f>
        <v>1623.4029019573059</v>
      </c>
      <c r="G25" s="8">
        <f>MAX(IF(G$1*12&lt;=Inputs!$G$83,12,(Inputs!$G$83-F$1*12)),0)*Inputs!$B$85</f>
        <v>0</v>
      </c>
      <c r="H25" s="8">
        <f>MAX(IF(H$1*12&lt;=Inputs!$G$83,12,(Inputs!$G$83-G$1*12)),0)*Inputs!$B$85</f>
        <v>0</v>
      </c>
      <c r="I25" s="8">
        <f>MAX(IF(I$1*12&lt;=Inputs!$G$83,12,(Inputs!$G$83-H$1*12)),0)*Inputs!$B$85</f>
        <v>0</v>
      </c>
      <c r="J25" s="8">
        <f>MAX(IF(J$1*12&lt;=Inputs!$G$83,12,(Inputs!$G$83-I$1*12)),0)*Inputs!$B$85</f>
        <v>0</v>
      </c>
      <c r="K25" s="8">
        <f>MAX(IF(K$1*12&lt;=Inputs!$G$83,12,(Inputs!$G$83-J$1*12)),0)*Inputs!$B$85</f>
        <v>0</v>
      </c>
      <c r="L25" s="8">
        <f>MAX(IF(L$1*12&lt;=Inputs!$G$83,12,(Inputs!$G$83-K$1*12)),0)*Inputs!$B$85</f>
        <v>0</v>
      </c>
      <c r="M25" s="8">
        <f>MAX(IF(M$1*12&lt;=Inputs!$G$83,12,(Inputs!$G$83-L$1*12)),0)*Inputs!$B$85</f>
        <v>0</v>
      </c>
      <c r="N25" s="8">
        <f>MAX(IF(N$1*12&lt;=Inputs!$G$83,12,(Inputs!$G$83-M$1*12)),0)*Inputs!$B$85</f>
        <v>0</v>
      </c>
      <c r="O25" s="8">
        <f>MAX(IF(O$1*12&lt;=Inputs!$G$83,12,(Inputs!$G$83-N$1*12)),0)*Inputs!$B$85</f>
        <v>0</v>
      </c>
      <c r="P25" s="8">
        <f>MAX(IF(P$1*12&lt;=Inputs!$G$83,12,(Inputs!$G$83-O$1*12)),0)*Inputs!$B$85</f>
        <v>0</v>
      </c>
      <c r="Q25" s="8">
        <f>MAX(IF(Q$1*12&lt;=Inputs!$G$83,12,(Inputs!$G$83-P$1*12)),0)*Inputs!$B$85</f>
        <v>0</v>
      </c>
      <c r="R25" s="8">
        <f>MAX(IF(R$1*12&lt;=Inputs!$G$83,12,(Inputs!$G$83-Q$1*12)),0)*Inputs!$B$85</f>
        <v>0</v>
      </c>
      <c r="S25" s="8">
        <f>MAX(IF(S$1*12&lt;=Inputs!$G$83,12,(Inputs!$G$83-R$1*12)),0)*Inputs!$B$85</f>
        <v>0</v>
      </c>
      <c r="T25" s="8">
        <f>MAX(IF(T$1*12&lt;=Inputs!$G$83,12,(Inputs!$G$83-S$1*12)),0)*Inputs!$B$85</f>
        <v>0</v>
      </c>
      <c r="U25" s="8">
        <f>MAX(IF(U$1*12&lt;=Inputs!$G$83,12,(Inputs!$G$83-T$1*12)),0)*Inputs!$B$85</f>
        <v>0</v>
      </c>
      <c r="V25" s="8">
        <f>MAX(IF(V$1*12&lt;=Inputs!$G$83,12,(Inputs!$G$83-U$1*12)),0)*Inputs!$B$85</f>
        <v>0</v>
      </c>
      <c r="W25" s="8">
        <f>MAX(IF(W$1*12&lt;=Inputs!$G$83,12,(Inputs!$G$83-V$1*12)),0)*Inputs!$B$85</f>
        <v>0</v>
      </c>
      <c r="X25" s="8">
        <f>MAX(IF(X$1*12&lt;=Inputs!$G$83,12,(Inputs!$G$83-W$1*12)),0)*Inputs!$B$85</f>
        <v>0</v>
      </c>
      <c r="Y25" s="8">
        <f>MAX(IF(Y$1*12&lt;=Inputs!$G$83,12,(Inputs!$G$83-X$1*12)),0)*Inputs!$B$85</f>
        <v>0</v>
      </c>
      <c r="Z25" s="8">
        <f>MAX(IF(Z$1*12&lt;=Inputs!$G$83,12,(Inputs!$G$83-Y$1*12)),0)*Inputs!$B$85</f>
        <v>0</v>
      </c>
      <c r="AA25" s="8">
        <f>MAX(IF(AA$1*12&lt;=Inputs!$G$83,12,(Inputs!$G$83-Z$1*12)),0)*Inputs!$B$85</f>
        <v>0</v>
      </c>
      <c r="AB25" s="8">
        <f>MAX(IF(AB$1*12&lt;=Inputs!$G$83,12,(Inputs!$G$83-AA$1*12)),0)*Inputs!$B$85</f>
        <v>0</v>
      </c>
      <c r="AC25" s="8">
        <f>MAX(IF(AC$1*12&lt;=Inputs!$G$83,12,(Inputs!$G$83-AB$1*12)),0)*Inputs!$B$85</f>
        <v>0</v>
      </c>
      <c r="AD25" s="8">
        <f>MAX(IF(AD$1*12&lt;=Inputs!$G$83,12,(Inputs!$G$83-AC$1*12)),0)*Inputs!$B$85</f>
        <v>0</v>
      </c>
      <c r="AE25" s="8">
        <f>MAX(IF(AE$1*12&lt;=Inputs!$G$83,12,(Inputs!$G$83-AD$1*12)),0)*Inputs!$B$85</f>
        <v>0</v>
      </c>
      <c r="AF25" s="8">
        <f>MAX(IF(AF$1*12&lt;=Inputs!$G$83,12,(Inputs!$G$83-AE$1*12)),0)*Inputs!$B$85</f>
        <v>0</v>
      </c>
      <c r="AG25" s="8">
        <f>MAX(IF(AG$1*12&lt;=Inputs!$G$83,12,(Inputs!$G$83-AF$1*12)),0)*Inputs!$B$85</f>
        <v>0</v>
      </c>
      <c r="AH25" s="8">
        <f>MAX(IF(AH$1*12&lt;=Inputs!$G$83,12,(Inputs!$G$83-AG$1*12)),0)*Inputs!$B$85</f>
        <v>0</v>
      </c>
      <c r="AI25" s="8">
        <f>MAX(IF(AI$1*12&lt;=Inputs!$G$83,12,(Inputs!$G$83-AH$1*12)),0)*Inputs!$B$85</f>
        <v>0</v>
      </c>
      <c r="AJ25" s="8">
        <f>MAX(IF(AJ$1*12&lt;=Inputs!$G$83,12,(Inputs!$G$83-AI$1*12)),0)*Inputs!$B$85</f>
        <v>0</v>
      </c>
      <c r="AK25" s="8">
        <f>MAX(IF(AK$1*12&lt;=Inputs!$G$83,12,(Inputs!$G$83-AJ$1*12)),0)*Inputs!$B$85</f>
        <v>0</v>
      </c>
      <c r="AL25" s="8">
        <f>MAX(IF(AL$1*12&lt;=Inputs!$G$83,12,(Inputs!$G$83-AK$1*12)),0)*Inputs!$B$85</f>
        <v>0</v>
      </c>
      <c r="AM25" s="8">
        <f>MAX(IF(AM$1*12&lt;=Inputs!$G$83,12,(Inputs!$G$83-AL$1*12)),0)*Inputs!$B$85</f>
        <v>0</v>
      </c>
    </row>
    <row r="26" spans="1:39" x14ac:dyDescent="0.2">
      <c r="A26" s="4" t="str">
        <f>TEXT(Inputs!$B$60,"")</f>
        <v>Qormi</v>
      </c>
      <c r="C26" s="8">
        <f>MAX(IF(C$1*12&lt;=Inputs!$G$88,12,(Inputs!$G$88-B$1*12)),0)*Inputs!$B$90</f>
        <v>3000</v>
      </c>
      <c r="D26" s="8">
        <f>MAX(IF(D$1*12&lt;=Inputs!$G$88,12,(Inputs!$G$88-C$1*12)),0)*Inputs!$B$90</f>
        <v>3000</v>
      </c>
      <c r="E26" s="8">
        <f>MAX(IF(E$1*12&lt;=Inputs!$G$88,12,(Inputs!$G$88-D$1*12)),0)*Inputs!$B$90</f>
        <v>3000</v>
      </c>
      <c r="F26" s="8">
        <f>MAX(IF(F$1*12&lt;=Inputs!$G$88,12,(Inputs!$G$88-E$1*12)),0)*Inputs!$B$90</f>
        <v>3000</v>
      </c>
      <c r="G26" s="8">
        <f>MAX(IF(G$1*12&lt;=Inputs!$G$88,12,(Inputs!$G$88-F$1*12)),0)*Inputs!$B$90</f>
        <v>3000</v>
      </c>
      <c r="H26" s="8">
        <f>MAX(IF(H$1*12&lt;=Inputs!$G$88,12,(Inputs!$G$88-G$1*12)),0)*Inputs!$B$90</f>
        <v>2296.8596856502154</v>
      </c>
      <c r="I26" s="8">
        <f>MAX(IF(I$1*12&lt;=Inputs!$G$88,12,(Inputs!$G$88-H$1*12)),0)*Inputs!$B$90</f>
        <v>0</v>
      </c>
      <c r="J26" s="8">
        <f>MAX(IF(J$1*12&lt;=Inputs!$G$88,12,(Inputs!$G$88-I$1*12)),0)*Inputs!$B$90</f>
        <v>0</v>
      </c>
      <c r="K26" s="8">
        <f>MAX(IF(K$1*12&lt;=Inputs!$G$88,12,(Inputs!$G$88-J$1*12)),0)*Inputs!$B$90</f>
        <v>0</v>
      </c>
      <c r="L26" s="8">
        <f>MAX(IF(L$1*12&lt;=Inputs!$G$88,12,(Inputs!$G$88-K$1*12)),0)*Inputs!$B$90</f>
        <v>0</v>
      </c>
      <c r="M26" s="8">
        <f>MAX(IF(M$1*12&lt;=Inputs!$G$88,12,(Inputs!$G$88-L$1*12)),0)*Inputs!$B$90</f>
        <v>0</v>
      </c>
      <c r="N26" s="8">
        <f>MAX(IF(N$1*12&lt;=Inputs!$G$88,12,(Inputs!$G$88-M$1*12)),0)*Inputs!$B$90</f>
        <v>0</v>
      </c>
      <c r="O26" s="8">
        <f>MAX(IF(O$1*12&lt;=Inputs!$G$88,12,(Inputs!$G$88-N$1*12)),0)*Inputs!$B$90</f>
        <v>0</v>
      </c>
      <c r="P26" s="8">
        <f>MAX(IF(P$1*12&lt;=Inputs!$G$88,12,(Inputs!$G$88-O$1*12)),0)*Inputs!$B$90</f>
        <v>0</v>
      </c>
      <c r="Q26" s="8">
        <f>MAX(IF(Q$1*12&lt;=Inputs!$G$88,12,(Inputs!$G$88-P$1*12)),0)*Inputs!$B$90</f>
        <v>0</v>
      </c>
      <c r="R26" s="8">
        <f>MAX(IF(R$1*12&lt;=Inputs!$G$88,12,(Inputs!$G$88-Q$1*12)),0)*Inputs!$B$90</f>
        <v>0</v>
      </c>
      <c r="S26" s="8">
        <f>MAX(IF(S$1*12&lt;=Inputs!$G$88,12,(Inputs!$G$88-R$1*12)),0)*Inputs!$B$90</f>
        <v>0</v>
      </c>
      <c r="T26" s="8">
        <f>MAX(IF(T$1*12&lt;=Inputs!$G$88,12,(Inputs!$G$88-S$1*12)),0)*Inputs!$B$90</f>
        <v>0</v>
      </c>
      <c r="U26" s="8">
        <f>MAX(IF(U$1*12&lt;=Inputs!$G$88,12,(Inputs!$G$88-T$1*12)),0)*Inputs!$B$90</f>
        <v>0</v>
      </c>
      <c r="V26" s="8">
        <f>MAX(IF(V$1*12&lt;=Inputs!$G$88,12,(Inputs!$G$88-U$1*12)),0)*Inputs!$B$90</f>
        <v>0</v>
      </c>
      <c r="W26" s="8">
        <f>MAX(IF(W$1*12&lt;=Inputs!$G$88,12,(Inputs!$G$88-V$1*12)),0)*Inputs!$B$90</f>
        <v>0</v>
      </c>
      <c r="X26" s="8">
        <f>MAX(IF(X$1*12&lt;=Inputs!$G$88,12,(Inputs!$G$88-W$1*12)),0)*Inputs!$B$90</f>
        <v>0</v>
      </c>
      <c r="Y26" s="8">
        <f>MAX(IF(Y$1*12&lt;=Inputs!$G$88,12,(Inputs!$G$88-X$1*12)),0)*Inputs!$B$90</f>
        <v>0</v>
      </c>
      <c r="Z26" s="8">
        <f>MAX(IF(Z$1*12&lt;=Inputs!$G$88,12,(Inputs!$G$88-Y$1*12)),0)*Inputs!$B$90</f>
        <v>0</v>
      </c>
      <c r="AA26" s="8">
        <f>MAX(IF(AA$1*12&lt;=Inputs!$G$88,12,(Inputs!$G$88-Z$1*12)),0)*Inputs!$B$90</f>
        <v>0</v>
      </c>
      <c r="AB26" s="8">
        <f>MAX(IF(AB$1*12&lt;=Inputs!$G$88,12,(Inputs!$G$88-AA$1*12)),0)*Inputs!$B$90</f>
        <v>0</v>
      </c>
      <c r="AC26" s="8">
        <f>MAX(IF(AC$1*12&lt;=Inputs!$G$88,12,(Inputs!$G$88-AB$1*12)),0)*Inputs!$B$90</f>
        <v>0</v>
      </c>
      <c r="AD26" s="8">
        <f>MAX(IF(AD$1*12&lt;=Inputs!$G$88,12,(Inputs!$G$88-AC$1*12)),0)*Inputs!$B$90</f>
        <v>0</v>
      </c>
      <c r="AE26" s="8">
        <f>MAX(IF(AE$1*12&lt;=Inputs!$G$88,12,(Inputs!$G$88-AD$1*12)),0)*Inputs!$B$90</f>
        <v>0</v>
      </c>
      <c r="AF26" s="8">
        <f>MAX(IF(AF$1*12&lt;=Inputs!$G$88,12,(Inputs!$G$88-AE$1*12)),0)*Inputs!$B$90</f>
        <v>0</v>
      </c>
      <c r="AG26" s="8">
        <f>MAX(IF(AG$1*12&lt;=Inputs!$G$88,12,(Inputs!$G$88-AF$1*12)),0)*Inputs!$B$90</f>
        <v>0</v>
      </c>
      <c r="AH26" s="8">
        <f>MAX(IF(AH$1*12&lt;=Inputs!$G$88,12,(Inputs!$G$88-AG$1*12)),0)*Inputs!$B$90</f>
        <v>0</v>
      </c>
      <c r="AI26" s="8">
        <f>MAX(IF(AI$1*12&lt;=Inputs!$G$88,12,(Inputs!$G$88-AH$1*12)),0)*Inputs!$B$90</f>
        <v>0</v>
      </c>
      <c r="AJ26" s="8">
        <f>MAX(IF(AJ$1*12&lt;=Inputs!$G$88,12,(Inputs!$G$88-AI$1*12)),0)*Inputs!$B$90</f>
        <v>0</v>
      </c>
      <c r="AK26" s="8">
        <f>MAX(IF(AK$1*12&lt;=Inputs!$G$88,12,(Inputs!$G$88-AJ$1*12)),0)*Inputs!$B$90</f>
        <v>0</v>
      </c>
      <c r="AL26" s="8">
        <f>MAX(IF(AL$1*12&lt;=Inputs!$G$88,12,(Inputs!$G$88-AK$1*12)),0)*Inputs!$B$90</f>
        <v>0</v>
      </c>
      <c r="AM26" s="8">
        <f>MAX(IF(AM$1*12&lt;=Inputs!$G$88,12,(Inputs!$G$88-AL$1*12)),0)*Inputs!$B$90</f>
        <v>0</v>
      </c>
    </row>
    <row r="27" spans="1:39" x14ac:dyDescent="0.2">
      <c r="A27" s="5" t="s">
        <v>39</v>
      </c>
      <c r="C27" s="8">
        <f>MAX(IF(C$1*12&lt;=Inputs!$G$93,12,(Inputs!$G$93-B$1*12)),0)*Inputs!$B$95</f>
        <v>600</v>
      </c>
      <c r="D27" s="8">
        <f>MAX(IF(D$1*12&lt;=Inputs!$G$93,12,(Inputs!$G$93-C$1*12)),0)*Inputs!$B$95</f>
        <v>600</v>
      </c>
      <c r="E27" s="8">
        <f>MAX(IF(E$1*12&lt;=Inputs!$G$93,12,(Inputs!$G$93-D$1*12)),0)*Inputs!$B$95</f>
        <v>600</v>
      </c>
      <c r="F27" s="8">
        <f>MAX(IF(F$1*12&lt;=Inputs!$G$93,12,(Inputs!$G$93-E$1*12)),0)*Inputs!$B$95</f>
        <v>600</v>
      </c>
      <c r="G27" s="8">
        <f>MAX(IF(G$1*12&lt;=Inputs!$G$93,12,(Inputs!$G$93-F$1*12)),0)*Inputs!$B$95</f>
        <v>600</v>
      </c>
      <c r="H27" s="8">
        <f>MAX(IF(H$1*12&lt;=Inputs!$G$93,12,(Inputs!$G$93-G$1*12)),0)*Inputs!$B$95</f>
        <v>600</v>
      </c>
      <c r="I27" s="8">
        <f>MAX(IF(I$1*12&lt;=Inputs!$G$93,12,(Inputs!$G$93-H$1*12)),0)*Inputs!$B$95</f>
        <v>600</v>
      </c>
      <c r="J27" s="8">
        <f>MAX(IF(J$1*12&lt;=Inputs!$G$93,12,(Inputs!$G$93-I$1*12)),0)*Inputs!$B$95</f>
        <v>600</v>
      </c>
      <c r="K27" s="8">
        <f>MAX(IF(K$1*12&lt;=Inputs!$G$93,12,(Inputs!$G$93-J$1*12)),0)*Inputs!$B$95</f>
        <v>321.016262575219</v>
      </c>
      <c r="L27" s="8">
        <f>MAX(IF(L$1*12&lt;=Inputs!$G$93,12,(Inputs!$G$93-K$1*12)),0)*Inputs!$B$95</f>
        <v>0</v>
      </c>
      <c r="M27" s="8">
        <f>MAX(IF(M$1*12&lt;=Inputs!$G$93,12,(Inputs!$G$93-L$1*12)),0)*Inputs!$B$95</f>
        <v>0</v>
      </c>
      <c r="N27" s="8">
        <f>MAX(IF(N$1*12&lt;=Inputs!$G$93,12,(Inputs!$G$93-M$1*12)),0)*Inputs!$B$95</f>
        <v>0</v>
      </c>
      <c r="O27" s="8">
        <f>MAX(IF(O$1*12&lt;=Inputs!$G$93,12,(Inputs!$G$93-N$1*12)),0)*Inputs!$B$95</f>
        <v>0</v>
      </c>
      <c r="P27" s="8">
        <f>MAX(IF(P$1*12&lt;=Inputs!$G$93,12,(Inputs!$G$93-O$1*12)),0)*Inputs!$B$95</f>
        <v>0</v>
      </c>
      <c r="Q27" s="8">
        <f>MAX(IF(Q$1*12&lt;=Inputs!$G$93,12,(Inputs!$G$93-P$1*12)),0)*Inputs!$B$95</f>
        <v>0</v>
      </c>
      <c r="R27" s="8">
        <f>MAX(IF(R$1*12&lt;=Inputs!$G$93,12,(Inputs!$G$93-Q$1*12)),0)*Inputs!$B$95</f>
        <v>0</v>
      </c>
      <c r="S27" s="8">
        <f>MAX(IF(S$1*12&lt;=Inputs!$G$93,12,(Inputs!$G$93-R$1*12)),0)*Inputs!$B$95</f>
        <v>0</v>
      </c>
      <c r="T27" s="8">
        <f>MAX(IF(T$1*12&lt;=Inputs!$G$93,12,(Inputs!$G$93-S$1*12)),0)*Inputs!$B$95</f>
        <v>0</v>
      </c>
      <c r="U27" s="8">
        <f>MAX(IF(U$1*12&lt;=Inputs!$G$93,12,(Inputs!$G$93-T$1*12)),0)*Inputs!$B$95</f>
        <v>0</v>
      </c>
      <c r="V27" s="8">
        <f>MAX(IF(V$1*12&lt;=Inputs!$G$93,12,(Inputs!$G$93-U$1*12)),0)*Inputs!$B$95</f>
        <v>0</v>
      </c>
      <c r="W27" s="8">
        <f>MAX(IF(W$1*12&lt;=Inputs!$G$93,12,(Inputs!$G$93-V$1*12)),0)*Inputs!$B$95</f>
        <v>0</v>
      </c>
      <c r="X27" s="8">
        <f>MAX(IF(X$1*12&lt;=Inputs!$G$93,12,(Inputs!$G$93-W$1*12)),0)*Inputs!$B$95</f>
        <v>0</v>
      </c>
      <c r="Y27" s="8">
        <f>MAX(IF(Y$1*12&lt;=Inputs!$G$93,12,(Inputs!$G$93-X$1*12)),0)*Inputs!$B$95</f>
        <v>0</v>
      </c>
      <c r="Z27" s="8">
        <f>MAX(IF(Z$1*12&lt;=Inputs!$G$93,12,(Inputs!$G$93-Y$1*12)),0)*Inputs!$B$95</f>
        <v>0</v>
      </c>
      <c r="AA27" s="8">
        <f>MAX(IF(AA$1*12&lt;=Inputs!$G$93,12,(Inputs!$G$93-Z$1*12)),0)*Inputs!$B$95</f>
        <v>0</v>
      </c>
      <c r="AB27" s="8">
        <f>MAX(IF(AB$1*12&lt;=Inputs!$G$93,12,(Inputs!$G$93-AA$1*12)),0)*Inputs!$B$95</f>
        <v>0</v>
      </c>
      <c r="AC27" s="8">
        <f>MAX(IF(AC$1*12&lt;=Inputs!$G$93,12,(Inputs!$G$93-AB$1*12)),0)*Inputs!$B$95</f>
        <v>0</v>
      </c>
      <c r="AD27" s="8">
        <f>MAX(IF(AD$1*12&lt;=Inputs!$G$93,12,(Inputs!$G$93-AC$1*12)),0)*Inputs!$B$95</f>
        <v>0</v>
      </c>
      <c r="AE27" s="8">
        <f>MAX(IF(AE$1*12&lt;=Inputs!$G$93,12,(Inputs!$G$93-AD$1*12)),0)*Inputs!$B$95</f>
        <v>0</v>
      </c>
      <c r="AF27" s="8">
        <f>MAX(IF(AF$1*12&lt;=Inputs!$G$93,12,(Inputs!$G$93-AE$1*12)),0)*Inputs!$B$95</f>
        <v>0</v>
      </c>
      <c r="AG27" s="8">
        <f>MAX(IF(AG$1*12&lt;=Inputs!$G$93,12,(Inputs!$G$93-AF$1*12)),0)*Inputs!$B$95</f>
        <v>0</v>
      </c>
      <c r="AH27" s="8">
        <f>MAX(IF(AH$1*12&lt;=Inputs!$G$93,12,(Inputs!$G$93-AG$1*12)),0)*Inputs!$B$95</f>
        <v>0</v>
      </c>
      <c r="AI27" s="8">
        <f>MAX(IF(AI$1*12&lt;=Inputs!$G$93,12,(Inputs!$G$93-AH$1*12)),0)*Inputs!$B$95</f>
        <v>0</v>
      </c>
      <c r="AJ27" s="8">
        <f>MAX(IF(AJ$1*12&lt;=Inputs!$G$93,12,(Inputs!$G$93-AI$1*12)),0)*Inputs!$B$95</f>
        <v>0</v>
      </c>
      <c r="AK27" s="8">
        <f>MAX(IF(AK$1*12&lt;=Inputs!$G$93,12,(Inputs!$G$93-AJ$1*12)),0)*Inputs!$B$95</f>
        <v>0</v>
      </c>
      <c r="AL27" s="8">
        <f>MAX(IF(AL$1*12&lt;=Inputs!$G$93,12,(Inputs!$G$93-AK$1*12)),0)*Inputs!$B$95</f>
        <v>0</v>
      </c>
      <c r="AM27" s="8">
        <f>MAX(IF(AM$1*12&lt;=Inputs!$G$93,12,(Inputs!$G$93-AL$1*12)),0)*Inputs!$B$95</f>
        <v>0</v>
      </c>
    </row>
    <row r="28" spans="1:39" x14ac:dyDescent="0.2">
      <c r="A28" s="5" t="s">
        <v>58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</row>
    <row r="29" spans="1:39" x14ac:dyDescent="0.2">
      <c r="A29" s="4" t="str">
        <f>TEXT(Inputs!B33,"")</f>
        <v>John</v>
      </c>
      <c r="B29" s="9"/>
      <c r="C29" s="8">
        <f>IF(Inputs!$B$35&gt;=C$1,Inputs!$B$34,0)*(1+inf)^B$1</f>
        <v>2000</v>
      </c>
      <c r="D29" s="8">
        <f>IF(Inputs!$B$35&gt;=D$1,Inputs!$B$34,0)*(1+inf)^C$1</f>
        <v>2050</v>
      </c>
      <c r="E29" s="8">
        <f>IF(Inputs!$B$35&gt;=E$1,Inputs!$B$34,0)*(1+inf)^D$1</f>
        <v>2101.25</v>
      </c>
      <c r="F29" s="8">
        <f>IF(Inputs!$B$35&gt;=F$1,Inputs!$B$34,0)*(1+inf)^E$1</f>
        <v>0</v>
      </c>
      <c r="G29" s="8">
        <f>IF(Inputs!$B$35&gt;=G$1,Inputs!$B$34,0)*(1+inf)^F$1</f>
        <v>0</v>
      </c>
      <c r="H29" s="8">
        <f>IF(Inputs!$B$35&gt;=H$1,Inputs!$B$34,0)*(1+inf)^G$1</f>
        <v>0</v>
      </c>
      <c r="I29" s="8">
        <f>IF(Inputs!$B$35&gt;=I$1,Inputs!$B$34,0)*(1+inf)^H$1</f>
        <v>0</v>
      </c>
      <c r="J29" s="8">
        <f>IF(Inputs!$B$35&gt;=J$1,Inputs!$B$34,0)*(1+inf)^I$1</f>
        <v>0</v>
      </c>
      <c r="K29" s="8">
        <f>IF(Inputs!$B$35&gt;=K$1,Inputs!$B$34,0)*(1+inf)^J$1</f>
        <v>0</v>
      </c>
      <c r="L29" s="8">
        <f>IF(Inputs!$B$35&gt;=L$1,Inputs!$B$34,0)*(1+inf)^K$1</f>
        <v>0</v>
      </c>
      <c r="M29" s="8">
        <f>IF(Inputs!$B$35&gt;=M$1,Inputs!$B$34,0)*(1+inf)^L$1</f>
        <v>0</v>
      </c>
      <c r="N29" s="8">
        <f>IF(Inputs!$B$35&gt;=N$1,Inputs!$B$34,0)*(1+inf)^M$1</f>
        <v>0</v>
      </c>
      <c r="O29" s="8">
        <f>IF(Inputs!$B$35&gt;=O$1,Inputs!$B$34,0)*(1+inf)^N$1</f>
        <v>0</v>
      </c>
      <c r="P29" s="8">
        <f>IF(Inputs!$B$35&gt;=P$1,Inputs!$B$34,0)*(1+inf)^O$1</f>
        <v>0</v>
      </c>
      <c r="Q29" s="8">
        <f>IF(Inputs!$B$35&gt;=Q$1,Inputs!$B$34,0)*(1+inf)^P$1</f>
        <v>0</v>
      </c>
      <c r="R29" s="8">
        <f>IF(Inputs!$B$35&gt;=R$1,Inputs!$B$34,0)*(1+inf)^Q$1</f>
        <v>0</v>
      </c>
      <c r="S29" s="8">
        <f>IF(Inputs!$B$35&gt;=S$1,Inputs!$B$34,0)*(1+inf)^R$1</f>
        <v>0</v>
      </c>
      <c r="T29" s="8">
        <f>IF(Inputs!$B$35&gt;=T$1,Inputs!$B$34,0)*(1+inf)^S$1</f>
        <v>0</v>
      </c>
      <c r="U29" s="8">
        <f>IF(Inputs!$B$35&gt;=U$1,Inputs!$B$34,0)*(1+inf)^T$1</f>
        <v>0</v>
      </c>
      <c r="V29" s="8">
        <f>IF(Inputs!$B$35&gt;=V$1,Inputs!$B$34,0)*(1+inf)^U$1</f>
        <v>0</v>
      </c>
      <c r="W29" s="8">
        <f>IF(Inputs!$B$35&gt;=W$1,Inputs!$B$34,0)*(1+inf)^V$1</f>
        <v>0</v>
      </c>
      <c r="X29" s="8">
        <f>IF(Inputs!$B$35&gt;=X$1,Inputs!$B$34,0)*(1+inf)^W$1</f>
        <v>0</v>
      </c>
      <c r="Y29" s="8">
        <f>IF(Inputs!$B$35&gt;=Y$1,Inputs!$B$34,0)*(1+inf)^X$1</f>
        <v>0</v>
      </c>
      <c r="Z29" s="8">
        <f>IF(Inputs!$B$35&gt;=Z$1,Inputs!$B$34,0)*(1+inf)^Y$1</f>
        <v>0</v>
      </c>
      <c r="AA29" s="8">
        <f>IF(Inputs!$B$35&gt;=AA$1,Inputs!$B$34,0)*(1+inf)^Z$1</f>
        <v>0</v>
      </c>
      <c r="AB29" s="8">
        <f>IF(Inputs!$B$35&gt;=AB$1,Inputs!$B$34,0)*(1+inf)^AA$1</f>
        <v>0</v>
      </c>
      <c r="AC29" s="8">
        <f>IF(Inputs!$B$35&gt;=AC$1,Inputs!$B$34,0)*(1+inf)^AB$1</f>
        <v>0</v>
      </c>
      <c r="AD29" s="8">
        <f>IF(Inputs!$B$35&gt;=AD$1,Inputs!$B$34,0)*(1+inf)^AC$1</f>
        <v>0</v>
      </c>
      <c r="AE29" s="8">
        <f>IF(Inputs!$B$35&gt;=AE$1,Inputs!$B$34,0)*(1+inf)^AD$1</f>
        <v>0</v>
      </c>
      <c r="AF29" s="8">
        <f>IF(Inputs!$B$35&gt;=AF$1,Inputs!$B$34,0)*(1+inf)^AE$1</f>
        <v>0</v>
      </c>
      <c r="AG29" s="8">
        <f>IF(Inputs!$B$35&gt;=AG$1,Inputs!$B$34,0)*(1+inf)^AF$1</f>
        <v>0</v>
      </c>
      <c r="AH29" s="8">
        <f>IF(Inputs!$B$35&gt;=AH$1,Inputs!$B$34,0)*(1+inf)^AG$1</f>
        <v>0</v>
      </c>
      <c r="AI29" s="8">
        <f>IF(Inputs!$B$35&gt;=AI$1,Inputs!$B$34,0)*(1+inf)^AH$1</f>
        <v>0</v>
      </c>
      <c r="AJ29" s="8">
        <f>IF(Inputs!$B$35&gt;=AJ$1,Inputs!$B$34,0)*(1+inf)^AI$1</f>
        <v>0</v>
      </c>
      <c r="AK29" s="8">
        <f>IF(Inputs!$B$35&gt;=AK$1,Inputs!$B$34,0)*(1+inf)^AJ$1</f>
        <v>0</v>
      </c>
      <c r="AL29" s="8">
        <f>IF(Inputs!$B$35&gt;=AL$1,Inputs!$B$34,0)*(1+inf)^AK$1</f>
        <v>0</v>
      </c>
      <c r="AM29" s="8">
        <f>IF(Inputs!$B$35&gt;=AM$1,Inputs!$B$34,0)*(1+inf)^AL$1</f>
        <v>0</v>
      </c>
    </row>
    <row r="30" spans="1:39" x14ac:dyDescent="0.2">
      <c r="A30" s="4" t="str">
        <f>TEXT(Inputs!B38,"")</f>
        <v>Jack</v>
      </c>
      <c r="B30" s="9"/>
      <c r="C30" s="8">
        <f>IF(Inputs!$B$40&gt;=C$1,Inputs!$B$39,0)*(1+inf)^B$1</f>
        <v>1000</v>
      </c>
      <c r="D30" s="8">
        <f>IF(Inputs!$B$40&gt;=D$1,Inputs!$B$39,0)*(1+inf)^C$1</f>
        <v>1025</v>
      </c>
      <c r="E30" s="8">
        <f>IF(Inputs!$B$40&gt;=E$1,Inputs!$B$39,0)*(1+inf)^D$1</f>
        <v>1050.625</v>
      </c>
      <c r="F30" s="8">
        <f>IF(Inputs!$B$40&gt;=F$1,Inputs!$B$39,0)*(1+inf)^E$1</f>
        <v>1076.8906249999998</v>
      </c>
      <c r="G30" s="8">
        <f>IF(Inputs!$B$40&gt;=G$1,Inputs!$B$39,0)*(1+inf)^F$1</f>
        <v>1103.8128906249997</v>
      </c>
      <c r="H30" s="8">
        <f>IF(Inputs!$B$40&gt;=H$1,Inputs!$B$39,0)*(1+inf)^G$1</f>
        <v>0</v>
      </c>
      <c r="I30" s="8">
        <f>IF(Inputs!$B$40&gt;=I$1,Inputs!$B$39,0)*(1+inf)^H$1</f>
        <v>0</v>
      </c>
      <c r="J30" s="8">
        <f>IF(Inputs!$B$40&gt;=J$1,Inputs!$B$39,0)*(1+inf)^I$1</f>
        <v>0</v>
      </c>
      <c r="K30" s="8">
        <f>IF(Inputs!$B$40&gt;=K$1,Inputs!$B$39,0)*(1+inf)^J$1</f>
        <v>0</v>
      </c>
      <c r="L30" s="8">
        <f>IF(Inputs!$B$40&gt;=L$1,Inputs!$B$39,0)*(1+inf)^K$1</f>
        <v>0</v>
      </c>
      <c r="M30" s="8">
        <f>IF(Inputs!$B$40&gt;=M$1,Inputs!$B$39,0)*(1+inf)^L$1</f>
        <v>0</v>
      </c>
      <c r="N30" s="8">
        <f>IF(Inputs!$B$40&gt;=N$1,Inputs!$B$39,0)*(1+inf)^M$1</f>
        <v>0</v>
      </c>
      <c r="O30" s="8">
        <f>IF(Inputs!$B$40&gt;=O$1,Inputs!$B$39,0)*(1+inf)^N$1</f>
        <v>0</v>
      </c>
      <c r="P30" s="8">
        <f>IF(Inputs!$B$40&gt;=P$1,Inputs!$B$39,0)*(1+inf)^O$1</f>
        <v>0</v>
      </c>
      <c r="Q30" s="8">
        <f>IF(Inputs!$B$40&gt;=Q$1,Inputs!$B$39,0)*(1+inf)^P$1</f>
        <v>0</v>
      </c>
      <c r="R30" s="8">
        <f>IF(Inputs!$B$40&gt;=R$1,Inputs!$B$39,0)*(1+inf)^Q$1</f>
        <v>0</v>
      </c>
      <c r="S30" s="8">
        <f>IF(Inputs!$B$40&gt;=S$1,Inputs!$B$39,0)*(1+inf)^R$1</f>
        <v>0</v>
      </c>
      <c r="T30" s="8">
        <f>IF(Inputs!$B$40&gt;=T$1,Inputs!$B$39,0)*(1+inf)^S$1</f>
        <v>0</v>
      </c>
      <c r="U30" s="8">
        <f>IF(Inputs!$B$40&gt;=U$1,Inputs!$B$39,0)*(1+inf)^T$1</f>
        <v>0</v>
      </c>
      <c r="V30" s="8">
        <f>IF(Inputs!$B$40&gt;=V$1,Inputs!$B$39,0)*(1+inf)^U$1</f>
        <v>0</v>
      </c>
      <c r="W30" s="8">
        <f>IF(Inputs!$B$40&gt;=W$1,Inputs!$B$39,0)*(1+inf)^V$1</f>
        <v>0</v>
      </c>
      <c r="X30" s="8">
        <f>IF(Inputs!$B$40&gt;=X$1,Inputs!$B$39,0)*(1+inf)^W$1</f>
        <v>0</v>
      </c>
      <c r="Y30" s="8">
        <f>IF(Inputs!$B$40&gt;=Y$1,Inputs!$B$39,0)*(1+inf)^X$1</f>
        <v>0</v>
      </c>
      <c r="Z30" s="8">
        <f>IF(Inputs!$B$40&gt;=Z$1,Inputs!$B$39,0)*(1+inf)^Y$1</f>
        <v>0</v>
      </c>
      <c r="AA30" s="8">
        <f>IF(Inputs!$B$40&gt;=AA$1,Inputs!$B$39,0)*(1+inf)^Z$1</f>
        <v>0</v>
      </c>
      <c r="AB30" s="8">
        <f>IF(Inputs!$B$40&gt;=AB$1,Inputs!$B$39,0)*(1+inf)^AA$1</f>
        <v>0</v>
      </c>
      <c r="AC30" s="8">
        <f>IF(Inputs!$B$40&gt;=AC$1,Inputs!$B$39,0)*(1+inf)^AB$1</f>
        <v>0</v>
      </c>
      <c r="AD30" s="8">
        <f>IF(Inputs!$B$40&gt;=AD$1,Inputs!$B$39,0)*(1+inf)^AC$1</f>
        <v>0</v>
      </c>
      <c r="AE30" s="8">
        <f>IF(Inputs!$B$40&gt;=AE$1,Inputs!$B$39,0)*(1+inf)^AD$1</f>
        <v>0</v>
      </c>
      <c r="AF30" s="8">
        <f>IF(Inputs!$B$40&gt;=AF$1,Inputs!$B$39,0)*(1+inf)^AE$1</f>
        <v>0</v>
      </c>
      <c r="AG30" s="8">
        <f>IF(Inputs!$B$40&gt;=AG$1,Inputs!$B$39,0)*(1+inf)^AF$1</f>
        <v>0</v>
      </c>
      <c r="AH30" s="8">
        <f>IF(Inputs!$B$40&gt;=AH$1,Inputs!$B$39,0)*(1+inf)^AG$1</f>
        <v>0</v>
      </c>
      <c r="AI30" s="8">
        <f>IF(Inputs!$B$40&gt;=AI$1,Inputs!$B$39,0)*(1+inf)^AH$1</f>
        <v>0</v>
      </c>
      <c r="AJ30" s="8">
        <f>IF(Inputs!$B$40&gt;=AJ$1,Inputs!$B$39,0)*(1+inf)^AI$1</f>
        <v>0</v>
      </c>
      <c r="AK30" s="8">
        <f>IF(Inputs!$B$40&gt;=AK$1,Inputs!$B$39,0)*(1+inf)^AJ$1</f>
        <v>0</v>
      </c>
      <c r="AL30" s="8">
        <f>IF(Inputs!$B$40&gt;=AL$1,Inputs!$B$39,0)*(1+inf)^AK$1</f>
        <v>0</v>
      </c>
      <c r="AM30" s="8">
        <f>IF(Inputs!$B$40&gt;=AM$1,Inputs!$B$39,0)*(1+inf)^AL$1</f>
        <v>0</v>
      </c>
    </row>
    <row r="31" spans="1:39" x14ac:dyDescent="0.2">
      <c r="A31" s="4" t="str">
        <f>TEXT(Inputs!B43,"")</f>
        <v>Bill</v>
      </c>
      <c r="B31" s="9"/>
      <c r="C31" s="8">
        <f>IF(Inputs!$B$45&gt;=C$1,Inputs!$B$44,0)*(1+inf)^B$1</f>
        <v>4000</v>
      </c>
      <c r="D31" s="8">
        <f>IF(Inputs!$B$45&gt;=D$1,Inputs!$B$44,0)*(1+inf)^C$1</f>
        <v>4100</v>
      </c>
      <c r="E31" s="8">
        <f>IF(Inputs!$B$45&gt;=E$1,Inputs!$B$44,0)*(1+inf)^D$1</f>
        <v>0</v>
      </c>
      <c r="F31" s="8">
        <f>IF(Inputs!$B$45&gt;=F$1,Inputs!$B$44,0)*(1+inf)^E$1</f>
        <v>0</v>
      </c>
      <c r="G31" s="8">
        <f>IF(Inputs!$B$45&gt;=G$1,Inputs!$B$44,0)*(1+inf)^F$1</f>
        <v>0</v>
      </c>
      <c r="H31" s="8">
        <f>IF(Inputs!$B$45&gt;=H$1,Inputs!$B$44,0)*(1+inf)^G$1</f>
        <v>0</v>
      </c>
      <c r="I31" s="8">
        <f>IF(Inputs!$B$45&gt;=I$1,Inputs!$B$44,0)*(1+inf)^H$1</f>
        <v>0</v>
      </c>
      <c r="J31" s="8">
        <f>IF(Inputs!$B$45&gt;=J$1,Inputs!$B$44,0)*(1+inf)^I$1</f>
        <v>0</v>
      </c>
      <c r="K31" s="8">
        <f>IF(Inputs!$B$45&gt;=K$1,Inputs!$B$44,0)*(1+inf)^J$1</f>
        <v>0</v>
      </c>
      <c r="L31" s="8">
        <f>IF(Inputs!$B$45&gt;=L$1,Inputs!$B$44,0)*(1+inf)^K$1</f>
        <v>0</v>
      </c>
      <c r="M31" s="8">
        <f>IF(Inputs!$B$45&gt;=M$1,Inputs!$B$44,0)*(1+inf)^L$1</f>
        <v>0</v>
      </c>
      <c r="N31" s="8">
        <f>IF(Inputs!$B$45&gt;=N$1,Inputs!$B$44,0)*(1+inf)^M$1</f>
        <v>0</v>
      </c>
      <c r="O31" s="8">
        <f>IF(Inputs!$B$45&gt;=O$1,Inputs!$B$44,0)*(1+inf)^N$1</f>
        <v>0</v>
      </c>
      <c r="P31" s="8">
        <f>IF(Inputs!$B$45&gt;=P$1,Inputs!$B$44,0)*(1+inf)^O$1</f>
        <v>0</v>
      </c>
      <c r="Q31" s="8">
        <f>IF(Inputs!$B$45&gt;=Q$1,Inputs!$B$44,0)*(1+inf)^P$1</f>
        <v>0</v>
      </c>
      <c r="R31" s="8">
        <f>IF(Inputs!$B$45&gt;=R$1,Inputs!$B$44,0)*(1+inf)^Q$1</f>
        <v>0</v>
      </c>
      <c r="S31" s="8">
        <f>IF(Inputs!$B$45&gt;=S$1,Inputs!$B$44,0)*(1+inf)^R$1</f>
        <v>0</v>
      </c>
      <c r="T31" s="8">
        <f>IF(Inputs!$B$45&gt;=T$1,Inputs!$B$44,0)*(1+inf)^S$1</f>
        <v>0</v>
      </c>
      <c r="U31" s="8">
        <f>IF(Inputs!$B$45&gt;=U$1,Inputs!$B$44,0)*(1+inf)^T$1</f>
        <v>0</v>
      </c>
      <c r="V31" s="8">
        <f>IF(Inputs!$B$45&gt;=V$1,Inputs!$B$44,0)*(1+inf)^U$1</f>
        <v>0</v>
      </c>
      <c r="W31" s="8">
        <f>IF(Inputs!$B$45&gt;=W$1,Inputs!$B$44,0)*(1+inf)^V$1</f>
        <v>0</v>
      </c>
      <c r="X31" s="8">
        <f>IF(Inputs!$B$45&gt;=X$1,Inputs!$B$44,0)*(1+inf)^W$1</f>
        <v>0</v>
      </c>
      <c r="Y31" s="8">
        <f>IF(Inputs!$B$45&gt;=Y$1,Inputs!$B$44,0)*(1+inf)^X$1</f>
        <v>0</v>
      </c>
      <c r="Z31" s="8">
        <f>IF(Inputs!$B$45&gt;=Z$1,Inputs!$B$44,0)*(1+inf)^Y$1</f>
        <v>0</v>
      </c>
      <c r="AA31" s="8">
        <f>IF(Inputs!$B$45&gt;=AA$1,Inputs!$B$44,0)*(1+inf)^Z$1</f>
        <v>0</v>
      </c>
      <c r="AB31" s="8">
        <f>IF(Inputs!$B$45&gt;=AB$1,Inputs!$B$44,0)*(1+inf)^AA$1</f>
        <v>0</v>
      </c>
      <c r="AC31" s="8">
        <f>IF(Inputs!$B$45&gt;=AC$1,Inputs!$B$44,0)*(1+inf)^AB$1</f>
        <v>0</v>
      </c>
      <c r="AD31" s="8">
        <f>IF(Inputs!$B$45&gt;=AD$1,Inputs!$B$44,0)*(1+inf)^AC$1</f>
        <v>0</v>
      </c>
      <c r="AE31" s="8">
        <f>IF(Inputs!$B$45&gt;=AE$1,Inputs!$B$44,0)*(1+inf)^AD$1</f>
        <v>0</v>
      </c>
      <c r="AF31" s="8">
        <f>IF(Inputs!$B$45&gt;=AF$1,Inputs!$B$44,0)*(1+inf)^AE$1</f>
        <v>0</v>
      </c>
      <c r="AG31" s="8">
        <f>IF(Inputs!$B$45&gt;=AG$1,Inputs!$B$44,0)*(1+inf)^AF$1</f>
        <v>0</v>
      </c>
      <c r="AH31" s="8">
        <f>IF(Inputs!$B$45&gt;=AH$1,Inputs!$B$44,0)*(1+inf)^AG$1</f>
        <v>0</v>
      </c>
      <c r="AI31" s="8">
        <f>IF(Inputs!$B$45&gt;=AI$1,Inputs!$B$44,0)*(1+inf)^AH$1</f>
        <v>0</v>
      </c>
      <c r="AJ31" s="8">
        <f>IF(Inputs!$B$45&gt;=AJ$1,Inputs!$B$44,0)*(1+inf)^AI$1</f>
        <v>0</v>
      </c>
      <c r="AK31" s="8">
        <f>IF(Inputs!$B$45&gt;=AK$1,Inputs!$B$44,0)*(1+inf)^AJ$1</f>
        <v>0</v>
      </c>
      <c r="AL31" s="8">
        <f>IF(Inputs!$B$45&gt;=AL$1,Inputs!$B$44,0)*(1+inf)^AK$1</f>
        <v>0</v>
      </c>
      <c r="AM31" s="8">
        <f>IF(Inputs!$B$45&gt;=AM$1,Inputs!$B$44,0)*(1+inf)^AL$1</f>
        <v>0</v>
      </c>
    </row>
    <row r="32" spans="1:39" x14ac:dyDescent="0.2">
      <c r="A32" s="5" t="s">
        <v>5</v>
      </c>
      <c r="B32" s="9"/>
      <c r="C32" s="8">
        <f>Inputs!$B$23*(1+inf)^B$1</f>
        <v>0</v>
      </c>
      <c r="D32" s="8">
        <f>Inputs!$B$23*(1+inf)^C$1</f>
        <v>0</v>
      </c>
      <c r="E32" s="8">
        <f>Inputs!$B$23*(1+inf)^D$1</f>
        <v>0</v>
      </c>
      <c r="F32" s="8">
        <f>Inputs!$B$23*(1+inf)^E$1</f>
        <v>0</v>
      </c>
      <c r="G32" s="8">
        <f>Inputs!$B$23*(1+inf)^F$1</f>
        <v>0</v>
      </c>
      <c r="H32" s="8">
        <f>Inputs!$B$23*(1+inf)^G$1</f>
        <v>0</v>
      </c>
      <c r="I32" s="8">
        <f>Inputs!$B$23*(1+inf)^H$1</f>
        <v>0</v>
      </c>
      <c r="J32" s="8">
        <f>Inputs!$B$23*(1+inf)^I$1</f>
        <v>0</v>
      </c>
      <c r="K32" s="8">
        <f>Inputs!$B$23*(1+inf)^J$1</f>
        <v>0</v>
      </c>
      <c r="L32" s="8">
        <f>Inputs!$B$23*(1+inf)^K$1</f>
        <v>0</v>
      </c>
      <c r="M32" s="8">
        <f>Inputs!$B$23*(1+inf)^L$1</f>
        <v>0</v>
      </c>
      <c r="N32" s="8">
        <f>Inputs!$B$23*(1+inf)^M$1</f>
        <v>0</v>
      </c>
      <c r="O32" s="8">
        <f>Inputs!$B$23*(1+inf)^N$1</f>
        <v>0</v>
      </c>
      <c r="P32" s="8">
        <f>Inputs!$B$23*(1+inf)^O$1</f>
        <v>0</v>
      </c>
      <c r="Q32" s="8">
        <f>Inputs!$B$23*(1+inf)^P$1</f>
        <v>0</v>
      </c>
      <c r="R32" s="8">
        <f>Inputs!$B$23*(1+inf)^Q$1</f>
        <v>0</v>
      </c>
      <c r="S32" s="8">
        <f>Inputs!$B$23*(1+inf)^R$1</f>
        <v>0</v>
      </c>
      <c r="T32" s="8">
        <f>Inputs!$B$23*(1+inf)^S$1</f>
        <v>0</v>
      </c>
      <c r="U32" s="8">
        <f>Inputs!$B$23*(1+inf)^T$1</f>
        <v>0</v>
      </c>
      <c r="V32" s="8">
        <f>Inputs!$B$23*(1+inf)^U$1</f>
        <v>0</v>
      </c>
      <c r="W32" s="8">
        <f>Inputs!$B$23*(1+inf)^V$1</f>
        <v>0</v>
      </c>
      <c r="X32" s="8">
        <f>Inputs!$B$23*(1+inf)^W$1</f>
        <v>0</v>
      </c>
      <c r="Y32" s="8">
        <f>Inputs!$B$23*(1+inf)^X$1</f>
        <v>0</v>
      </c>
      <c r="Z32" s="8">
        <f>Inputs!$B$23*(1+inf)^Y$1</f>
        <v>0</v>
      </c>
      <c r="AA32" s="8">
        <f>Inputs!$B$23*(1+inf)^Z$1</f>
        <v>0</v>
      </c>
      <c r="AB32" s="8">
        <f>Inputs!$B$23*(1+inf)^AA$1</f>
        <v>0</v>
      </c>
      <c r="AC32" s="8">
        <f>Inputs!$B$23*(1+inf)^AB$1</f>
        <v>0</v>
      </c>
      <c r="AD32" s="8">
        <f>Inputs!$B$23*(1+inf)^AC$1</f>
        <v>0</v>
      </c>
      <c r="AE32" s="8">
        <f>Inputs!$B$23*(1+inf)^AD$1</f>
        <v>0</v>
      </c>
      <c r="AF32" s="8">
        <f>Inputs!$B$23*(1+inf)^AE$1</f>
        <v>0</v>
      </c>
      <c r="AG32" s="8">
        <f>Inputs!$B$23*(1+inf)^AF$1</f>
        <v>0</v>
      </c>
      <c r="AH32" s="8">
        <f>Inputs!$B$23*(1+inf)^AG$1</f>
        <v>0</v>
      </c>
      <c r="AI32" s="8">
        <f>Inputs!$B$23*(1+inf)^AH$1</f>
        <v>0</v>
      </c>
      <c r="AJ32" s="8">
        <f>Inputs!$B$23*(1+inf)^AI$1</f>
        <v>0</v>
      </c>
      <c r="AK32" s="8">
        <f>Inputs!$B$23*(1+inf)^AJ$1</f>
        <v>0</v>
      </c>
      <c r="AL32" s="8">
        <f>Inputs!$B$23*(1+inf)^AK$1</f>
        <v>0</v>
      </c>
      <c r="AM32" s="8">
        <f>Inputs!$B$23*(1+inf)^AL$1</f>
        <v>0</v>
      </c>
    </row>
    <row r="33" spans="1:39" x14ac:dyDescent="0.2">
      <c r="A33" s="5" t="s">
        <v>59</v>
      </c>
      <c r="B33" s="9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</row>
    <row r="34" spans="1:39" x14ac:dyDescent="0.2">
      <c r="A34" s="4" t="str">
        <f>TEXT(Inputs!$B$50,"")</f>
        <v>Sliema</v>
      </c>
      <c r="B34" s="9"/>
      <c r="C34" s="8">
        <f>Inputs!$B52*(1+inf)^B$1</f>
        <v>5000</v>
      </c>
      <c r="D34" s="8">
        <f>Inputs!$B52*(1+inf)^C$1</f>
        <v>5125</v>
      </c>
      <c r="E34" s="8">
        <f>Inputs!$B52*(1+inf)^D$1</f>
        <v>5253.125</v>
      </c>
      <c r="F34" s="8">
        <f>Inputs!$B52*(1+inf)^E$1</f>
        <v>5384.4531249999991</v>
      </c>
      <c r="G34" s="8">
        <f>Inputs!$B52*(1+inf)^F$1</f>
        <v>5519.0644531249991</v>
      </c>
      <c r="H34" s="8">
        <f>Inputs!$B52*(1+inf)^G$1</f>
        <v>5657.041064453123</v>
      </c>
      <c r="I34" s="8">
        <f>Inputs!$B52*(1+inf)^H$1</f>
        <v>5798.4670910644509</v>
      </c>
      <c r="J34" s="8">
        <f>Inputs!$B52*(1+inf)^I$1</f>
        <v>5943.4287683410621</v>
      </c>
      <c r="K34" s="8">
        <f>Inputs!$B52*(1+inf)^J$1</f>
        <v>6092.0144875495889</v>
      </c>
      <c r="L34" s="8">
        <f>Inputs!$B52*(1+inf)^K$1</f>
        <v>6244.3148497383272</v>
      </c>
      <c r="M34" s="8">
        <f>Inputs!$B52*(1+inf)^L$1</f>
        <v>6400.4227209817855</v>
      </c>
      <c r="N34" s="8">
        <f>Inputs!$B52*(1+inf)^M$1</f>
        <v>6560.4332890063297</v>
      </c>
      <c r="O34" s="8">
        <f>Inputs!$B52*(1+inf)^N$1</f>
        <v>6724.4441212314878</v>
      </c>
      <c r="P34" s="8">
        <f>Inputs!$B52*(1+inf)^O$1</f>
        <v>6892.5552242622744</v>
      </c>
      <c r="Q34" s="8">
        <f>Inputs!$B52*(1+inf)^P$1</f>
        <v>7064.8691048688306</v>
      </c>
      <c r="R34" s="8">
        <f>Inputs!$B52*(1+inf)^Q$1</f>
        <v>7241.4908324905527</v>
      </c>
      <c r="S34" s="8">
        <f>Inputs!$B52*(1+inf)^R$1</f>
        <v>7422.5281033028159</v>
      </c>
      <c r="T34" s="8">
        <f>Inputs!$B52*(1+inf)^S$1</f>
        <v>7608.0913058853848</v>
      </c>
      <c r="U34" s="8">
        <f>Inputs!$B52*(1+inf)^T$1</f>
        <v>7798.2935885325196</v>
      </c>
      <c r="V34" s="8">
        <f>Inputs!$B52*(1+inf)^U$1</f>
        <v>7993.2509282458332</v>
      </c>
      <c r="W34" s="8">
        <f>Inputs!$B52*(1+inf)^V$1</f>
        <v>8193.0822014519781</v>
      </c>
      <c r="X34" s="8">
        <f>Inputs!$B52*(1+inf)^W$1</f>
        <v>8397.9092564882758</v>
      </c>
      <c r="Y34" s="8">
        <f>Inputs!$B52*(1+inf)^X$1</f>
        <v>8607.8569879004826</v>
      </c>
      <c r="Z34" s="8">
        <f>Inputs!$B52*(1+inf)^Y$1</f>
        <v>8823.0534125979957</v>
      </c>
      <c r="AA34" s="8">
        <f>Inputs!$B52*(1+inf)^Z$1</f>
        <v>9043.6297479129444</v>
      </c>
      <c r="AB34" s="8">
        <f>Inputs!$B52*(1+inf)^AA$1</f>
        <v>9269.7204916107676</v>
      </c>
      <c r="AC34" s="8">
        <f>Inputs!$B52*(1+inf)^AB$1</f>
        <v>9501.4635039010354</v>
      </c>
      <c r="AD34" s="8">
        <f>Inputs!$B52*(1+inf)^AC$1</f>
        <v>9739.0000914985612</v>
      </c>
      <c r="AE34" s="8">
        <f>Inputs!$B52*(1+inf)^AD$1</f>
        <v>9982.4750937860244</v>
      </c>
      <c r="AF34" s="8">
        <f>Inputs!$B52*(1+inf)^AE$1</f>
        <v>10232.036971130676</v>
      </c>
      <c r="AG34" s="8">
        <f>Inputs!$B52*(1+inf)^AF$1</f>
        <v>10487.83789540894</v>
      </c>
      <c r="AH34" s="8">
        <f>Inputs!$B52*(1+inf)^AG$1</f>
        <v>10750.033842794166</v>
      </c>
      <c r="AI34" s="8">
        <f>Inputs!$B52*(1+inf)^AH$1</f>
        <v>11018.784688864018</v>
      </c>
      <c r="AJ34" s="8">
        <f>Inputs!$B52*(1+inf)^AI$1</f>
        <v>11294.254306085619</v>
      </c>
      <c r="AK34" s="8">
        <f>Inputs!$B52*(1+inf)^AJ$1</f>
        <v>11576.610663737758</v>
      </c>
      <c r="AL34" s="8">
        <f>Inputs!$B52*(1+inf)^AK$1</f>
        <v>11866.025930331201</v>
      </c>
      <c r="AM34" s="8">
        <f>Inputs!$B52*(1+inf)^AL$1</f>
        <v>12162.676578589482</v>
      </c>
    </row>
    <row r="35" spans="1:39" x14ac:dyDescent="0.2">
      <c r="A35" s="4" t="str">
        <f>TEXT(Inputs!$B$55,"")</f>
        <v>Gzira</v>
      </c>
      <c r="B35" s="9"/>
      <c r="C35" s="8">
        <f>Inputs!$B57*(1+inf)^B$1</f>
        <v>2000</v>
      </c>
      <c r="D35" s="8">
        <f>Inputs!$B57*(1+inf)^C$1</f>
        <v>2050</v>
      </c>
      <c r="E35" s="8">
        <f>Inputs!$B57*(1+inf)^D$1</f>
        <v>2101.25</v>
      </c>
      <c r="F35" s="8">
        <f>Inputs!$B57*(1+inf)^E$1</f>
        <v>2153.7812499999995</v>
      </c>
      <c r="G35" s="8">
        <f>Inputs!$B57*(1+inf)^F$1</f>
        <v>2207.6257812499994</v>
      </c>
      <c r="H35" s="8">
        <f>Inputs!$B57*(1+inf)^G$1</f>
        <v>2262.8164257812491</v>
      </c>
      <c r="I35" s="8">
        <f>Inputs!$B57*(1+inf)^H$1</f>
        <v>2319.3868364257805</v>
      </c>
      <c r="J35" s="8">
        <f>Inputs!$B57*(1+inf)^I$1</f>
        <v>2377.3715073364251</v>
      </c>
      <c r="K35" s="8">
        <f>Inputs!$B57*(1+inf)^J$1</f>
        <v>2436.8057950198354</v>
      </c>
      <c r="L35" s="8">
        <f>Inputs!$B57*(1+inf)^K$1</f>
        <v>2497.7259398953311</v>
      </c>
      <c r="M35" s="8">
        <f>Inputs!$B57*(1+inf)^L$1</f>
        <v>2560.169088392714</v>
      </c>
      <c r="N35" s="8">
        <f>Inputs!$B57*(1+inf)^M$1</f>
        <v>2624.1733156025321</v>
      </c>
      <c r="O35" s="8">
        <f>Inputs!$B57*(1+inf)^N$1</f>
        <v>2689.7776484925948</v>
      </c>
      <c r="P35" s="8">
        <f>Inputs!$B57*(1+inf)^O$1</f>
        <v>2757.0220897049098</v>
      </c>
      <c r="Q35" s="8">
        <f>Inputs!$B57*(1+inf)^P$1</f>
        <v>2825.9476419475322</v>
      </c>
      <c r="R35" s="8">
        <f>Inputs!$B57*(1+inf)^Q$1</f>
        <v>2896.596332996221</v>
      </c>
      <c r="S35" s="8">
        <f>Inputs!$B57*(1+inf)^R$1</f>
        <v>2969.0112413211264</v>
      </c>
      <c r="T35" s="8">
        <f>Inputs!$B57*(1+inf)^S$1</f>
        <v>3043.2365223541542</v>
      </c>
      <c r="U35" s="8">
        <f>Inputs!$B57*(1+inf)^T$1</f>
        <v>3119.3174354130078</v>
      </c>
      <c r="V35" s="8">
        <f>Inputs!$B57*(1+inf)^U$1</f>
        <v>3197.3003712983332</v>
      </c>
      <c r="W35" s="8">
        <f>Inputs!$B57*(1+inf)^V$1</f>
        <v>3277.2328805807911</v>
      </c>
      <c r="X35" s="8">
        <f>Inputs!$B57*(1+inf)^W$1</f>
        <v>3359.1637025953105</v>
      </c>
      <c r="Y35" s="8">
        <f>Inputs!$B57*(1+inf)^X$1</f>
        <v>3443.1427951601931</v>
      </c>
      <c r="Z35" s="8">
        <f>Inputs!$B57*(1+inf)^Y$1</f>
        <v>3529.2213650391982</v>
      </c>
      <c r="AA35" s="8">
        <f>Inputs!$B57*(1+inf)^Z$1</f>
        <v>3617.451899165178</v>
      </c>
      <c r="AB35" s="8">
        <f>Inputs!$B57*(1+inf)^AA$1</f>
        <v>3707.8881966443068</v>
      </c>
      <c r="AC35" s="8">
        <f>Inputs!$B57*(1+inf)^AB$1</f>
        <v>3800.5854015604141</v>
      </c>
      <c r="AD35" s="8">
        <f>Inputs!$B57*(1+inf)^AC$1</f>
        <v>3895.6000365994241</v>
      </c>
      <c r="AE35" s="8">
        <f>Inputs!$B57*(1+inf)^AD$1</f>
        <v>3992.9900375144098</v>
      </c>
      <c r="AF35" s="8">
        <f>Inputs!$B57*(1+inf)^AE$1</f>
        <v>4092.8147884522705</v>
      </c>
      <c r="AG35" s="8">
        <f>Inputs!$B57*(1+inf)^AF$1</f>
        <v>4195.1351581635763</v>
      </c>
      <c r="AH35" s="8">
        <f>Inputs!$B57*(1+inf)^AG$1</f>
        <v>4300.0135371176666</v>
      </c>
      <c r="AI35" s="8">
        <f>Inputs!$B57*(1+inf)^AH$1</f>
        <v>4407.5138755456073</v>
      </c>
      <c r="AJ35" s="8">
        <f>Inputs!$B57*(1+inf)^AI$1</f>
        <v>4517.7017224342471</v>
      </c>
      <c r="AK35" s="8">
        <f>Inputs!$B57*(1+inf)^AJ$1</f>
        <v>4630.6442654951034</v>
      </c>
      <c r="AL35" s="8">
        <f>Inputs!$B57*(1+inf)^AK$1</f>
        <v>4746.41037213248</v>
      </c>
      <c r="AM35" s="8">
        <f>Inputs!$B57*(1+inf)^AL$1</f>
        <v>4865.0706314357931</v>
      </c>
    </row>
    <row r="36" spans="1:39" x14ac:dyDescent="0.2">
      <c r="A36" s="4" t="str">
        <f>TEXT(Inputs!$B$60,"")</f>
        <v>Qormi</v>
      </c>
      <c r="B36" s="9"/>
      <c r="C36" s="8">
        <f>Inputs!$B62*(1+inf)^B$1</f>
        <v>1200</v>
      </c>
      <c r="D36" s="8">
        <f>Inputs!$B62*(1+inf)^C$1</f>
        <v>1230</v>
      </c>
      <c r="E36" s="8">
        <f>Inputs!$B62*(1+inf)^D$1</f>
        <v>1260.75</v>
      </c>
      <c r="F36" s="8">
        <f>Inputs!$B62*(1+inf)^E$1</f>
        <v>1292.26875</v>
      </c>
      <c r="G36" s="8">
        <f>Inputs!$B62*(1+inf)^F$1</f>
        <v>1324.5754687499998</v>
      </c>
      <c r="H36" s="8">
        <f>Inputs!$B62*(1+inf)^G$1</f>
        <v>1357.6898554687496</v>
      </c>
      <c r="I36" s="8">
        <f>Inputs!$B62*(1+inf)^H$1</f>
        <v>1391.6321018554681</v>
      </c>
      <c r="J36" s="8">
        <f>Inputs!$B62*(1+inf)^I$1</f>
        <v>1426.422904401855</v>
      </c>
      <c r="K36" s="8">
        <f>Inputs!$B62*(1+inf)^J$1</f>
        <v>1462.0834770119013</v>
      </c>
      <c r="L36" s="8">
        <f>Inputs!$B62*(1+inf)^K$1</f>
        <v>1498.6355639371984</v>
      </c>
      <c r="M36" s="8">
        <f>Inputs!$B62*(1+inf)^L$1</f>
        <v>1536.1014530356285</v>
      </c>
      <c r="N36" s="8">
        <f>Inputs!$B62*(1+inf)^M$1</f>
        <v>1574.5039893615192</v>
      </c>
      <c r="O36" s="8">
        <f>Inputs!$B62*(1+inf)^N$1</f>
        <v>1613.8665890955569</v>
      </c>
      <c r="P36" s="8">
        <f>Inputs!$B62*(1+inf)^O$1</f>
        <v>1654.2132538229459</v>
      </c>
      <c r="Q36" s="8">
        <f>Inputs!$B62*(1+inf)^P$1</f>
        <v>1695.5685851685193</v>
      </c>
      <c r="R36" s="8">
        <f>Inputs!$B62*(1+inf)^Q$1</f>
        <v>1737.9577997977326</v>
      </c>
      <c r="S36" s="8">
        <f>Inputs!$B62*(1+inf)^R$1</f>
        <v>1781.4067447926757</v>
      </c>
      <c r="T36" s="8">
        <f>Inputs!$B62*(1+inf)^S$1</f>
        <v>1825.9419134124923</v>
      </c>
      <c r="U36" s="8">
        <f>Inputs!$B62*(1+inf)^T$1</f>
        <v>1871.5904612478048</v>
      </c>
      <c r="V36" s="8">
        <f>Inputs!$B62*(1+inf)^U$1</f>
        <v>1918.380222779</v>
      </c>
      <c r="W36" s="8">
        <f>Inputs!$B62*(1+inf)^V$1</f>
        <v>1966.3397283484746</v>
      </c>
      <c r="X36" s="8">
        <f>Inputs!$B62*(1+inf)^W$1</f>
        <v>2015.4982215571863</v>
      </c>
      <c r="Y36" s="8">
        <f>Inputs!$B62*(1+inf)^X$1</f>
        <v>2065.8856770961161</v>
      </c>
      <c r="Z36" s="8">
        <f>Inputs!$B62*(1+inf)^Y$1</f>
        <v>2117.5328190235191</v>
      </c>
      <c r="AA36" s="8">
        <f>Inputs!$B62*(1+inf)^Z$1</f>
        <v>2170.4711394991068</v>
      </c>
      <c r="AB36" s="8">
        <f>Inputs!$B62*(1+inf)^AA$1</f>
        <v>2224.7329179865842</v>
      </c>
      <c r="AC36" s="8">
        <f>Inputs!$B62*(1+inf)^AB$1</f>
        <v>2280.3512409362484</v>
      </c>
      <c r="AD36" s="8">
        <f>Inputs!$B62*(1+inf)^AC$1</f>
        <v>2337.3600219596547</v>
      </c>
      <c r="AE36" s="8">
        <f>Inputs!$B62*(1+inf)^AD$1</f>
        <v>2395.7940225086459</v>
      </c>
      <c r="AF36" s="8">
        <f>Inputs!$B62*(1+inf)^AE$1</f>
        <v>2455.6888730713622</v>
      </c>
      <c r="AG36" s="8">
        <f>Inputs!$B62*(1+inf)^AF$1</f>
        <v>2517.0810948981457</v>
      </c>
      <c r="AH36" s="8">
        <f>Inputs!$B62*(1+inf)^AG$1</f>
        <v>2580.0081222705999</v>
      </c>
      <c r="AI36" s="8">
        <f>Inputs!$B62*(1+inf)^AH$1</f>
        <v>2644.5083253273642</v>
      </c>
      <c r="AJ36" s="8">
        <f>Inputs!$B62*(1+inf)^AI$1</f>
        <v>2710.6210334605485</v>
      </c>
      <c r="AK36" s="8">
        <f>Inputs!$B62*(1+inf)^AJ$1</f>
        <v>2778.3865592970619</v>
      </c>
      <c r="AL36" s="8">
        <f>Inputs!$B62*(1+inf)^AK$1</f>
        <v>2847.8462232794882</v>
      </c>
      <c r="AM36" s="8">
        <f>Inputs!$B62*(1+inf)^AL$1</f>
        <v>2919.0423788614758</v>
      </c>
    </row>
    <row r="37" spans="1:39" x14ac:dyDescent="0.2">
      <c r="A37" s="5" t="s">
        <v>16</v>
      </c>
      <c r="B37" s="9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</row>
    <row r="38" spans="1:39" x14ac:dyDescent="0.2">
      <c r="A38" s="4" t="s">
        <v>60</v>
      </c>
      <c r="B38" s="9"/>
      <c r="C38" s="8">
        <f>Inputs!$B$25*(1+inf)^B$1</f>
        <v>50000</v>
      </c>
      <c r="D38" s="8">
        <f>Inputs!$B$25*(1+inf)^C$1</f>
        <v>51249.999999999993</v>
      </c>
      <c r="E38" s="8">
        <f>Inputs!$B$25*(1+inf)^D$1</f>
        <v>52531.249999999993</v>
      </c>
      <c r="F38" s="8">
        <f>Inputs!$B$25*(1+inf)^E$1</f>
        <v>53844.531249999993</v>
      </c>
      <c r="G38" s="8">
        <f>Inputs!$B$25*(1+inf)^F$1</f>
        <v>55190.644531249985</v>
      </c>
      <c r="H38" s="8">
        <f>Inputs!$B$25*(1+inf)^G$1</f>
        <v>56570.410644531235</v>
      </c>
      <c r="I38" s="8">
        <f>Inputs!$B$25*(1+inf)^H$1</f>
        <v>57984.670910644512</v>
      </c>
      <c r="J38" s="8">
        <f>Inputs!$B$25*(1+inf)^I$1</f>
        <v>59434.287683410628</v>
      </c>
      <c r="K38" s="8">
        <f>Inputs!$B$25*(1+inf)^J$1</f>
        <v>60920.144875495884</v>
      </c>
      <c r="L38" s="8">
        <f>Inputs!$B$25*(1+inf)^K$1</f>
        <v>62443.14849738327</v>
      </c>
      <c r="M38" s="8">
        <f>Inputs!$B$25*(1+inf)^L$1</f>
        <v>64004.227209817851</v>
      </c>
      <c r="N38" s="8">
        <f>Inputs!$B$25*(1+inf)^M$1</f>
        <v>65604.332890063306</v>
      </c>
      <c r="O38" s="8">
        <f>Inputs!$B$25*(1+inf)^N$1</f>
        <v>67244.44121231488</v>
      </c>
      <c r="P38" s="8">
        <f>Inputs!$B$25*(1+inf)^O$1</f>
        <v>68925.55224262274</v>
      </c>
      <c r="Q38" s="8">
        <f>Inputs!$B$25*(1+inf)^P$1</f>
        <v>70648.691048688299</v>
      </c>
      <c r="R38" s="8">
        <f>Inputs!$B$25*(1+inf)^Q$1</f>
        <v>72414.908324905526</v>
      </c>
      <c r="S38" s="8">
        <f>Inputs!$B$25*(1+inf)^R$1</f>
        <v>74225.28103302815</v>
      </c>
      <c r="T38" s="8">
        <f>Inputs!$B$25*(1+inf)^S$1</f>
        <v>76080.913058853854</v>
      </c>
      <c r="U38" s="8">
        <f>Inputs!$B$25*(1+inf)^T$1</f>
        <v>77982.935885325205</v>
      </c>
      <c r="V38" s="8">
        <f>Inputs!$B$25*(1+inf)^U$1</f>
        <v>79932.509282458326</v>
      </c>
      <c r="W38" s="8">
        <f>Inputs!$B$25*(1+inf)^V$1</f>
        <v>81930.82201451977</v>
      </c>
      <c r="X38" s="8">
        <f>Inputs!$B$25*(1+inf)^W$1</f>
        <v>83979.092564882769</v>
      </c>
      <c r="Y38" s="8">
        <f>Inputs!$B$25*(1+inf)^X$1</f>
        <v>86078.569879004834</v>
      </c>
      <c r="Z38" s="8">
        <f>Inputs!$B$25*(1+inf)^Y$1</f>
        <v>88230.534125979961</v>
      </c>
      <c r="AA38" s="8">
        <f>Inputs!$B$25*(1+inf)^Z$1</f>
        <v>90436.29747912944</v>
      </c>
      <c r="AB38" s="8">
        <f>Inputs!$B$25*(1+inf)^AA$1</f>
        <v>92697.204916107672</v>
      </c>
      <c r="AC38" s="8">
        <f>Inputs!$B$25*(1+inf)^AB$1</f>
        <v>95014.635039010347</v>
      </c>
      <c r="AD38" s="8">
        <f>Inputs!$B$25*(1+inf)^AC$1</f>
        <v>97390.000914985605</v>
      </c>
      <c r="AE38" s="8">
        <f>Inputs!$B$25*(1+inf)^AD$1</f>
        <v>99824.750937860241</v>
      </c>
      <c r="AF38" s="8">
        <f>Inputs!$B$25*(1+inf)^AE$1</f>
        <v>102320.36971130676</v>
      </c>
      <c r="AG38" s="8">
        <f>Inputs!$B$25*(1+inf)^AF$1</f>
        <v>104878.37895408941</v>
      </c>
      <c r="AH38" s="8">
        <f>Inputs!$B$25*(1+inf)^AG$1</f>
        <v>107500.33842794166</v>
      </c>
      <c r="AI38" s="8">
        <f>Inputs!$B$25*(1+inf)^AH$1</f>
        <v>110187.84688864018</v>
      </c>
      <c r="AJ38" s="8">
        <f>Inputs!$B$25*(1+inf)^AI$1</f>
        <v>112942.54306085619</v>
      </c>
      <c r="AK38" s="8">
        <f>Inputs!$B$25*(1+inf)^AJ$1</f>
        <v>115766.10663737758</v>
      </c>
      <c r="AL38" s="8">
        <f>Inputs!$B$25*(1+inf)^AK$1</f>
        <v>118660.25930331201</v>
      </c>
      <c r="AM38" s="8">
        <f>Inputs!$B$25*(1+inf)^AL$1</f>
        <v>121626.76578589482</v>
      </c>
    </row>
    <row r="39" spans="1:39" x14ac:dyDescent="0.2">
      <c r="A39" s="4" t="str">
        <f>"Adjustment "&amp;Inputs!A137</f>
        <v>Adjustment from now to 65</v>
      </c>
      <c r="B39" s="9"/>
      <c r="C39" s="8">
        <f>IF(C$3&lt;=65,Inputs!$B$137*C$38,0)</f>
        <v>0</v>
      </c>
      <c r="D39" s="8">
        <f>IF(D$3&lt;=65,Inputs!$B$137*D$38,0)</f>
        <v>0</v>
      </c>
      <c r="E39" s="8">
        <f>IF(E$3&lt;=65,Inputs!$B$137*E$38,0)</f>
        <v>0</v>
      </c>
      <c r="F39" s="8">
        <f>IF(F$3&lt;=65,Inputs!$B$137*F$38,0)</f>
        <v>0</v>
      </c>
      <c r="G39" s="8">
        <f>IF(G$3&lt;=65,Inputs!$B$137*G$38,0)</f>
        <v>0</v>
      </c>
      <c r="H39" s="8">
        <f>IF(H$3&lt;=65,Inputs!$B$137*H$38,0)</f>
        <v>0</v>
      </c>
      <c r="I39" s="8">
        <f>IF(I$3&lt;=65,Inputs!$B$137*I$38,0)</f>
        <v>0</v>
      </c>
      <c r="J39" s="8">
        <f>IF(J$3&lt;=65,Inputs!$B$137*J$38,0)</f>
        <v>0</v>
      </c>
      <c r="K39" s="8">
        <f>IF(K$3&lt;=65,Inputs!$B$137*K$38,0)</f>
        <v>0</v>
      </c>
      <c r="L39" s="8">
        <f>IF(L$3&lt;=65,Inputs!$B$137*L$38,0)</f>
        <v>0</v>
      </c>
      <c r="M39" s="8">
        <f>IF(M$3&lt;=65,Inputs!$B$137*M$38,0)</f>
        <v>0</v>
      </c>
      <c r="N39" s="8">
        <f>IF(N$3&lt;=65,Inputs!$B$137*N$38,0)</f>
        <v>0</v>
      </c>
      <c r="O39" s="8">
        <f>IF(O$3&lt;=65,Inputs!$B$137*O$38,0)</f>
        <v>0</v>
      </c>
      <c r="P39" s="8">
        <f>IF(P$3&lt;=65,Inputs!$B$137*P$38,0)</f>
        <v>0</v>
      </c>
      <c r="Q39" s="8">
        <f>IF(Q$3&lt;=65,Inputs!$B$137*Q$38,0)</f>
        <v>0</v>
      </c>
      <c r="R39" s="8">
        <f>IF(R$3&lt;=65,Inputs!$B$137*R$38,0)</f>
        <v>0</v>
      </c>
      <c r="S39" s="8">
        <f>IF(S$3&lt;=65,Inputs!$B$137*S$38,0)</f>
        <v>0</v>
      </c>
      <c r="T39" s="8">
        <f>IF(T$3&lt;=65,Inputs!$B$137*T$38,0)</f>
        <v>0</v>
      </c>
      <c r="U39" s="8">
        <f>IF(U$3&lt;=65,Inputs!$B$137*U$38,0)</f>
        <v>0</v>
      </c>
      <c r="V39" s="8">
        <f>IF(V$3&lt;=65,Inputs!$B$137*V$38,0)</f>
        <v>0</v>
      </c>
      <c r="W39" s="8">
        <f>IF(W$3&lt;=65,Inputs!$B$137*W$38,0)</f>
        <v>0</v>
      </c>
      <c r="X39" s="8">
        <f>IF(X$3&lt;=65,Inputs!$B$137*X$38,0)</f>
        <v>0</v>
      </c>
      <c r="Y39" s="8">
        <f>IF(Y$3&lt;=65,Inputs!$B$137*Y$38,0)</f>
        <v>0</v>
      </c>
      <c r="Z39" s="8">
        <f>IF(Z$3&lt;=65,Inputs!$B$137*Z$38,0)</f>
        <v>0</v>
      </c>
      <c r="AA39" s="8">
        <f>IF(AA$3&lt;=65,Inputs!$B$137*AA$38,0)</f>
        <v>0</v>
      </c>
      <c r="AB39" s="8">
        <f>IF(AB$3&lt;=65,Inputs!$B$137*AB$38,0)</f>
        <v>0</v>
      </c>
      <c r="AC39" s="8">
        <f>IF(AC$3&lt;=65,Inputs!$B$137*AC$38,0)</f>
        <v>0</v>
      </c>
      <c r="AD39" s="8">
        <f>IF(AD$3&lt;=65,Inputs!$B$137*AD$38,0)</f>
        <v>0</v>
      </c>
      <c r="AE39" s="8">
        <f>IF(AE$3&lt;=65,Inputs!$B$137*AE$38,0)</f>
        <v>0</v>
      </c>
      <c r="AF39" s="8">
        <f>IF(AF$3&lt;=65,Inputs!$B$137*AF$38,0)</f>
        <v>0</v>
      </c>
      <c r="AG39" s="8">
        <f>IF(AG$3&lt;=65,Inputs!$B$137*AG$38,0)</f>
        <v>0</v>
      </c>
      <c r="AH39" s="8">
        <f>IF(AH$3&lt;=65,Inputs!$B$137*AH$38,0)</f>
        <v>0</v>
      </c>
      <c r="AI39" s="8">
        <f>IF(AI$3&lt;=65,Inputs!$B$137*AI$38,0)</f>
        <v>0</v>
      </c>
      <c r="AJ39" s="8">
        <f>IF(AJ$3&lt;=65,Inputs!$B$137*AJ$38,0)</f>
        <v>0</v>
      </c>
      <c r="AK39" s="8">
        <f>IF(AK$3&lt;=65,Inputs!$B$137*AK$38,0)</f>
        <v>0</v>
      </c>
      <c r="AL39" s="8">
        <f>IF(AL$3&lt;=65,Inputs!$B$137*AL$38,0)</f>
        <v>0</v>
      </c>
      <c r="AM39" s="8">
        <f>IF(AM$3&lt;=65,Inputs!$B$137*AM$38,0)</f>
        <v>0</v>
      </c>
    </row>
    <row r="40" spans="1:39" x14ac:dyDescent="0.2">
      <c r="A40" s="4" t="str">
        <f>"Adjustment "&amp;Inputs!A138</f>
        <v>Adjustment from 66-75</v>
      </c>
      <c r="B40" s="9"/>
      <c r="C40" s="8">
        <f>IF(AND(C$3&gt;65,C$3&lt;=75),Inputs!$B$138*C38,0)</f>
        <v>0</v>
      </c>
      <c r="D40" s="8">
        <f>IF(AND(D$3&gt;65,D$3&lt;=75),Inputs!$B$138*D38,0)</f>
        <v>0</v>
      </c>
      <c r="E40" s="8">
        <f>IF(AND(E$3&gt;65,E$3&lt;=75),Inputs!$B$138*E38,0)</f>
        <v>0</v>
      </c>
      <c r="F40" s="8">
        <f>IF(AND(F$3&gt;65,F$3&lt;=75),Inputs!$B$138*F38,0)</f>
        <v>0</v>
      </c>
      <c r="G40" s="8">
        <f>IF(AND(G$3&gt;65,G$3&lt;=75),Inputs!$B$138*G38,0)</f>
        <v>0</v>
      </c>
      <c r="H40" s="8">
        <f>IF(AND(H$3&gt;65,H$3&lt;=75),Inputs!$B$138*H38,0)</f>
        <v>0</v>
      </c>
      <c r="I40" s="8">
        <f>IF(AND(I$3&gt;65,I$3&lt;=75),Inputs!$B$138*I38,0)</f>
        <v>0</v>
      </c>
      <c r="J40" s="8">
        <f>IF(AND(J$3&gt;65,J$3&lt;=75),Inputs!$B$138*J38,0)</f>
        <v>0</v>
      </c>
      <c r="K40" s="8">
        <f>IF(AND(K$3&gt;65,K$3&lt;=75),Inputs!$B$138*K38,0)</f>
        <v>0</v>
      </c>
      <c r="L40" s="8">
        <f>IF(AND(L$3&gt;65,L$3&lt;=75),Inputs!$B$138*L38,0)</f>
        <v>0</v>
      </c>
      <c r="M40" s="8">
        <f>IF(AND(M$3&gt;65,M$3&lt;=75),Inputs!$B$138*M38,0)</f>
        <v>0</v>
      </c>
      <c r="N40" s="8">
        <f>IF(AND(N$3&gt;65,N$3&lt;=75),Inputs!$B$138*N38,0)</f>
        <v>0</v>
      </c>
      <c r="O40" s="8">
        <f>IF(AND(O$3&gt;65,O$3&lt;=75),Inputs!$B$138*O38,0)</f>
        <v>0</v>
      </c>
      <c r="P40" s="8">
        <f>IF(AND(P$3&gt;65,P$3&lt;=75),Inputs!$B$138*P38,0)</f>
        <v>0</v>
      </c>
      <c r="Q40" s="8">
        <f>IF(AND(Q$3&gt;65,Q$3&lt;=75),Inputs!$B$138*Q38,0)</f>
        <v>0</v>
      </c>
      <c r="R40" s="8">
        <f>IF(AND(R$3&gt;65,R$3&lt;=75),Inputs!$B$138*R38,0)</f>
        <v>0</v>
      </c>
      <c r="S40" s="8">
        <f>IF(AND(S$3&gt;65,S$3&lt;=75),Inputs!$B$138*S38,0)</f>
        <v>0</v>
      </c>
      <c r="T40" s="8">
        <f>IF(AND(T$3&gt;65,T$3&lt;=75),Inputs!$B$138*T38,0)</f>
        <v>-7608.0913058853857</v>
      </c>
      <c r="U40" s="8">
        <f>IF(AND(U$3&gt;65,U$3&lt;=75),Inputs!$B$138*U38,0)</f>
        <v>-7798.2935885325205</v>
      </c>
      <c r="V40" s="8">
        <f>IF(AND(V$3&gt;65,V$3&lt;=75),Inputs!$B$138*V38,0)</f>
        <v>-7993.2509282458332</v>
      </c>
      <c r="W40" s="8">
        <f>IF(AND(W$3&gt;65,W$3&lt;=75),Inputs!$B$138*W38,0)</f>
        <v>-8193.0822014519781</v>
      </c>
      <c r="X40" s="8">
        <f>IF(AND(X$3&gt;65,X$3&lt;=75),Inputs!$B$138*X38,0)</f>
        <v>-8397.9092564882776</v>
      </c>
      <c r="Y40" s="8">
        <f>IF(AND(Y$3&gt;65,Y$3&lt;=75),Inputs!$B$138*Y38,0)</f>
        <v>-8607.8569879004845</v>
      </c>
      <c r="Z40" s="8">
        <f>IF(AND(Z$3&gt;65,Z$3&lt;=75),Inputs!$B$138*Z38,0)</f>
        <v>-8823.0534125979957</v>
      </c>
      <c r="AA40" s="8">
        <f>IF(AND(AA$3&gt;65,AA$3&lt;=75),Inputs!$B$138*AA38,0)</f>
        <v>-9043.6297479129444</v>
      </c>
      <c r="AB40" s="8">
        <f>IF(AND(AB$3&gt;65,AB$3&lt;=75),Inputs!$B$138*AB38,0)</f>
        <v>-9269.7204916107676</v>
      </c>
      <c r="AC40" s="8">
        <f>IF(AND(AC$3&gt;65,AC$3&lt;=75),Inputs!$B$138*AC38,0)</f>
        <v>-9501.4635039010354</v>
      </c>
      <c r="AD40" s="8">
        <f>IF(AND(AD$3&gt;65,AD$3&lt;=75),Inputs!$B$138*AD38,0)</f>
        <v>0</v>
      </c>
      <c r="AE40" s="8">
        <f>IF(AND(AE$3&gt;65,AE$3&lt;=75),Inputs!$B$138*AE38,0)</f>
        <v>0</v>
      </c>
      <c r="AF40" s="8">
        <f>IF(AND(AF$3&gt;65,AF$3&lt;=75),Inputs!$B$138*AF38,0)</f>
        <v>0</v>
      </c>
      <c r="AG40" s="8">
        <f>IF(AND(AG$3&gt;65,AG$3&lt;=75),Inputs!$B$138*AG38,0)</f>
        <v>0</v>
      </c>
      <c r="AH40" s="8">
        <f>IF(AND(AH$3&gt;65,AH$3&lt;=75),Inputs!$B$138*AH38,0)</f>
        <v>0</v>
      </c>
      <c r="AI40" s="8">
        <f>IF(AND(AI$3&gt;65,AI$3&lt;=75),Inputs!$B$138*AI38,0)</f>
        <v>0</v>
      </c>
      <c r="AJ40" s="8">
        <f>IF(AND(AJ$3&gt;65,AJ$3&lt;=75),Inputs!$B$138*AJ38,0)</f>
        <v>0</v>
      </c>
      <c r="AK40" s="8">
        <f>IF(AND(AK$3&gt;65,AK$3&lt;=75),Inputs!$B$138*AK38,0)</f>
        <v>0</v>
      </c>
      <c r="AL40" s="8">
        <f>IF(AND(AL$3&gt;65,AL$3&lt;=75),Inputs!$B$138*AL38,0)</f>
        <v>0</v>
      </c>
      <c r="AM40" s="8">
        <f>IF(AND(AM$3&gt;65,AM$3&lt;=75),Inputs!$B$138*AM38,0)</f>
        <v>0</v>
      </c>
    </row>
    <row r="41" spans="1:39" x14ac:dyDescent="0.2">
      <c r="A41" s="4" t="str">
        <f>"Adjustment "&amp;Inputs!A139</f>
        <v>Adjustment from age 76</v>
      </c>
      <c r="B41" s="9"/>
      <c r="C41" s="8">
        <f>IF(C$3&gt;75,Inputs!$B$139*C$38,0)</f>
        <v>0</v>
      </c>
      <c r="D41" s="8">
        <f>IF(D$3&gt;75,Inputs!$B$139*D$38,0)</f>
        <v>0</v>
      </c>
      <c r="E41" s="8">
        <f>IF(E$3&gt;75,Inputs!$B$139*E$38,0)</f>
        <v>0</v>
      </c>
      <c r="F41" s="8">
        <f>IF(F$3&gt;75,Inputs!$B$139*F$38,0)</f>
        <v>0</v>
      </c>
      <c r="G41" s="8">
        <f>IF(G$3&gt;75,Inputs!$B$139*G$38,0)</f>
        <v>0</v>
      </c>
      <c r="H41" s="8">
        <f>IF(H$3&gt;75,Inputs!$B$139*H$38,0)</f>
        <v>0</v>
      </c>
      <c r="I41" s="8">
        <f>IF(I$3&gt;75,Inputs!$B$139*I$38,0)</f>
        <v>0</v>
      </c>
      <c r="J41" s="8">
        <f>IF(J$3&gt;75,Inputs!$B$139*J$38,0)</f>
        <v>0</v>
      </c>
      <c r="K41" s="8">
        <f>IF(K$3&gt;75,Inputs!$B$139*K$38,0)</f>
        <v>0</v>
      </c>
      <c r="L41" s="8">
        <f>IF(L$3&gt;75,Inputs!$B$139*L$38,0)</f>
        <v>0</v>
      </c>
      <c r="M41" s="8">
        <f>IF(M$3&gt;75,Inputs!$B$139*M$38,0)</f>
        <v>0</v>
      </c>
      <c r="N41" s="8">
        <f>IF(N$3&gt;75,Inputs!$B$139*N$38,0)</f>
        <v>0</v>
      </c>
      <c r="O41" s="8">
        <f>IF(O$3&gt;75,Inputs!$B$139*O$38,0)</f>
        <v>0</v>
      </c>
      <c r="P41" s="8">
        <f>IF(P$3&gt;75,Inputs!$B$139*P$38,0)</f>
        <v>0</v>
      </c>
      <c r="Q41" s="8">
        <f>IF(Q$3&gt;75,Inputs!$B$139*Q$38,0)</f>
        <v>0</v>
      </c>
      <c r="R41" s="8">
        <f>IF(R$3&gt;75,Inputs!$B$139*R$38,0)</f>
        <v>0</v>
      </c>
      <c r="S41" s="8">
        <f>IF(S$3&gt;75,Inputs!$B$139*S$38,0)</f>
        <v>0</v>
      </c>
      <c r="T41" s="8">
        <f>IF(T$3&gt;75,Inputs!$B$139*T$38,0)</f>
        <v>0</v>
      </c>
      <c r="U41" s="8">
        <f>IF(U$3&gt;75,Inputs!$B$139*U$38,0)</f>
        <v>0</v>
      </c>
      <c r="V41" s="8">
        <f>IF(V$3&gt;75,Inputs!$B$139*V$38,0)</f>
        <v>0</v>
      </c>
      <c r="W41" s="8">
        <f>IF(W$3&gt;75,Inputs!$B$139*W$38,0)</f>
        <v>0</v>
      </c>
      <c r="X41" s="8">
        <f>IF(X$3&gt;75,Inputs!$B$139*X$38,0)</f>
        <v>0</v>
      </c>
      <c r="Y41" s="8">
        <f>IF(Y$3&gt;75,Inputs!$B$139*Y$38,0)</f>
        <v>0</v>
      </c>
      <c r="Z41" s="8">
        <f>IF(Z$3&gt;75,Inputs!$B$139*Z$38,0)</f>
        <v>0</v>
      </c>
      <c r="AA41" s="8">
        <f>IF(AA$3&gt;75,Inputs!$B$139*AA$38,0)</f>
        <v>0</v>
      </c>
      <c r="AB41" s="8">
        <f>IF(AB$3&gt;75,Inputs!$B$139*AB$38,0)</f>
        <v>0</v>
      </c>
      <c r="AC41" s="8">
        <f>IF(AC$3&gt;75,Inputs!$B$139*AC$38,0)</f>
        <v>0</v>
      </c>
      <c r="AD41" s="8">
        <f>IF(AD$3&gt;75,Inputs!$B$139*AD$38,0)</f>
        <v>-19478.000182997122</v>
      </c>
      <c r="AE41" s="8">
        <f>IF(AE$3&gt;75,Inputs!$B$139*AE$38,0)</f>
        <v>-19964.950187572049</v>
      </c>
      <c r="AF41" s="8">
        <f>IF(AF$3&gt;75,Inputs!$B$139*AF$38,0)</f>
        <v>-20464.073942261355</v>
      </c>
      <c r="AG41" s="8">
        <f>IF(AG$3&gt;75,Inputs!$B$139*AG$38,0)</f>
        <v>-20975.675790817884</v>
      </c>
      <c r="AH41" s="8">
        <f>IF(AH$3&gt;75,Inputs!$B$139*AH$38,0)</f>
        <v>-21500.067685588336</v>
      </c>
      <c r="AI41" s="8">
        <f>IF(AI$3&gt;75,Inputs!$B$139*AI$38,0)</f>
        <v>-22037.569377728039</v>
      </c>
      <c r="AJ41" s="8">
        <f>IF(AJ$3&gt;75,Inputs!$B$139*AJ$38,0)</f>
        <v>-22588.508612171237</v>
      </c>
      <c r="AK41" s="8">
        <f>IF(AK$3&gt;75,Inputs!$B$139*AK$38,0)</f>
        <v>-23153.22132747552</v>
      </c>
      <c r="AL41" s="8">
        <f>IF(AL$3&gt;75,Inputs!$B$139*AL$38,0)</f>
        <v>-23732.051860662403</v>
      </c>
      <c r="AM41" s="8">
        <f>IF(AM$3&gt;75,Inputs!$B$139*AM$38,0)</f>
        <v>-24325.353157178964</v>
      </c>
    </row>
    <row r="42" spans="1:39" x14ac:dyDescent="0.2">
      <c r="A42" s="5" t="s">
        <v>64</v>
      </c>
      <c r="B42" s="9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</row>
    <row r="43" spans="1:39" x14ac:dyDescent="0.2">
      <c r="A43" s="4" t="str">
        <f>TEXT(Inputs!$B$117,"")</f>
        <v>Wedding</v>
      </c>
      <c r="B43" s="9"/>
      <c r="C43" s="8">
        <f ca="1">IF(C$2=Inputs!$B119,Inputs!$B118,0)*(1+inf)^B$1</f>
        <v>0</v>
      </c>
      <c r="D43" s="8">
        <f ca="1">IF(D$2=Inputs!$B119,Inputs!$B118,0)*(1+inf)^C$1</f>
        <v>0</v>
      </c>
      <c r="E43" s="8">
        <f ca="1">IF(E$2=Inputs!$B119,Inputs!$B118,0)*(1+inf)^D$1</f>
        <v>0</v>
      </c>
      <c r="F43" s="8">
        <f ca="1">IF(F$2=Inputs!$B119,Inputs!$B118,0)*(1+inf)^E$1</f>
        <v>0</v>
      </c>
      <c r="G43" s="8">
        <f ca="1">IF(G$2=Inputs!$B119,Inputs!$B118,0)*(1+inf)^F$1</f>
        <v>0</v>
      </c>
      <c r="H43" s="8">
        <f ca="1">IF(H$2=Inputs!$B119,Inputs!$B118,0)*(1+inf)^G$1</f>
        <v>0</v>
      </c>
      <c r="I43" s="8">
        <f ca="1">IF(I$2=Inputs!$B119,Inputs!$B118,0)*(1+inf)^H$1</f>
        <v>0</v>
      </c>
      <c r="J43" s="8">
        <f ca="1">IF(J$2=Inputs!$B119,Inputs!$B118,0)*(1+inf)^I$1</f>
        <v>0</v>
      </c>
      <c r="K43" s="8">
        <f ca="1">IF(K$2=Inputs!$B119,Inputs!$B118,0)*(1+inf)^J$1</f>
        <v>0</v>
      </c>
      <c r="L43" s="8">
        <f ca="1">IF(L$2=Inputs!$B119,Inputs!$B118,0)*(1+inf)^K$1</f>
        <v>49954.518797906618</v>
      </c>
      <c r="M43" s="8">
        <f ca="1">IF(M$2=Inputs!$B119,Inputs!$B118,0)*(1+inf)^L$1</f>
        <v>0</v>
      </c>
      <c r="N43" s="8">
        <f ca="1">IF(N$2=Inputs!$B119,Inputs!$B118,0)*(1+inf)^M$1</f>
        <v>0</v>
      </c>
      <c r="O43" s="8">
        <f ca="1">IF(O$2=Inputs!$B119,Inputs!$B118,0)*(1+inf)^N$1</f>
        <v>0</v>
      </c>
      <c r="P43" s="8">
        <f ca="1">IF(P$2=Inputs!$B119,Inputs!$B118,0)*(1+inf)^O$1</f>
        <v>0</v>
      </c>
      <c r="Q43" s="8">
        <f ca="1">IF(Q$2=Inputs!$B119,Inputs!$B118,0)*(1+inf)^P$1</f>
        <v>0</v>
      </c>
      <c r="R43" s="8">
        <f ca="1">IF(R$2=Inputs!$B119,Inputs!$B118,0)*(1+inf)^Q$1</f>
        <v>0</v>
      </c>
      <c r="S43" s="8">
        <f ca="1">IF(S$2=Inputs!$B119,Inputs!$B118,0)*(1+inf)^R$1</f>
        <v>0</v>
      </c>
      <c r="T43" s="8">
        <f ca="1">IF(T$2=Inputs!$B119,Inputs!$B118,0)*(1+inf)^S$1</f>
        <v>0</v>
      </c>
      <c r="U43" s="8">
        <f ca="1">IF(U$2=Inputs!$B119,Inputs!$B118,0)*(1+inf)^T$1</f>
        <v>0</v>
      </c>
      <c r="V43" s="8">
        <f ca="1">IF(V$2=Inputs!$B119,Inputs!$B118,0)*(1+inf)^U$1</f>
        <v>0</v>
      </c>
      <c r="W43" s="8">
        <f ca="1">IF(W$2=Inputs!$B119,Inputs!$B118,0)*(1+inf)^V$1</f>
        <v>0</v>
      </c>
      <c r="X43" s="8">
        <f ca="1">IF(X$2=Inputs!$B119,Inputs!$B118,0)*(1+inf)^W$1</f>
        <v>0</v>
      </c>
      <c r="Y43" s="8">
        <f ca="1">IF(Y$2=Inputs!$B119,Inputs!$B118,0)*(1+inf)^X$1</f>
        <v>0</v>
      </c>
      <c r="Z43" s="8">
        <f ca="1">IF(Z$2=Inputs!$B119,Inputs!$B118,0)*(1+inf)^Y$1</f>
        <v>0</v>
      </c>
      <c r="AA43" s="8">
        <f ca="1">IF(AA$2=Inputs!$B119,Inputs!$B118,0)*(1+inf)^Z$1</f>
        <v>0</v>
      </c>
      <c r="AB43" s="8">
        <f ca="1">IF(AB$2=Inputs!$B119,Inputs!$B118,0)*(1+inf)^AA$1</f>
        <v>0</v>
      </c>
      <c r="AC43" s="8">
        <f ca="1">IF(AC$2=Inputs!$B119,Inputs!$B118,0)*(1+inf)^AB$1</f>
        <v>0</v>
      </c>
      <c r="AD43" s="8">
        <f ca="1">IF(AD$2=Inputs!$B119,Inputs!$B118,0)*(1+inf)^AC$1</f>
        <v>0</v>
      </c>
      <c r="AE43" s="8">
        <f ca="1">IF(AE$2=Inputs!$B119,Inputs!$B118,0)*(1+inf)^AD$1</f>
        <v>0</v>
      </c>
      <c r="AF43" s="8">
        <f ca="1">IF(AF$2=Inputs!$B119,Inputs!$B118,0)*(1+inf)^AE$1</f>
        <v>0</v>
      </c>
      <c r="AG43" s="8">
        <f ca="1">IF(AG$2=Inputs!$B119,Inputs!$B118,0)*(1+inf)^AF$1</f>
        <v>0</v>
      </c>
      <c r="AH43" s="8">
        <f ca="1">IF(AH$2=Inputs!$B119,Inputs!$B118,0)*(1+inf)^AG$1</f>
        <v>0</v>
      </c>
      <c r="AI43" s="8">
        <f ca="1">IF(AI$2=Inputs!$B119,Inputs!$B118,0)*(1+inf)^AH$1</f>
        <v>0</v>
      </c>
      <c r="AJ43" s="8">
        <f ca="1">IF(AJ$2=Inputs!$B119,Inputs!$B118,0)*(1+inf)^AI$1</f>
        <v>0</v>
      </c>
      <c r="AK43" s="8">
        <f ca="1">IF(AK$2=Inputs!$B119,Inputs!$B118,0)*(1+inf)^AJ$1</f>
        <v>0</v>
      </c>
      <c r="AL43" s="8">
        <f ca="1">IF(AL$2=Inputs!$B119,Inputs!$B118,0)*(1+inf)^AK$1</f>
        <v>0</v>
      </c>
      <c r="AM43" s="8">
        <f ca="1">IF(AM$2=Inputs!$B119,Inputs!$B118,0)*(1+inf)^AL$1</f>
        <v>0</v>
      </c>
    </row>
    <row r="44" spans="1:39" x14ac:dyDescent="0.2">
      <c r="A44" s="4" t="str">
        <f>TEXT(Inputs!$B$122,"")</f>
        <v>New Car</v>
      </c>
      <c r="B44" s="9"/>
      <c r="C44" s="8">
        <f ca="1">IF(C$2=Inputs!$B124,Inputs!$B123,0)*(1+inf)^B$1</f>
        <v>0</v>
      </c>
      <c r="D44" s="8">
        <f ca="1">IF(D$2=Inputs!$B124,Inputs!$B123,0)*(1+inf)^C$1</f>
        <v>0</v>
      </c>
      <c r="E44" s="8">
        <f ca="1">IF(E$2=Inputs!$B124,Inputs!$B123,0)*(1+inf)^D$1</f>
        <v>36771.875</v>
      </c>
      <c r="F44" s="8">
        <f ca="1">IF(F$2=Inputs!$B124,Inputs!$B123,0)*(1+inf)^E$1</f>
        <v>0</v>
      </c>
      <c r="G44" s="8">
        <f ca="1">IF(G$2=Inputs!$B124,Inputs!$B123,0)*(1+inf)^F$1</f>
        <v>0</v>
      </c>
      <c r="H44" s="8">
        <f ca="1">IF(H$2=Inputs!$B124,Inputs!$B123,0)*(1+inf)^G$1</f>
        <v>0</v>
      </c>
      <c r="I44" s="8">
        <f ca="1">IF(I$2=Inputs!$B124,Inputs!$B123,0)*(1+inf)^H$1</f>
        <v>0</v>
      </c>
      <c r="J44" s="8">
        <f ca="1">IF(J$2=Inputs!$B124,Inputs!$B123,0)*(1+inf)^I$1</f>
        <v>0</v>
      </c>
      <c r="K44" s="8">
        <f ca="1">IF(K$2=Inputs!$B124,Inputs!$B123,0)*(1+inf)^J$1</f>
        <v>0</v>
      </c>
      <c r="L44" s="8">
        <f ca="1">IF(L$2=Inputs!$B124,Inputs!$B123,0)*(1+inf)^K$1</f>
        <v>0</v>
      </c>
      <c r="M44" s="8">
        <f ca="1">IF(M$2=Inputs!$B124,Inputs!$B123,0)*(1+inf)^L$1</f>
        <v>0</v>
      </c>
      <c r="N44" s="8">
        <f ca="1">IF(N$2=Inputs!$B124,Inputs!$B123,0)*(1+inf)^M$1</f>
        <v>0</v>
      </c>
      <c r="O44" s="8">
        <f ca="1">IF(O$2=Inputs!$B124,Inputs!$B123,0)*(1+inf)^N$1</f>
        <v>0</v>
      </c>
      <c r="P44" s="8">
        <f ca="1">IF(P$2=Inputs!$B124,Inputs!$B123,0)*(1+inf)^O$1</f>
        <v>0</v>
      </c>
      <c r="Q44" s="8">
        <f ca="1">IF(Q$2=Inputs!$B124,Inputs!$B123,0)*(1+inf)^P$1</f>
        <v>0</v>
      </c>
      <c r="R44" s="8">
        <f ca="1">IF(R$2=Inputs!$B124,Inputs!$B123,0)*(1+inf)^Q$1</f>
        <v>0</v>
      </c>
      <c r="S44" s="8">
        <f ca="1">IF(S$2=Inputs!$B124,Inputs!$B123,0)*(1+inf)^R$1</f>
        <v>0</v>
      </c>
      <c r="T44" s="8">
        <f ca="1">IF(T$2=Inputs!$B124,Inputs!$B123,0)*(1+inf)^S$1</f>
        <v>0</v>
      </c>
      <c r="U44" s="8">
        <f ca="1">IF(U$2=Inputs!$B124,Inputs!$B123,0)*(1+inf)^T$1</f>
        <v>0</v>
      </c>
      <c r="V44" s="8">
        <f ca="1">IF(V$2=Inputs!$B124,Inputs!$B123,0)*(1+inf)^U$1</f>
        <v>0</v>
      </c>
      <c r="W44" s="8">
        <f ca="1">IF(W$2=Inputs!$B124,Inputs!$B123,0)*(1+inf)^V$1</f>
        <v>0</v>
      </c>
      <c r="X44" s="8">
        <f ca="1">IF(X$2=Inputs!$B124,Inputs!$B123,0)*(1+inf)^W$1</f>
        <v>0</v>
      </c>
      <c r="Y44" s="8">
        <f ca="1">IF(Y$2=Inputs!$B124,Inputs!$B123,0)*(1+inf)^X$1</f>
        <v>0</v>
      </c>
      <c r="Z44" s="8">
        <f ca="1">IF(Z$2=Inputs!$B124,Inputs!$B123,0)*(1+inf)^Y$1</f>
        <v>0</v>
      </c>
      <c r="AA44" s="8">
        <f ca="1">IF(AA$2=Inputs!$B124,Inputs!$B123,0)*(1+inf)^Z$1</f>
        <v>0</v>
      </c>
      <c r="AB44" s="8">
        <f ca="1">IF(AB$2=Inputs!$B124,Inputs!$B123,0)*(1+inf)^AA$1</f>
        <v>0</v>
      </c>
      <c r="AC44" s="8">
        <f ca="1">IF(AC$2=Inputs!$B124,Inputs!$B123,0)*(1+inf)^AB$1</f>
        <v>0</v>
      </c>
      <c r="AD44" s="8">
        <f ca="1">IF(AD$2=Inputs!$B124,Inputs!$B123,0)*(1+inf)^AC$1</f>
        <v>0</v>
      </c>
      <c r="AE44" s="8">
        <f ca="1">IF(AE$2=Inputs!$B124,Inputs!$B123,0)*(1+inf)^AD$1</f>
        <v>0</v>
      </c>
      <c r="AF44" s="8">
        <f ca="1">IF(AF$2=Inputs!$B124,Inputs!$B123,0)*(1+inf)^AE$1</f>
        <v>0</v>
      </c>
      <c r="AG44" s="8">
        <f ca="1">IF(AG$2=Inputs!$B124,Inputs!$B123,0)*(1+inf)^AF$1</f>
        <v>0</v>
      </c>
      <c r="AH44" s="8">
        <f ca="1">IF(AH$2=Inputs!$B124,Inputs!$B123,0)*(1+inf)^AG$1</f>
        <v>0</v>
      </c>
      <c r="AI44" s="8">
        <f ca="1">IF(AI$2=Inputs!$B124,Inputs!$B123,0)*(1+inf)^AH$1</f>
        <v>0</v>
      </c>
      <c r="AJ44" s="8">
        <f ca="1">IF(AJ$2=Inputs!$B124,Inputs!$B123,0)*(1+inf)^AI$1</f>
        <v>0</v>
      </c>
      <c r="AK44" s="8">
        <f ca="1">IF(AK$2=Inputs!$B124,Inputs!$B123,0)*(1+inf)^AJ$1</f>
        <v>0</v>
      </c>
      <c r="AL44" s="8">
        <f ca="1">IF(AL$2=Inputs!$B124,Inputs!$B123,0)*(1+inf)^AK$1</f>
        <v>0</v>
      </c>
      <c r="AM44" s="8">
        <f ca="1">IF(AM$2=Inputs!$B124,Inputs!$B123,0)*(1+inf)^AL$1</f>
        <v>0</v>
      </c>
    </row>
    <row r="45" spans="1:39" x14ac:dyDescent="0.2">
      <c r="A45" s="4" t="str">
        <f>TEXT(Inputs!$B$127,"")</f>
        <v>New AC</v>
      </c>
      <c r="B45" s="9"/>
      <c r="C45" s="8">
        <f ca="1">IF(C$2=Inputs!$B129,Inputs!$B128,0)*(1+inf)^B$1</f>
        <v>0</v>
      </c>
      <c r="D45" s="8">
        <f ca="1">IF(D$2=Inputs!$B129,Inputs!$B128,0)*(1+inf)^C$1</f>
        <v>0</v>
      </c>
      <c r="E45" s="8">
        <f ca="1">IF(E$2=Inputs!$B129,Inputs!$B128,0)*(1+inf)^D$1</f>
        <v>0</v>
      </c>
      <c r="F45" s="8">
        <f ca="1">IF(F$2=Inputs!$B129,Inputs!$B128,0)*(1+inf)^E$1</f>
        <v>0</v>
      </c>
      <c r="G45" s="8">
        <f ca="1">IF(G$2=Inputs!$B129,Inputs!$B128,0)*(1+inf)^F$1</f>
        <v>0</v>
      </c>
      <c r="H45" s="8">
        <f ca="1">IF(H$2=Inputs!$B129,Inputs!$B128,0)*(1+inf)^G$1</f>
        <v>0</v>
      </c>
      <c r="I45" s="8">
        <f ca="1">IF(I$2=Inputs!$B129,Inputs!$B128,0)*(1+inf)^H$1</f>
        <v>0</v>
      </c>
      <c r="J45" s="8">
        <f ca="1">IF(J$2=Inputs!$B129,Inputs!$B128,0)*(1+inf)^I$1</f>
        <v>17830.286305023186</v>
      </c>
      <c r="K45" s="8">
        <f ca="1">IF(K$2=Inputs!$B129,Inputs!$B128,0)*(1+inf)^J$1</f>
        <v>0</v>
      </c>
      <c r="L45" s="8">
        <f ca="1">IF(L$2=Inputs!$B129,Inputs!$B128,0)*(1+inf)^K$1</f>
        <v>0</v>
      </c>
      <c r="M45" s="8">
        <f ca="1">IF(M$2=Inputs!$B129,Inputs!$B128,0)*(1+inf)^L$1</f>
        <v>0</v>
      </c>
      <c r="N45" s="8">
        <f ca="1">IF(N$2=Inputs!$B129,Inputs!$B128,0)*(1+inf)^M$1</f>
        <v>0</v>
      </c>
      <c r="O45" s="8">
        <f ca="1">IF(O$2=Inputs!$B129,Inputs!$B128,0)*(1+inf)^N$1</f>
        <v>0</v>
      </c>
      <c r="P45" s="8">
        <f ca="1">IF(P$2=Inputs!$B129,Inputs!$B128,0)*(1+inf)^O$1</f>
        <v>0</v>
      </c>
      <c r="Q45" s="8">
        <f ca="1">IF(Q$2=Inputs!$B129,Inputs!$B128,0)*(1+inf)^P$1</f>
        <v>0</v>
      </c>
      <c r="R45" s="8">
        <f ca="1">IF(R$2=Inputs!$B129,Inputs!$B128,0)*(1+inf)^Q$1</f>
        <v>0</v>
      </c>
      <c r="S45" s="8">
        <f ca="1">IF(S$2=Inputs!$B129,Inputs!$B128,0)*(1+inf)^R$1</f>
        <v>0</v>
      </c>
      <c r="T45" s="8">
        <f ca="1">IF(T$2=Inputs!$B129,Inputs!$B128,0)*(1+inf)^S$1</f>
        <v>0</v>
      </c>
      <c r="U45" s="8">
        <f ca="1">IF(U$2=Inputs!$B129,Inputs!$B128,0)*(1+inf)^T$1</f>
        <v>0</v>
      </c>
      <c r="V45" s="8">
        <f ca="1">IF(V$2=Inputs!$B129,Inputs!$B128,0)*(1+inf)^U$1</f>
        <v>0</v>
      </c>
      <c r="W45" s="8">
        <f ca="1">IF(W$2=Inputs!$B129,Inputs!$B128,0)*(1+inf)^V$1</f>
        <v>0</v>
      </c>
      <c r="X45" s="8">
        <f ca="1">IF(X$2=Inputs!$B129,Inputs!$B128,0)*(1+inf)^W$1</f>
        <v>0</v>
      </c>
      <c r="Y45" s="8">
        <f ca="1">IF(Y$2=Inputs!$B129,Inputs!$B128,0)*(1+inf)^X$1</f>
        <v>0</v>
      </c>
      <c r="Z45" s="8">
        <f ca="1">IF(Z$2=Inputs!$B129,Inputs!$B128,0)*(1+inf)^Y$1</f>
        <v>0</v>
      </c>
      <c r="AA45" s="8">
        <f ca="1">IF(AA$2=Inputs!$B129,Inputs!$B128,0)*(1+inf)^Z$1</f>
        <v>0</v>
      </c>
      <c r="AB45" s="8">
        <f ca="1">IF(AB$2=Inputs!$B129,Inputs!$B128,0)*(1+inf)^AA$1</f>
        <v>0</v>
      </c>
      <c r="AC45" s="8">
        <f ca="1">IF(AC$2=Inputs!$B129,Inputs!$B128,0)*(1+inf)^AB$1</f>
        <v>0</v>
      </c>
      <c r="AD45" s="8">
        <f ca="1">IF(AD$2=Inputs!$B129,Inputs!$B128,0)*(1+inf)^AC$1</f>
        <v>0</v>
      </c>
      <c r="AE45" s="8">
        <f ca="1">IF(AE$2=Inputs!$B129,Inputs!$B128,0)*(1+inf)^AD$1</f>
        <v>0</v>
      </c>
      <c r="AF45" s="8">
        <f ca="1">IF(AF$2=Inputs!$B129,Inputs!$B128,0)*(1+inf)^AE$1</f>
        <v>0</v>
      </c>
      <c r="AG45" s="8">
        <f ca="1">IF(AG$2=Inputs!$B129,Inputs!$B128,0)*(1+inf)^AF$1</f>
        <v>0</v>
      </c>
      <c r="AH45" s="8">
        <f ca="1">IF(AH$2=Inputs!$B129,Inputs!$B128,0)*(1+inf)^AG$1</f>
        <v>0</v>
      </c>
      <c r="AI45" s="8">
        <f ca="1">IF(AI$2=Inputs!$B129,Inputs!$B128,0)*(1+inf)^AH$1</f>
        <v>0</v>
      </c>
      <c r="AJ45" s="8">
        <f ca="1">IF(AJ$2=Inputs!$B129,Inputs!$B128,0)*(1+inf)^AI$1</f>
        <v>0</v>
      </c>
      <c r="AK45" s="8">
        <f ca="1">IF(AK$2=Inputs!$B129,Inputs!$B128,0)*(1+inf)^AJ$1</f>
        <v>0</v>
      </c>
      <c r="AL45" s="8">
        <f ca="1">IF(AL$2=Inputs!$B129,Inputs!$B128,0)*(1+inf)^AK$1</f>
        <v>0</v>
      </c>
      <c r="AM45" s="8">
        <f ca="1">IF(AM$2=Inputs!$B129,Inputs!$B128,0)*(1+inf)^AL$1</f>
        <v>0</v>
      </c>
    </row>
    <row r="46" spans="1:39" x14ac:dyDescent="0.2">
      <c r="A46" s="5"/>
      <c r="C46" s="10">
        <f t="shared" ref="C46:G46" ca="1" si="67">SUM(C20:C45)</f>
        <v>87800</v>
      </c>
      <c r="D46" s="10">
        <f t="shared" ca="1" si="67"/>
        <v>88430</v>
      </c>
      <c r="E46" s="10">
        <f t="shared" ca="1" si="67"/>
        <v>122670.125</v>
      </c>
      <c r="F46" s="10">
        <f t="shared" ca="1" si="67"/>
        <v>84575.327901957295</v>
      </c>
      <c r="G46" s="10">
        <f t="shared" ca="1" si="67"/>
        <v>84545.72312499999</v>
      </c>
      <c r="H46" s="10">
        <f t="shared" ref="H46:AM46" ca="1" si="68">SUM(H20:H45)</f>
        <v>81180.44078396463</v>
      </c>
      <c r="I46" s="10">
        <f t="shared" ref="I46:AM46" ca="1" si="69">SUM(I20:I45)</f>
        <v>74094.156939990207</v>
      </c>
      <c r="J46" s="10">
        <f t="shared" ca="1" si="69"/>
        <v>93611.797168513149</v>
      </c>
      <c r="K46" s="10">
        <f t="shared" ca="1" si="69"/>
        <v>77232.064897652424</v>
      </c>
      <c r="L46" s="10">
        <f t="shared" ca="1" si="69"/>
        <v>126246.64872784793</v>
      </c>
      <c r="M46" s="10">
        <f t="shared" ca="1" si="69"/>
        <v>74500.920472227983</v>
      </c>
      <c r="N46" s="10">
        <f t="shared" ca="1" si="69"/>
        <v>76363.443484033691</v>
      </c>
      <c r="O46" s="10">
        <f t="shared" ca="1" si="69"/>
        <v>78272.529571134524</v>
      </c>
      <c r="P46" s="10">
        <f t="shared" ca="1" si="69"/>
        <v>80229.342810412869</v>
      </c>
      <c r="Q46" s="10">
        <f t="shared" ca="1" si="69"/>
        <v>82235.076380673185</v>
      </c>
      <c r="R46" s="10">
        <f t="shared" ca="1" si="69"/>
        <v>84290.953290190024</v>
      </c>
      <c r="S46" s="10">
        <f t="shared" ca="1" si="69"/>
        <v>86398.227122444776</v>
      </c>
      <c r="T46" s="10">
        <f t="shared" ca="1" si="69"/>
        <v>80950.091494620501</v>
      </c>
      <c r="U46" s="10">
        <f t="shared" ca="1" si="69"/>
        <v>82973.843781986012</v>
      </c>
      <c r="V46" s="10">
        <f t="shared" ca="1" si="69"/>
        <v>85048.18987653566</v>
      </c>
      <c r="W46" s="10">
        <f t="shared" ca="1" si="69"/>
        <v>87174.394623449029</v>
      </c>
      <c r="X46" s="10">
        <f t="shared" ca="1" si="69"/>
        <v>89353.754489035273</v>
      </c>
      <c r="Y46" s="10">
        <f t="shared" ca="1" si="69"/>
        <v>91587.598351261142</v>
      </c>
      <c r="Z46" s="10">
        <f t="shared" ca="1" si="69"/>
        <v>93877.288310042684</v>
      </c>
      <c r="AA46" s="10">
        <f t="shared" ca="1" si="69"/>
        <v>96224.220517793729</v>
      </c>
      <c r="AB46" s="10">
        <f t="shared" ca="1" si="69"/>
        <v>98629.82603073855</v>
      </c>
      <c r="AC46" s="10">
        <f t="shared" ca="1" si="69"/>
        <v>101095.57168150702</v>
      </c>
      <c r="AD46" s="10">
        <f t="shared" ca="1" si="69"/>
        <v>93883.960882046114</v>
      </c>
      <c r="AE46" s="10">
        <f t="shared" ca="1" si="69"/>
        <v>96231.059904097274</v>
      </c>
      <c r="AF46" s="10">
        <f t="shared" ca="1" si="69"/>
        <v>98636.836401699707</v>
      </c>
      <c r="AG46" s="10">
        <f t="shared" ca="1" si="69"/>
        <v>101102.75731174219</v>
      </c>
      <c r="AH46" s="10">
        <f t="shared" ca="1" si="69"/>
        <v>103630.32624453575</v>
      </c>
      <c r="AI46" s="10">
        <f t="shared" ca="1" si="69"/>
        <v>106221.08440064912</v>
      </c>
      <c r="AJ46" s="10">
        <f t="shared" ca="1" si="69"/>
        <v>108876.61151066537</v>
      </c>
      <c r="AK46" s="10">
        <f t="shared" ca="1" si="69"/>
        <v>111598.52679843198</v>
      </c>
      <c r="AL46" s="10">
        <f t="shared" ca="1" si="69"/>
        <v>114388.48996839277</v>
      </c>
      <c r="AM46" s="10">
        <f t="shared" ca="1" si="69"/>
        <v>117248.20221760261</v>
      </c>
    </row>
    <row r="47" spans="1:39" x14ac:dyDescent="0.2">
      <c r="A47" s="5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</row>
    <row r="48" spans="1:39" ht="19" x14ac:dyDescent="0.25">
      <c r="A48" s="14" t="s">
        <v>19</v>
      </c>
      <c r="C48" s="8">
        <f t="shared" ref="C48:G48" ca="1" si="70">C19-C46</f>
        <v>25752.5</v>
      </c>
      <c r="D48" s="8">
        <f t="shared" ca="1" si="70"/>
        <v>29150.3125</v>
      </c>
      <c r="E48" s="8">
        <f t="shared" ca="1" si="70"/>
        <v>9341.8999999999942</v>
      </c>
      <c r="F48" s="8">
        <f t="shared" ca="1" si="70"/>
        <v>41106.771452393252</v>
      </c>
      <c r="G48" s="8">
        <f t="shared" ca="1" si="70"/>
        <v>45870.007252012962</v>
      </c>
      <c r="H48" s="8">
        <f t="shared" ref="H48:AM48" ca="1" si="71">H19-H46</f>
        <v>59968.34672037077</v>
      </c>
      <c r="I48" s="8">
        <f t="shared" ref="I48:AM48" ca="1" si="72">I19-I46</f>
        <v>-29872.870274671179</v>
      </c>
      <c r="J48" s="8">
        <f t="shared" ca="1" si="72"/>
        <v>-49234.513128408355</v>
      </c>
      <c r="K48" s="8">
        <f t="shared" ca="1" si="72"/>
        <v>28981.649430215359</v>
      </c>
      <c r="L48" s="8">
        <f t="shared" ca="1" si="72"/>
        <v>-65213.011180326743</v>
      </c>
      <c r="M48" s="8">
        <f t="shared" ca="1" si="72"/>
        <v>-15411.417424277737</v>
      </c>
      <c r="N48" s="8">
        <f t="shared" ca="1" si="72"/>
        <v>-16069.03792836098</v>
      </c>
      <c r="O48" s="8">
        <f t="shared" ca="1" si="72"/>
        <v>-16743.78410275482</v>
      </c>
      <c r="P48" s="8">
        <f t="shared" ca="1" si="72"/>
        <v>-17435.917521589618</v>
      </c>
      <c r="Q48" s="8">
        <f t="shared" ca="1" si="72"/>
        <v>-18145.696623261247</v>
      </c>
      <c r="R48" s="8">
        <f t="shared" ca="1" si="72"/>
        <v>-18873.376224833577</v>
      </c>
      <c r="S48" s="8">
        <f t="shared" ca="1" si="72"/>
        <v>-79.40177721643704</v>
      </c>
      <c r="T48" s="8">
        <f t="shared" ca="1" si="72"/>
        <v>7836.5529572282539</v>
      </c>
      <c r="U48" s="8">
        <f t="shared" ca="1" si="72"/>
        <v>8452.4740510101401</v>
      </c>
      <c r="V48" s="8">
        <f t="shared" ca="1" si="72"/>
        <v>9101.8241409073962</v>
      </c>
      <c r="W48" s="8">
        <f t="shared" ca="1" si="72"/>
        <v>9786.1156496529147</v>
      </c>
      <c r="X48" s="8">
        <f t="shared" ca="1" si="72"/>
        <v>-9899.9969875645766</v>
      </c>
      <c r="Y48" s="8">
        <f t="shared" ca="1" si="72"/>
        <v>-10161.382991344479</v>
      </c>
      <c r="Z48" s="8">
        <f t="shared" ca="1" si="72"/>
        <v>-10421.174830053802</v>
      </c>
      <c r="AA48" s="8">
        <f t="shared" ca="1" si="72"/>
        <v>-10678.87515017236</v>
      </c>
      <c r="AB48" s="8">
        <f t="shared" ca="1" si="72"/>
        <v>-10933.955098486738</v>
      </c>
      <c r="AC48" s="8">
        <f t="shared" ca="1" si="72"/>
        <v>-11185.852829100419</v>
      </c>
      <c r="AD48" s="8">
        <f t="shared" ca="1" si="72"/>
        <v>-1573.2343559739675</v>
      </c>
      <c r="AE48" s="8">
        <f t="shared" ca="1" si="72"/>
        <v>-1323.9054248525645</v>
      </c>
      <c r="AF48" s="8">
        <f t="shared" ca="1" si="72"/>
        <v>-1051.0060276709701</v>
      </c>
      <c r="AG48" s="8">
        <f t="shared" ca="1" si="72"/>
        <v>-753.20984926715028</v>
      </c>
      <c r="AH48" s="8">
        <f t="shared" ca="1" si="72"/>
        <v>-429.12988158912049</v>
      </c>
      <c r="AI48" s="8">
        <f t="shared" ca="1" si="72"/>
        <v>-77.315944737027166</v>
      </c>
      <c r="AJ48" s="8">
        <f t="shared" ca="1" si="72"/>
        <v>303.74788620701293</v>
      </c>
      <c r="AK48" s="8">
        <f t="shared" ca="1" si="72"/>
        <v>715.64595196934533</v>
      </c>
      <c r="AL48" s="8">
        <f t="shared" ca="1" si="72"/>
        <v>1160.0337810206838</v>
      </c>
      <c r="AM48" s="8">
        <f t="shared" ca="1" si="72"/>
        <v>1638.6409663072118</v>
      </c>
    </row>
    <row r="49" spans="1:39" x14ac:dyDescent="0.2">
      <c r="A49" s="5" t="s">
        <v>10</v>
      </c>
      <c r="C49" s="8">
        <f>Inputs!B8</f>
        <v>50000</v>
      </c>
      <c r="D49" s="8">
        <f ca="1">C50</f>
        <v>75752.5</v>
      </c>
      <c r="E49" s="8">
        <f t="shared" ref="E49:AM49" ca="1" si="73">D50</f>
        <v>104902.8125</v>
      </c>
      <c r="F49" s="8">
        <f t="shared" ca="1" si="73"/>
        <v>114244.71249999999</v>
      </c>
      <c r="G49" s="8">
        <f t="shared" ca="1" si="73"/>
        <v>155351.48395239323</v>
      </c>
      <c r="H49" s="8">
        <f t="shared" ca="1" si="73"/>
        <v>201221.49120440619</v>
      </c>
      <c r="I49" s="8">
        <f t="shared" ref="I49" ca="1" si="74">H50</f>
        <v>261189.83792477695</v>
      </c>
      <c r="J49" s="8">
        <f t="shared" ref="J49" ca="1" si="75">I50</f>
        <v>231316.96765010577</v>
      </c>
      <c r="K49" s="8">
        <f t="shared" ref="K49" ca="1" si="76">J50</f>
        <v>182082.45452169742</v>
      </c>
      <c r="L49" s="8">
        <f t="shared" ref="L49" ca="1" si="77">K50</f>
        <v>211064.10395191278</v>
      </c>
      <c r="M49" s="8">
        <f t="shared" ref="M49" ca="1" si="78">L50</f>
        <v>145851.09277158603</v>
      </c>
      <c r="N49" s="8">
        <f t="shared" ref="N49" ca="1" si="79">M50</f>
        <v>130439.67534730829</v>
      </c>
      <c r="O49" s="8">
        <f t="shared" ref="O49" ca="1" si="80">N50</f>
        <v>114370.63741894731</v>
      </c>
      <c r="P49" s="8">
        <f t="shared" ref="P49" ca="1" si="81">O50</f>
        <v>97626.853316192486</v>
      </c>
      <c r="Q49" s="8">
        <f t="shared" ref="Q49" ca="1" si="82">P50</f>
        <v>80190.935794602876</v>
      </c>
      <c r="R49" s="8">
        <f t="shared" ref="R49" ca="1" si="83">Q50</f>
        <v>62045.239171341629</v>
      </c>
      <c r="S49" s="8">
        <f t="shared" ref="S49" ca="1" si="84">R50</f>
        <v>43171.862946508052</v>
      </c>
      <c r="T49" s="8">
        <f t="shared" ref="T49" ca="1" si="85">S50</f>
        <v>43092.461169291615</v>
      </c>
      <c r="U49" s="8">
        <f t="shared" ref="U49" ca="1" si="86">T50</f>
        <v>50929.014126519869</v>
      </c>
      <c r="V49" s="8">
        <f t="shared" ref="V49" ca="1" si="87">U50</f>
        <v>59381.488177530009</v>
      </c>
      <c r="W49" s="8">
        <f t="shared" ref="W49" ca="1" si="88">V50</f>
        <v>68483.312318437413</v>
      </c>
      <c r="X49" s="8">
        <f t="shared" ref="X49" ca="1" si="89">W50</f>
        <v>78269.427968090327</v>
      </c>
      <c r="Y49" s="8">
        <f t="shared" ref="Y49" ca="1" si="90">X50</f>
        <v>68369.430980525751</v>
      </c>
      <c r="Z49" s="8">
        <f t="shared" ref="Z49" ca="1" si="91">Y50</f>
        <v>58208.047989181272</v>
      </c>
      <c r="AA49" s="8">
        <f t="shared" ref="AA49" ca="1" si="92">Z50</f>
        <v>47786.87315912747</v>
      </c>
      <c r="AB49" s="8">
        <f t="shared" ref="AB49" ca="1" si="93">AA50</f>
        <v>37107.99800895511</v>
      </c>
      <c r="AC49" s="8">
        <f t="shared" ref="AC49" ca="1" si="94">AB50</f>
        <v>26174.042910468372</v>
      </c>
      <c r="AD49" s="8">
        <f t="shared" ref="AD49" ca="1" si="95">AC50</f>
        <v>14988.190081367953</v>
      </c>
      <c r="AE49" s="8">
        <f t="shared" ref="AE49" ca="1" si="96">AD50</f>
        <v>13414.955725393986</v>
      </c>
      <c r="AF49" s="8">
        <f t="shared" ref="AF49" ca="1" si="97">AE50</f>
        <v>12091.050300541421</v>
      </c>
      <c r="AG49" s="8">
        <f t="shared" ref="AG49" ca="1" si="98">AF50</f>
        <v>11040.044272870451</v>
      </c>
      <c r="AH49" s="8">
        <f t="shared" ref="AH49" ca="1" si="99">AG50</f>
        <v>10286.834423603301</v>
      </c>
      <c r="AI49" s="8">
        <f t="shared" ref="AI49" ca="1" si="100">AH50</f>
        <v>9857.7045420141803</v>
      </c>
      <c r="AJ49" s="8">
        <f t="shared" ref="AJ49" ca="1" si="101">AI50</f>
        <v>9780.3885972771532</v>
      </c>
      <c r="AK49" s="8">
        <f t="shared" ref="AK49" ca="1" si="102">AJ50</f>
        <v>10084.136483484166</v>
      </c>
      <c r="AL49" s="8">
        <f t="shared" ref="AL49" ca="1" si="103">AK50</f>
        <v>10799.782435453511</v>
      </c>
      <c r="AM49" s="8">
        <f t="shared" ref="AM49" ca="1" si="104">AL50</f>
        <v>11959.816216474195</v>
      </c>
    </row>
    <row r="50" spans="1:39" x14ac:dyDescent="0.2">
      <c r="A50" s="5" t="s">
        <v>11</v>
      </c>
      <c r="C50" s="10">
        <f ca="1">SUM(C48:C49)</f>
        <v>75752.5</v>
      </c>
      <c r="D50" s="10">
        <f t="shared" ref="D50:G50" ca="1" si="105">SUM(D48:D49)</f>
        <v>104902.8125</v>
      </c>
      <c r="E50" s="10">
        <f t="shared" ca="1" si="105"/>
        <v>114244.71249999999</v>
      </c>
      <c r="F50" s="10">
        <f t="shared" ca="1" si="105"/>
        <v>155351.48395239323</v>
      </c>
      <c r="G50" s="10">
        <f t="shared" ca="1" si="105"/>
        <v>201221.49120440619</v>
      </c>
      <c r="H50" s="10">
        <f t="shared" ref="H50:AM50" ca="1" si="106">SUM(H48:H49)</f>
        <v>261189.83792477695</v>
      </c>
      <c r="I50" s="10">
        <f t="shared" ref="I50:AM50" ca="1" si="107">SUM(I48:I49)</f>
        <v>231316.96765010577</v>
      </c>
      <c r="J50" s="10">
        <f t="shared" ca="1" si="107"/>
        <v>182082.45452169742</v>
      </c>
      <c r="K50" s="10">
        <f t="shared" ca="1" si="107"/>
        <v>211064.10395191278</v>
      </c>
      <c r="L50" s="10">
        <f t="shared" ca="1" si="107"/>
        <v>145851.09277158603</v>
      </c>
      <c r="M50" s="10">
        <f t="shared" ca="1" si="107"/>
        <v>130439.67534730829</v>
      </c>
      <c r="N50" s="10">
        <f t="shared" ca="1" si="107"/>
        <v>114370.63741894731</v>
      </c>
      <c r="O50" s="10">
        <f t="shared" ca="1" si="107"/>
        <v>97626.853316192486</v>
      </c>
      <c r="P50" s="10">
        <f t="shared" ca="1" si="107"/>
        <v>80190.935794602876</v>
      </c>
      <c r="Q50" s="10">
        <f t="shared" ca="1" si="107"/>
        <v>62045.239171341629</v>
      </c>
      <c r="R50" s="10">
        <f t="shared" ca="1" si="107"/>
        <v>43171.862946508052</v>
      </c>
      <c r="S50" s="10">
        <f t="shared" ca="1" si="107"/>
        <v>43092.461169291615</v>
      </c>
      <c r="T50" s="10">
        <f t="shared" ca="1" si="107"/>
        <v>50929.014126519869</v>
      </c>
      <c r="U50" s="10">
        <f t="shared" ca="1" si="107"/>
        <v>59381.488177530009</v>
      </c>
      <c r="V50" s="10">
        <f t="shared" ca="1" si="107"/>
        <v>68483.312318437413</v>
      </c>
      <c r="W50" s="10">
        <f t="shared" ca="1" si="107"/>
        <v>78269.427968090327</v>
      </c>
      <c r="X50" s="10">
        <f t="shared" ca="1" si="107"/>
        <v>68369.430980525751</v>
      </c>
      <c r="Y50" s="10">
        <f t="shared" ca="1" si="107"/>
        <v>58208.047989181272</v>
      </c>
      <c r="Z50" s="10">
        <f t="shared" ca="1" si="107"/>
        <v>47786.87315912747</v>
      </c>
      <c r="AA50" s="10">
        <f t="shared" ca="1" si="107"/>
        <v>37107.99800895511</v>
      </c>
      <c r="AB50" s="10">
        <f t="shared" ca="1" si="107"/>
        <v>26174.042910468372</v>
      </c>
      <c r="AC50" s="10">
        <f t="shared" ca="1" si="107"/>
        <v>14988.190081367953</v>
      </c>
      <c r="AD50" s="10">
        <f t="shared" ca="1" si="107"/>
        <v>13414.955725393986</v>
      </c>
      <c r="AE50" s="10">
        <f t="shared" ca="1" si="107"/>
        <v>12091.050300541421</v>
      </c>
      <c r="AF50" s="10">
        <f t="shared" ca="1" si="107"/>
        <v>11040.044272870451</v>
      </c>
      <c r="AG50" s="10">
        <f t="shared" ca="1" si="107"/>
        <v>10286.834423603301</v>
      </c>
      <c r="AH50" s="10">
        <f t="shared" ca="1" si="107"/>
        <v>9857.7045420141803</v>
      </c>
      <c r="AI50" s="10">
        <f t="shared" ca="1" si="107"/>
        <v>9780.3885972771532</v>
      </c>
      <c r="AJ50" s="10">
        <f t="shared" ca="1" si="107"/>
        <v>10084.136483484166</v>
      </c>
      <c r="AK50" s="10">
        <f t="shared" ca="1" si="107"/>
        <v>10799.782435453511</v>
      </c>
      <c r="AL50" s="10">
        <f t="shared" ca="1" si="107"/>
        <v>11959.816216474195</v>
      </c>
      <c r="AM50" s="10">
        <f t="shared" ca="1" si="107"/>
        <v>13598.457182781407</v>
      </c>
    </row>
    <row r="51" spans="1:39" x14ac:dyDescent="0.2"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</row>
    <row r="52" spans="1:39" ht="19" x14ac:dyDescent="0.25">
      <c r="A52" s="30" t="s">
        <v>82</v>
      </c>
      <c r="B52" s="31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</row>
    <row r="53" spans="1:39" x14ac:dyDescent="0.2">
      <c r="A53" s="5" t="s">
        <v>9</v>
      </c>
      <c r="C53" s="8">
        <f t="shared" ref="C53:G53" ca="1" si="108">C50</f>
        <v>75752.5</v>
      </c>
      <c r="D53" s="8">
        <f t="shared" ca="1" si="108"/>
        <v>104902.8125</v>
      </c>
      <c r="E53" s="8">
        <f t="shared" ca="1" si="108"/>
        <v>114244.71249999999</v>
      </c>
      <c r="F53" s="8">
        <f t="shared" ca="1" si="108"/>
        <v>155351.48395239323</v>
      </c>
      <c r="G53" s="8">
        <f t="shared" ca="1" si="108"/>
        <v>201221.49120440619</v>
      </c>
      <c r="H53" s="8">
        <f t="shared" ref="H53:AM53" ca="1" si="109">H50</f>
        <v>261189.83792477695</v>
      </c>
      <c r="I53" s="8">
        <f t="shared" ref="I53:AM53" ca="1" si="110">I50</f>
        <v>231316.96765010577</v>
      </c>
      <c r="J53" s="8">
        <f t="shared" ca="1" si="110"/>
        <v>182082.45452169742</v>
      </c>
      <c r="K53" s="8">
        <f t="shared" ca="1" si="110"/>
        <v>211064.10395191278</v>
      </c>
      <c r="L53" s="8">
        <f t="shared" ca="1" si="110"/>
        <v>145851.09277158603</v>
      </c>
      <c r="M53" s="8">
        <f t="shared" ca="1" si="110"/>
        <v>130439.67534730829</v>
      </c>
      <c r="N53" s="8">
        <f t="shared" ca="1" si="110"/>
        <v>114370.63741894731</v>
      </c>
      <c r="O53" s="8">
        <f t="shared" ca="1" si="110"/>
        <v>97626.853316192486</v>
      </c>
      <c r="P53" s="8">
        <f t="shared" ca="1" si="110"/>
        <v>80190.935794602876</v>
      </c>
      <c r="Q53" s="8">
        <f t="shared" ca="1" si="110"/>
        <v>62045.239171341629</v>
      </c>
      <c r="R53" s="8">
        <f t="shared" ca="1" si="110"/>
        <v>43171.862946508052</v>
      </c>
      <c r="S53" s="8">
        <f t="shared" ca="1" si="110"/>
        <v>43092.461169291615</v>
      </c>
      <c r="T53" s="8">
        <f t="shared" ca="1" si="110"/>
        <v>50929.014126519869</v>
      </c>
      <c r="U53" s="8">
        <f t="shared" ca="1" si="110"/>
        <v>59381.488177530009</v>
      </c>
      <c r="V53" s="8">
        <f t="shared" ca="1" si="110"/>
        <v>68483.312318437413</v>
      </c>
      <c r="W53" s="8">
        <f t="shared" ca="1" si="110"/>
        <v>78269.427968090327</v>
      </c>
      <c r="X53" s="8">
        <f t="shared" ca="1" si="110"/>
        <v>68369.430980525751</v>
      </c>
      <c r="Y53" s="8">
        <f t="shared" ca="1" si="110"/>
        <v>58208.047989181272</v>
      </c>
      <c r="Z53" s="8">
        <f t="shared" ca="1" si="110"/>
        <v>47786.87315912747</v>
      </c>
      <c r="AA53" s="8">
        <f t="shared" ca="1" si="110"/>
        <v>37107.99800895511</v>
      </c>
      <c r="AB53" s="8">
        <f t="shared" ca="1" si="110"/>
        <v>26174.042910468372</v>
      </c>
      <c r="AC53" s="8">
        <f t="shared" ca="1" si="110"/>
        <v>14988.190081367953</v>
      </c>
      <c r="AD53" s="8">
        <f t="shared" ca="1" si="110"/>
        <v>13414.955725393986</v>
      </c>
      <c r="AE53" s="8">
        <f t="shared" ca="1" si="110"/>
        <v>12091.050300541421</v>
      </c>
      <c r="AF53" s="8">
        <f t="shared" ca="1" si="110"/>
        <v>11040.044272870451</v>
      </c>
      <c r="AG53" s="8">
        <f t="shared" ca="1" si="110"/>
        <v>10286.834423603301</v>
      </c>
      <c r="AH53" s="8">
        <f t="shared" ca="1" si="110"/>
        <v>9857.7045420141803</v>
      </c>
      <c r="AI53" s="8">
        <f t="shared" ca="1" si="110"/>
        <v>9780.3885972771532</v>
      </c>
      <c r="AJ53" s="8">
        <f t="shared" ca="1" si="110"/>
        <v>10084.136483484166</v>
      </c>
      <c r="AK53" s="8">
        <f t="shared" ca="1" si="110"/>
        <v>10799.782435453511</v>
      </c>
      <c r="AL53" s="8">
        <f t="shared" ca="1" si="110"/>
        <v>11959.816216474195</v>
      </c>
      <c r="AM53" s="8">
        <f t="shared" ca="1" si="110"/>
        <v>13598.457182781407</v>
      </c>
    </row>
    <row r="54" spans="1:39" x14ac:dyDescent="0.2">
      <c r="A54" s="5" t="s">
        <v>7</v>
      </c>
      <c r="C54" s="8">
        <f>Inputs!B12*(1+princ)</f>
        <v>618000</v>
      </c>
      <c r="D54" s="8">
        <f t="shared" ref="D54:AM54" si="111">C54*(1+princ)</f>
        <v>636540</v>
      </c>
      <c r="E54" s="8">
        <f t="shared" si="111"/>
        <v>655636.20000000007</v>
      </c>
      <c r="F54" s="8">
        <f t="shared" si="111"/>
        <v>675305.28600000008</v>
      </c>
      <c r="G54" s="8">
        <f t="shared" si="111"/>
        <v>695564.44458000013</v>
      </c>
      <c r="H54" s="8">
        <f t="shared" si="111"/>
        <v>716431.3779174001</v>
      </c>
      <c r="I54" s="8">
        <f t="shared" ref="I54" si="112">H54*(1+princ)</f>
        <v>737924.3192549221</v>
      </c>
      <c r="J54" s="8">
        <f t="shared" ref="J54" si="113">I54*(1+princ)</f>
        <v>760062.04883256974</v>
      </c>
      <c r="K54" s="8">
        <f t="shared" ref="K54" si="114">J54*(1+princ)</f>
        <v>782863.91029754688</v>
      </c>
      <c r="L54" s="8">
        <f t="shared" ref="L54" si="115">K54*(1+princ)</f>
        <v>806349.82760647335</v>
      </c>
      <c r="M54" s="8">
        <f t="shared" ref="M54" si="116">L54*(1+princ)</f>
        <v>830540.32243466761</v>
      </c>
      <c r="N54" s="8">
        <f t="shared" ref="N54" si="117">M54*(1+princ)</f>
        <v>855456.5321077077</v>
      </c>
      <c r="O54" s="8">
        <f t="shared" ref="O54" si="118">N54*(1+princ)</f>
        <v>881120.22807093896</v>
      </c>
      <c r="P54" s="8">
        <f t="shared" ref="P54" si="119">O54*(1+princ)</f>
        <v>907553.83491306717</v>
      </c>
      <c r="Q54" s="8">
        <f t="shared" ref="Q54" si="120">P54*(1+princ)</f>
        <v>934780.44996045926</v>
      </c>
      <c r="R54" s="8">
        <f t="shared" ref="R54" si="121">Q54*(1+princ)</f>
        <v>962823.86345927301</v>
      </c>
      <c r="S54" s="8">
        <f t="shared" ref="S54" si="122">R54*(1+princ)</f>
        <v>991708.57936305122</v>
      </c>
      <c r="T54" s="8">
        <f t="shared" ref="T54" si="123">S54*(1+princ)</f>
        <v>1021459.8367439428</v>
      </c>
      <c r="U54" s="8">
        <f t="shared" ref="U54" si="124">T54*(1+princ)</f>
        <v>1052103.6318462612</v>
      </c>
      <c r="V54" s="8">
        <f t="shared" ref="V54" si="125">U54*(1+princ)</f>
        <v>1083666.7408016492</v>
      </c>
      <c r="W54" s="8">
        <f t="shared" ref="W54" si="126">V54*(1+princ)</f>
        <v>1116176.7430256987</v>
      </c>
      <c r="X54" s="8">
        <f t="shared" ref="X54" si="127">W54*(1+princ)</f>
        <v>1149662.0453164696</v>
      </c>
      <c r="Y54" s="8">
        <f t="shared" ref="Y54" si="128">X54*(1+princ)</f>
        <v>1184151.9066759637</v>
      </c>
      <c r="Z54" s="8">
        <f t="shared" ref="Z54" si="129">Y54*(1+princ)</f>
        <v>1219676.4638762425</v>
      </c>
      <c r="AA54" s="8">
        <f t="shared" ref="AA54" si="130">Z54*(1+princ)</f>
        <v>1256266.7577925299</v>
      </c>
      <c r="AB54" s="8">
        <f t="shared" ref="AB54" si="131">AA54*(1+princ)</f>
        <v>1293954.7605263058</v>
      </c>
      <c r="AC54" s="8">
        <f t="shared" ref="AC54" si="132">AB54*(1+princ)</f>
        <v>1332773.403342095</v>
      </c>
      <c r="AD54" s="8">
        <f t="shared" ref="AD54" si="133">AC54*(1+princ)</f>
        <v>1372756.6054423579</v>
      </c>
      <c r="AE54" s="8">
        <f t="shared" ref="AE54" si="134">AD54*(1+princ)</f>
        <v>1413939.3036056287</v>
      </c>
      <c r="AF54" s="8">
        <f t="shared" ref="AF54" si="135">AE54*(1+princ)</f>
        <v>1456357.4827137976</v>
      </c>
      <c r="AG54" s="8">
        <f t="shared" ref="AG54" si="136">AF54*(1+princ)</f>
        <v>1500048.2071952117</v>
      </c>
      <c r="AH54" s="8">
        <f t="shared" ref="AH54" si="137">AG54*(1+princ)</f>
        <v>1545049.653411068</v>
      </c>
      <c r="AI54" s="8">
        <f t="shared" ref="AI54" si="138">AH54*(1+princ)</f>
        <v>1591401.1430134</v>
      </c>
      <c r="AJ54" s="8">
        <f t="shared" ref="AJ54" si="139">AI54*(1+princ)</f>
        <v>1639143.177303802</v>
      </c>
      <c r="AK54" s="8">
        <f t="shared" ref="AK54" si="140">AJ54*(1+princ)</f>
        <v>1688317.4726229161</v>
      </c>
      <c r="AL54" s="8">
        <f t="shared" ref="AL54" si="141">AK54*(1+princ)</f>
        <v>1738966.9968016036</v>
      </c>
      <c r="AM54" s="8">
        <f t="shared" ref="AM54" si="142">AL54*(1+princ)</f>
        <v>1791136.0067056518</v>
      </c>
    </row>
    <row r="55" spans="1:39" x14ac:dyDescent="0.2">
      <c r="A55" s="5" t="s">
        <v>56</v>
      </c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</row>
    <row r="56" spans="1:39" x14ac:dyDescent="0.2">
      <c r="A56" s="4" t="str">
        <f>TEXT(Inputs!$B$50,"")</f>
        <v>Sliema</v>
      </c>
      <c r="C56" s="8">
        <f>Inputs!B51*(1+princ)</f>
        <v>309000</v>
      </c>
      <c r="D56" s="8">
        <f t="shared" ref="D56:AM58" si="143">C56*(1+princ)</f>
        <v>318270</v>
      </c>
      <c r="E56" s="8">
        <f t="shared" si="143"/>
        <v>327818.10000000003</v>
      </c>
      <c r="F56" s="8">
        <f t="shared" si="143"/>
        <v>337652.64300000004</v>
      </c>
      <c r="G56" s="8">
        <f t="shared" si="143"/>
        <v>347782.22229000006</v>
      </c>
      <c r="H56" s="8">
        <f t="shared" si="143"/>
        <v>358215.68895870005</v>
      </c>
      <c r="I56" s="8">
        <f t="shared" ref="I56:I58" si="144">H56*(1+princ)</f>
        <v>368962.15962746105</v>
      </c>
      <c r="J56" s="8">
        <f t="shared" ref="J56:J58" si="145">I56*(1+princ)</f>
        <v>380031.02441628487</v>
      </c>
      <c r="K56" s="8">
        <f t="shared" ref="K56:K58" si="146">J56*(1+princ)</f>
        <v>391431.95514877344</v>
      </c>
      <c r="L56" s="8">
        <f t="shared" ref="L56:L58" si="147">K56*(1+princ)</f>
        <v>403174.91380323668</v>
      </c>
      <c r="M56" s="8">
        <f t="shared" ref="M56:M58" si="148">L56*(1+princ)</f>
        <v>415270.16121733381</v>
      </c>
      <c r="N56" s="8">
        <f t="shared" ref="N56:N58" si="149">M56*(1+princ)</f>
        <v>427728.26605385385</v>
      </c>
      <c r="O56" s="8">
        <f t="shared" ref="O56:O58" si="150">N56*(1+princ)</f>
        <v>440560.11403546948</v>
      </c>
      <c r="P56" s="8">
        <f t="shared" ref="P56:P58" si="151">O56*(1+princ)</f>
        <v>453776.91745653359</v>
      </c>
      <c r="Q56" s="8">
        <f t="shared" ref="Q56:Q58" si="152">P56*(1+princ)</f>
        <v>467390.22498022963</v>
      </c>
      <c r="R56" s="8">
        <f t="shared" ref="R56:R58" si="153">Q56*(1+princ)</f>
        <v>481411.9317296365</v>
      </c>
      <c r="S56" s="8">
        <f t="shared" ref="S56:S58" si="154">R56*(1+princ)</f>
        <v>495854.28968152561</v>
      </c>
      <c r="T56" s="8">
        <f t="shared" ref="T56:T58" si="155">S56*(1+princ)</f>
        <v>510729.91837197141</v>
      </c>
      <c r="U56" s="8">
        <f t="shared" ref="U56:U58" si="156">T56*(1+princ)</f>
        <v>526051.81592313061</v>
      </c>
      <c r="V56" s="8">
        <f t="shared" ref="V56:V58" si="157">U56*(1+princ)</f>
        <v>541833.37040082458</v>
      </c>
      <c r="W56" s="8">
        <f t="shared" ref="W56:W58" si="158">V56*(1+princ)</f>
        <v>558088.37151284935</v>
      </c>
      <c r="X56" s="8">
        <f t="shared" ref="X56:X58" si="159">W56*(1+princ)</f>
        <v>574831.02265823481</v>
      </c>
      <c r="Y56" s="8">
        <f t="shared" ref="Y56:Y58" si="160">X56*(1+princ)</f>
        <v>592075.95333798183</v>
      </c>
      <c r="Z56" s="8">
        <f t="shared" ref="Z56:Z58" si="161">Y56*(1+princ)</f>
        <v>609838.23193812126</v>
      </c>
      <c r="AA56" s="8">
        <f t="shared" ref="AA56:AA58" si="162">Z56*(1+princ)</f>
        <v>628133.37889626494</v>
      </c>
      <c r="AB56" s="8">
        <f t="shared" ref="AB56:AB58" si="163">AA56*(1+princ)</f>
        <v>646977.38026315288</v>
      </c>
      <c r="AC56" s="8">
        <f t="shared" ref="AC56:AC58" si="164">AB56*(1+princ)</f>
        <v>666386.70167104749</v>
      </c>
      <c r="AD56" s="8">
        <f t="shared" ref="AD56:AD58" si="165">AC56*(1+princ)</f>
        <v>686378.30272117897</v>
      </c>
      <c r="AE56" s="8">
        <f t="shared" ref="AE56:AE58" si="166">AD56*(1+princ)</f>
        <v>706969.65180281433</v>
      </c>
      <c r="AF56" s="8">
        <f t="shared" ref="AF56:AF58" si="167">AE56*(1+princ)</f>
        <v>728178.7413568988</v>
      </c>
      <c r="AG56" s="8">
        <f t="shared" ref="AG56:AG58" si="168">AF56*(1+princ)</f>
        <v>750024.10359760583</v>
      </c>
      <c r="AH56" s="8">
        <f t="shared" ref="AH56:AH58" si="169">AG56*(1+princ)</f>
        <v>772524.82670553401</v>
      </c>
      <c r="AI56" s="8">
        <f t="shared" ref="AI56:AI58" si="170">AH56*(1+princ)</f>
        <v>795700.57150670001</v>
      </c>
      <c r="AJ56" s="8">
        <f t="shared" ref="AJ56:AJ58" si="171">AI56*(1+princ)</f>
        <v>819571.58865190099</v>
      </c>
      <c r="AK56" s="8">
        <f t="shared" ref="AK56:AK58" si="172">AJ56*(1+princ)</f>
        <v>844158.73631145805</v>
      </c>
      <c r="AL56" s="8">
        <f t="shared" ref="AL56:AL58" si="173">AK56*(1+princ)</f>
        <v>869483.49840080179</v>
      </c>
      <c r="AM56" s="8">
        <f t="shared" ref="AM56:AM58" si="174">AL56*(1+princ)</f>
        <v>895568.00335282588</v>
      </c>
    </row>
    <row r="57" spans="1:39" x14ac:dyDescent="0.2">
      <c r="A57" s="4" t="str">
        <f>TEXT(Inputs!$B$55,"")</f>
        <v>Gzira</v>
      </c>
      <c r="C57" s="8">
        <f>Inputs!B56*(1+princ)</f>
        <v>154500</v>
      </c>
      <c r="D57" s="8">
        <f t="shared" si="143"/>
        <v>159135</v>
      </c>
      <c r="E57" s="8">
        <f t="shared" si="143"/>
        <v>163909.05000000002</v>
      </c>
      <c r="F57" s="8">
        <f t="shared" si="143"/>
        <v>168826.32150000002</v>
      </c>
      <c r="G57" s="8">
        <f t="shared" si="143"/>
        <v>173891.11114500003</v>
      </c>
      <c r="H57" s="8">
        <f t="shared" si="143"/>
        <v>179107.84447935002</v>
      </c>
      <c r="I57" s="8">
        <f t="shared" si="144"/>
        <v>184481.07981373052</v>
      </c>
      <c r="J57" s="8">
        <f t="shared" si="145"/>
        <v>190015.51220814243</v>
      </c>
      <c r="K57" s="8">
        <f t="shared" si="146"/>
        <v>195715.97757438672</v>
      </c>
      <c r="L57" s="8">
        <f t="shared" si="147"/>
        <v>201587.45690161834</v>
      </c>
      <c r="M57" s="8">
        <f t="shared" si="148"/>
        <v>207635.0806086669</v>
      </c>
      <c r="N57" s="8">
        <f t="shared" si="149"/>
        <v>213864.13302692692</v>
      </c>
      <c r="O57" s="8">
        <f t="shared" si="150"/>
        <v>220280.05701773474</v>
      </c>
      <c r="P57" s="8">
        <f t="shared" si="151"/>
        <v>226888.45872826679</v>
      </c>
      <c r="Q57" s="8">
        <f t="shared" si="152"/>
        <v>233695.11249011481</v>
      </c>
      <c r="R57" s="8">
        <f t="shared" si="153"/>
        <v>240705.96586481825</v>
      </c>
      <c r="S57" s="8">
        <f t="shared" si="154"/>
        <v>247927.1448407628</v>
      </c>
      <c r="T57" s="8">
        <f t="shared" si="155"/>
        <v>255364.9591859857</v>
      </c>
      <c r="U57" s="8">
        <f t="shared" si="156"/>
        <v>263025.9079615653</v>
      </c>
      <c r="V57" s="8">
        <f t="shared" si="157"/>
        <v>270916.68520041229</v>
      </c>
      <c r="W57" s="8">
        <f t="shared" si="158"/>
        <v>279044.18575642467</v>
      </c>
      <c r="X57" s="8">
        <f t="shared" si="159"/>
        <v>287415.51132911741</v>
      </c>
      <c r="Y57" s="8">
        <f t="shared" si="160"/>
        <v>296037.97666899092</v>
      </c>
      <c r="Z57" s="8">
        <f t="shared" si="161"/>
        <v>304919.11596906063</v>
      </c>
      <c r="AA57" s="8">
        <f t="shared" si="162"/>
        <v>314066.68944813247</v>
      </c>
      <c r="AB57" s="8">
        <f t="shared" si="163"/>
        <v>323488.69013157644</v>
      </c>
      <c r="AC57" s="8">
        <f t="shared" si="164"/>
        <v>333193.35083552374</v>
      </c>
      <c r="AD57" s="8">
        <f t="shared" si="165"/>
        <v>343189.15136058949</v>
      </c>
      <c r="AE57" s="8">
        <f t="shared" si="166"/>
        <v>353484.82590140717</v>
      </c>
      <c r="AF57" s="8">
        <f t="shared" si="167"/>
        <v>364089.3706784494</v>
      </c>
      <c r="AG57" s="8">
        <f t="shared" si="168"/>
        <v>375012.05179880292</v>
      </c>
      <c r="AH57" s="8">
        <f t="shared" si="169"/>
        <v>386262.41335276701</v>
      </c>
      <c r="AI57" s="8">
        <f t="shared" si="170"/>
        <v>397850.28575335001</v>
      </c>
      <c r="AJ57" s="8">
        <f t="shared" si="171"/>
        <v>409785.7943259505</v>
      </c>
      <c r="AK57" s="8">
        <f t="shared" si="172"/>
        <v>422079.36815572903</v>
      </c>
      <c r="AL57" s="8">
        <f t="shared" si="173"/>
        <v>434741.7492004009</v>
      </c>
      <c r="AM57" s="8">
        <f t="shared" si="174"/>
        <v>447784.00167641294</v>
      </c>
    </row>
    <row r="58" spans="1:39" x14ac:dyDescent="0.2">
      <c r="A58" s="4" t="str">
        <f>TEXT(Inputs!$B$60,"")</f>
        <v>Qormi</v>
      </c>
      <c r="C58" s="8">
        <f>Inputs!B61*(1+princ)</f>
        <v>226600</v>
      </c>
      <c r="D58" s="8">
        <f t="shared" si="143"/>
        <v>233398</v>
      </c>
      <c r="E58" s="8">
        <f t="shared" si="143"/>
        <v>240399.94</v>
      </c>
      <c r="F58" s="8">
        <f t="shared" si="143"/>
        <v>247611.9382</v>
      </c>
      <c r="G58" s="8">
        <f t="shared" si="143"/>
        <v>255040.29634600002</v>
      </c>
      <c r="H58" s="8">
        <f t="shared" si="143"/>
        <v>262691.50523638004</v>
      </c>
      <c r="I58" s="8">
        <f t="shared" si="144"/>
        <v>270572.25039347145</v>
      </c>
      <c r="J58" s="8">
        <f t="shared" si="145"/>
        <v>278689.41790527559</v>
      </c>
      <c r="K58" s="8">
        <f t="shared" si="146"/>
        <v>287050.10044243385</v>
      </c>
      <c r="L58" s="8">
        <f t="shared" si="147"/>
        <v>295661.60345570685</v>
      </c>
      <c r="M58" s="8">
        <f t="shared" si="148"/>
        <v>304531.45155937807</v>
      </c>
      <c r="N58" s="8">
        <f t="shared" si="149"/>
        <v>313667.39510615944</v>
      </c>
      <c r="O58" s="8">
        <f t="shared" si="150"/>
        <v>323077.41695934423</v>
      </c>
      <c r="P58" s="8">
        <f t="shared" si="151"/>
        <v>332769.73946812458</v>
      </c>
      <c r="Q58" s="8">
        <f t="shared" si="152"/>
        <v>342752.8316521683</v>
      </c>
      <c r="R58" s="8">
        <f t="shared" si="153"/>
        <v>353035.41660173336</v>
      </c>
      <c r="S58" s="8">
        <f t="shared" si="154"/>
        <v>363626.47909978539</v>
      </c>
      <c r="T58" s="8">
        <f t="shared" si="155"/>
        <v>374535.27347277896</v>
      </c>
      <c r="U58" s="8">
        <f t="shared" si="156"/>
        <v>385771.33167696232</v>
      </c>
      <c r="V58" s="8">
        <f t="shared" si="157"/>
        <v>397344.47162727121</v>
      </c>
      <c r="W58" s="8">
        <f t="shared" si="158"/>
        <v>409264.80577608937</v>
      </c>
      <c r="X58" s="8">
        <f t="shared" si="159"/>
        <v>421542.74994937208</v>
      </c>
      <c r="Y58" s="8">
        <f t="shared" si="160"/>
        <v>434189.03244785324</v>
      </c>
      <c r="Z58" s="8">
        <f t="shared" si="161"/>
        <v>447214.70342128887</v>
      </c>
      <c r="AA58" s="8">
        <f t="shared" si="162"/>
        <v>460631.14452392753</v>
      </c>
      <c r="AB58" s="8">
        <f t="shared" si="163"/>
        <v>474450.07885964535</v>
      </c>
      <c r="AC58" s="8">
        <f t="shared" si="164"/>
        <v>488683.58122543473</v>
      </c>
      <c r="AD58" s="8">
        <f t="shared" si="165"/>
        <v>503344.08866219776</v>
      </c>
      <c r="AE58" s="8">
        <f t="shared" si="166"/>
        <v>518444.41132206371</v>
      </c>
      <c r="AF58" s="8">
        <f t="shared" si="167"/>
        <v>533997.74366172566</v>
      </c>
      <c r="AG58" s="8">
        <f t="shared" si="168"/>
        <v>550017.67597157741</v>
      </c>
      <c r="AH58" s="8">
        <f t="shared" si="169"/>
        <v>566518.20625072473</v>
      </c>
      <c r="AI58" s="8">
        <f t="shared" si="170"/>
        <v>583513.75243824651</v>
      </c>
      <c r="AJ58" s="8">
        <f t="shared" si="171"/>
        <v>601019.16501139395</v>
      </c>
      <c r="AK58" s="8">
        <f t="shared" si="172"/>
        <v>619049.73996173579</v>
      </c>
      <c r="AL58" s="8">
        <f t="shared" si="173"/>
        <v>637621.23216058791</v>
      </c>
      <c r="AM58" s="8">
        <f t="shared" si="174"/>
        <v>656749.86912540556</v>
      </c>
    </row>
    <row r="59" spans="1:39" x14ac:dyDescent="0.2">
      <c r="A59" s="5" t="s">
        <v>12</v>
      </c>
      <c r="C59" s="8">
        <f>Inputs!B10*(1+stinc)</f>
        <v>32400.000000000004</v>
      </c>
      <c r="D59" s="8">
        <f>C59*(1+stinc)</f>
        <v>34992.000000000007</v>
      </c>
      <c r="E59" s="8">
        <f t="shared" ref="E59:AM59" si="175">D59*(1+stinc)</f>
        <v>37791.360000000008</v>
      </c>
      <c r="F59" s="8">
        <f t="shared" si="175"/>
        <v>40814.668800000014</v>
      </c>
      <c r="G59" s="8">
        <f t="shared" si="175"/>
        <v>44079.84230400002</v>
      </c>
      <c r="H59" s="8">
        <f t="shared" si="175"/>
        <v>47606.229688320025</v>
      </c>
      <c r="I59" s="8">
        <f t="shared" ref="I59" si="176">H59*(1+stinc)</f>
        <v>51414.728063385628</v>
      </c>
      <c r="J59" s="8">
        <f t="shared" ref="J59" si="177">I59*(1+stinc)</f>
        <v>55527.906308456484</v>
      </c>
      <c r="K59" s="8">
        <f t="shared" ref="K59" si="178">J59*(1+stinc)</f>
        <v>59970.13881313301</v>
      </c>
      <c r="L59" s="8">
        <f t="shared" ref="L59" si="179">K59*(1+stinc)</f>
        <v>64767.749918183654</v>
      </c>
      <c r="M59" s="8">
        <f t="shared" ref="M59" si="180">L59*(1+stinc)</f>
        <v>69949.169911638353</v>
      </c>
      <c r="N59" s="8">
        <f t="shared" ref="N59" si="181">M59*(1+stinc)</f>
        <v>75545.10350456943</v>
      </c>
      <c r="O59" s="8">
        <f t="shared" ref="O59" si="182">N59*(1+stinc)</f>
        <v>81588.711784934989</v>
      </c>
      <c r="P59" s="8">
        <f t="shared" ref="P59" si="183">O59*(1+stinc)</f>
        <v>88115.808727729789</v>
      </c>
      <c r="Q59" s="8">
        <f t="shared" ref="Q59" si="184">P59*(1+stinc)</f>
        <v>95165.073425948183</v>
      </c>
      <c r="R59" s="8">
        <f t="shared" ref="R59" si="185">Q59*(1+stinc)</f>
        <v>102778.27930002405</v>
      </c>
      <c r="S59" s="8">
        <f t="shared" ref="S59" si="186">R59*(1+stinc)</f>
        <v>111000.54164402599</v>
      </c>
      <c r="T59" s="8">
        <f t="shared" ref="T59" si="187">S59*(1+stinc)</f>
        <v>119880.58497554807</v>
      </c>
      <c r="U59" s="8">
        <f t="shared" ref="U59" si="188">T59*(1+stinc)</f>
        <v>129471.03177359192</v>
      </c>
      <c r="V59" s="8">
        <f t="shared" ref="V59" si="189">U59*(1+stinc)</f>
        <v>139828.71431547927</v>
      </c>
      <c r="W59" s="8">
        <f t="shared" ref="W59" si="190">V59*(1+stinc)</f>
        <v>151015.01146071762</v>
      </c>
      <c r="X59" s="8">
        <f t="shared" ref="X59" si="191">W59*(1+stinc)</f>
        <v>163096.21237757505</v>
      </c>
      <c r="Y59" s="8">
        <f t="shared" ref="Y59" si="192">X59*(1+stinc)</f>
        <v>176143.90936778107</v>
      </c>
      <c r="Z59" s="8">
        <f t="shared" ref="Z59" si="193">Y59*(1+stinc)</f>
        <v>190235.42211720356</v>
      </c>
      <c r="AA59" s="8">
        <f t="shared" ref="AA59" si="194">Z59*(1+stinc)</f>
        <v>205454.25588657986</v>
      </c>
      <c r="AB59" s="8">
        <f t="shared" ref="AB59" si="195">AA59*(1+stinc)</f>
        <v>221890.59635750626</v>
      </c>
      <c r="AC59" s="8">
        <f t="shared" ref="AC59" si="196">AB59*(1+stinc)</f>
        <v>239641.84406610677</v>
      </c>
      <c r="AD59" s="8">
        <f t="shared" ref="AD59" si="197">AC59*(1+stinc)</f>
        <v>258813.19159139533</v>
      </c>
      <c r="AE59" s="8">
        <f t="shared" ref="AE59" si="198">AD59*(1+stinc)</f>
        <v>279518.24691870698</v>
      </c>
      <c r="AF59" s="8">
        <f t="shared" ref="AF59" si="199">AE59*(1+stinc)</f>
        <v>301879.70667220355</v>
      </c>
      <c r="AG59" s="8">
        <f t="shared" ref="AG59" si="200">AF59*(1+stinc)</f>
        <v>326030.08320597984</v>
      </c>
      <c r="AH59" s="8">
        <f t="shared" ref="AH59" si="201">AG59*(1+stinc)</f>
        <v>352112.48986245826</v>
      </c>
      <c r="AI59" s="8">
        <f t="shared" ref="AI59" si="202">AH59*(1+stinc)</f>
        <v>380281.48905145493</v>
      </c>
      <c r="AJ59" s="8">
        <f t="shared" ref="AJ59" si="203">AI59*(1+stinc)</f>
        <v>410704.00817557133</v>
      </c>
      <c r="AK59" s="8">
        <f t="shared" ref="AK59" si="204">AJ59*(1+stinc)</f>
        <v>443560.32882961706</v>
      </c>
      <c r="AL59" s="8">
        <f t="shared" ref="AL59" si="205">AK59*(1+stinc)</f>
        <v>479045.15513598645</v>
      </c>
      <c r="AM59" s="8">
        <f t="shared" ref="AM59" si="206">AL59*(1+stinc)</f>
        <v>517368.76754686539</v>
      </c>
    </row>
    <row r="60" spans="1:39" x14ac:dyDescent="0.2">
      <c r="A60" s="5" t="s">
        <v>2</v>
      </c>
      <c r="C60" s="8">
        <f>-MAX(FV(Inputs!$B16/12,C$1*12,Inputs!$B17,-Inputs!$B15),0)</f>
        <v>-41787.691633353177</v>
      </c>
      <c r="D60" s="8">
        <f>-MAX(FV(Inputs!$B16/12,D$1*12,Inputs!$B17,-Inputs!$B15),0)</f>
        <v>-33325.598049266016</v>
      </c>
      <c r="E60" s="8">
        <f>-MAX(FV(Inputs!$B16/12,E$1*12,Inputs!$B17,-Inputs!$B15),0)</f>
        <v>-24606.12179132711</v>
      </c>
      <c r="F60" s="8">
        <f>-MAX(FV(Inputs!$B16/12,F$1*12,Inputs!$B17,-Inputs!$B15),0)</f>
        <v>-15621.434319218446</v>
      </c>
      <c r="G60" s="8">
        <f>-MAX(FV(Inputs!$B16/12,G$1*12,Inputs!$B17,-Inputs!$B15),0)</f>
        <v>-6363.4689800768465</v>
      </c>
      <c r="H60" s="8">
        <f>-MAX(FV(Inputs!$B16/12,H$1*12,Inputs!$B17,-Inputs!$B15),0)</f>
        <v>0</v>
      </c>
      <c r="I60" s="8">
        <f>-MAX(FV(Inputs!$B16/12,I$1*12,Inputs!$B17,-Inputs!$B15),0)</f>
        <v>0</v>
      </c>
      <c r="J60" s="8">
        <f>-MAX(FV(Inputs!$B16/12,J$1*12,Inputs!$B17,-Inputs!$B15),0)</f>
        <v>0</v>
      </c>
      <c r="K60" s="8">
        <f>-MAX(FV(Inputs!$B16/12,K$1*12,Inputs!$B17,-Inputs!$B15),0)</f>
        <v>0</v>
      </c>
      <c r="L60" s="8">
        <f>-MAX(FV(Inputs!$B16/12,L$1*12,Inputs!$B17,-Inputs!$B15),0)</f>
        <v>0</v>
      </c>
      <c r="M60" s="8">
        <f>-MAX(FV(Inputs!$B16/12,M$1*12,Inputs!$B17,-Inputs!$B15),0)</f>
        <v>0</v>
      </c>
      <c r="N60" s="8">
        <f>-MAX(FV(Inputs!$B16/12,N$1*12,Inputs!$B17,-Inputs!$B15),0)</f>
        <v>0</v>
      </c>
      <c r="O60" s="8">
        <f>-MAX(FV(Inputs!$B16/12,O$1*12,Inputs!$B17,-Inputs!$B15),0)</f>
        <v>0</v>
      </c>
      <c r="P60" s="8">
        <f>-MAX(FV(Inputs!$B16/12,P$1*12,Inputs!$B17,-Inputs!$B15),0)</f>
        <v>0</v>
      </c>
      <c r="Q60" s="8">
        <f>-MAX(FV(Inputs!$B16/12,Q$1*12,Inputs!$B17,-Inputs!$B15),0)</f>
        <v>0</v>
      </c>
      <c r="R60" s="8">
        <f>-MAX(FV(Inputs!$B16/12,R$1*12,Inputs!$B17,-Inputs!$B15),0)</f>
        <v>0</v>
      </c>
      <c r="S60" s="8">
        <f>-MAX(FV(Inputs!$B16/12,S$1*12,Inputs!$B17,-Inputs!$B15),0)</f>
        <v>0</v>
      </c>
      <c r="T60" s="8">
        <f>-MAX(FV(Inputs!$B16/12,T$1*12,Inputs!$B17,-Inputs!$B15),0)</f>
        <v>0</v>
      </c>
      <c r="U60" s="8">
        <f>-MAX(FV(Inputs!$B16/12,U$1*12,Inputs!$B17,-Inputs!$B15),0)</f>
        <v>0</v>
      </c>
      <c r="V60" s="8">
        <f>-MAX(FV(Inputs!$B16/12,V$1*12,Inputs!$B17,-Inputs!$B15),0)</f>
        <v>0</v>
      </c>
      <c r="W60" s="8">
        <f>-MAX(FV(Inputs!$B16/12,W$1*12,Inputs!$B17,-Inputs!$B15),0)</f>
        <v>0</v>
      </c>
      <c r="X60" s="8">
        <f>-MAX(FV(Inputs!$B16/12,X$1*12,Inputs!$B17,-Inputs!$B15),0)</f>
        <v>0</v>
      </c>
      <c r="Y60" s="8">
        <f>-MAX(FV(Inputs!$B16/12,Y$1*12,Inputs!$B17,-Inputs!$B15),0)</f>
        <v>0</v>
      </c>
      <c r="Z60" s="8">
        <f>-MAX(FV(Inputs!$B16/12,Z$1*12,Inputs!$B17,-Inputs!$B15),0)</f>
        <v>0</v>
      </c>
      <c r="AA60" s="8">
        <f>-MAX(FV(Inputs!$B16/12,AA$1*12,Inputs!$B17,-Inputs!$B15),0)</f>
        <v>0</v>
      </c>
      <c r="AB60" s="8">
        <f>-MAX(FV(Inputs!$B16/12,AB$1*12,Inputs!$B17,-Inputs!$B15),0)</f>
        <v>0</v>
      </c>
      <c r="AC60" s="8">
        <f>-MAX(FV(Inputs!$B16/12,AC$1*12,Inputs!$B17,-Inputs!$B15),0)</f>
        <v>0</v>
      </c>
      <c r="AD60" s="8">
        <f>-MAX(FV(Inputs!$B16/12,AD$1*12,Inputs!$B17,-Inputs!$B15),0)</f>
        <v>0</v>
      </c>
      <c r="AE60" s="8">
        <f>-MAX(FV(Inputs!$B16/12,AE$1*12,Inputs!$B17,-Inputs!$B15),0)</f>
        <v>0</v>
      </c>
      <c r="AF60" s="8">
        <f>-MAX(FV(Inputs!$B16/12,AF$1*12,Inputs!$B17,-Inputs!$B15),0)</f>
        <v>0</v>
      </c>
      <c r="AG60" s="8">
        <f>-MAX(FV(Inputs!$B16/12,AG$1*12,Inputs!$B17,-Inputs!$B15),0)</f>
        <v>0</v>
      </c>
      <c r="AH60" s="8">
        <f>-MAX(FV(Inputs!$B16/12,AH$1*12,Inputs!$B17,-Inputs!$B15),0)</f>
        <v>0</v>
      </c>
      <c r="AI60" s="8">
        <f>-MAX(FV(Inputs!$B16/12,AI$1*12,Inputs!$B17,-Inputs!$B15),0)</f>
        <v>0</v>
      </c>
      <c r="AJ60" s="8">
        <f>-MAX(FV(Inputs!$B16/12,AJ$1*12,Inputs!$B17,-Inputs!$B15),0)</f>
        <v>0</v>
      </c>
      <c r="AK60" s="8">
        <f>-MAX(FV(Inputs!$B16/12,AK$1*12,Inputs!$B17,-Inputs!$B15),0)</f>
        <v>0</v>
      </c>
      <c r="AL60" s="8">
        <f>-MAX(FV(Inputs!$B16/12,AL$1*12,Inputs!$B17,-Inputs!$B15),0)</f>
        <v>0</v>
      </c>
      <c r="AM60" s="8">
        <f>-MAX(FV(Inputs!$B16/12,AM$1*12,Inputs!$B17,-Inputs!$B15),0)</f>
        <v>0</v>
      </c>
    </row>
    <row r="61" spans="1:39" x14ac:dyDescent="0.2">
      <c r="A61" s="5" t="s">
        <v>65</v>
      </c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</row>
    <row r="62" spans="1:39" x14ac:dyDescent="0.2">
      <c r="A62" s="4" t="str">
        <f>TEXT(Inputs!$B$50,"")</f>
        <v>Sliema</v>
      </c>
      <c r="C62" s="8">
        <f>-MAX(FV(Inputs!$B79/12,C$1*12,Inputs!$B80,-Inputs!$B78),0)</f>
        <v>-45437.606462973985</v>
      </c>
      <c r="D62" s="8">
        <f>-MAX(FV(Inputs!$B79/12,D$1*12,Inputs!$B80,-Inputs!$B78),0)</f>
        <v>-40736.443360703342</v>
      </c>
      <c r="E62" s="8">
        <f>-MAX(FV(Inputs!$B79/12,E$1*12,Inputs!$B80,-Inputs!$B78),0)</f>
        <v>-35892.289884070618</v>
      </c>
      <c r="F62" s="8">
        <f>-MAX(FV(Inputs!$B79/12,F$1*12,Inputs!$B80,-Inputs!$B78),0)</f>
        <v>-30900.796844010245</v>
      </c>
      <c r="G62" s="8">
        <f>-MAX(FV(Inputs!$B79/12,G$1*12,Inputs!$B80,-Inputs!$B78),0)</f>
        <v>-25757.48276670936</v>
      </c>
      <c r="H62" s="8">
        <f>-MAX(FV(Inputs!$B79/12,H$1*12,Inputs!$B80,-Inputs!$B78),0)</f>
        <v>-20457.729870040646</v>
      </c>
      <c r="I62" s="8">
        <f>-MAX(FV(Inputs!$B79/12,I$1*12,Inputs!$B80,-Inputs!$B78),0)</f>
        <v>-14996.779917614593</v>
      </c>
      <c r="J62" s="8">
        <f>-MAX(FV(Inputs!$B79/12,J$1*12,Inputs!$B80,-Inputs!$B78),0)</f>
        <v>-9369.7299467287376</v>
      </c>
      <c r="K62" s="8">
        <f>-MAX(FV(Inputs!$B79/12,K$1*12,Inputs!$B80,-Inputs!$B78),0)</f>
        <v>-3571.5278663783029</v>
      </c>
      <c r="L62" s="8">
        <f>-MAX(FV(Inputs!$B79/12,L$1*12,Inputs!$B80,-Inputs!$B78),0)</f>
        <v>0</v>
      </c>
      <c r="M62" s="8">
        <f>-MAX(FV(Inputs!$B79/12,M$1*12,Inputs!$B80,-Inputs!$B78),0)</f>
        <v>0</v>
      </c>
      <c r="N62" s="8">
        <f>-MAX(FV(Inputs!$B79/12,N$1*12,Inputs!$B80,-Inputs!$B78),0)</f>
        <v>0</v>
      </c>
      <c r="O62" s="8">
        <f>-MAX(FV(Inputs!$B79/12,O$1*12,Inputs!$B80,-Inputs!$B78),0)</f>
        <v>0</v>
      </c>
      <c r="P62" s="8">
        <f>-MAX(FV(Inputs!$B79/12,P$1*12,Inputs!$B80,-Inputs!$B78),0)</f>
        <v>0</v>
      </c>
      <c r="Q62" s="8">
        <f>-MAX(FV(Inputs!$B79/12,Q$1*12,Inputs!$B80,-Inputs!$B78),0)</f>
        <v>0</v>
      </c>
      <c r="R62" s="8">
        <f>-MAX(FV(Inputs!$B79/12,R$1*12,Inputs!$B80,-Inputs!$B78),0)</f>
        <v>0</v>
      </c>
      <c r="S62" s="8">
        <f>-MAX(FV(Inputs!$B79/12,S$1*12,Inputs!$B80,-Inputs!$B78),0)</f>
        <v>0</v>
      </c>
      <c r="T62" s="8">
        <f>-MAX(FV(Inputs!$B79/12,T$1*12,Inputs!$B80,-Inputs!$B78),0)</f>
        <v>0</v>
      </c>
      <c r="U62" s="8">
        <f>-MAX(FV(Inputs!$B79/12,U$1*12,Inputs!$B80,-Inputs!$B78),0)</f>
        <v>0</v>
      </c>
      <c r="V62" s="8">
        <f>-MAX(FV(Inputs!$B79/12,V$1*12,Inputs!$B80,-Inputs!$B78),0)</f>
        <v>0</v>
      </c>
      <c r="W62" s="8">
        <f>-MAX(FV(Inputs!$B79/12,W$1*12,Inputs!$B80,-Inputs!$B78),0)</f>
        <v>0</v>
      </c>
      <c r="X62" s="8">
        <f>-MAX(FV(Inputs!$B79/12,X$1*12,Inputs!$B80,-Inputs!$B78),0)</f>
        <v>0</v>
      </c>
      <c r="Y62" s="8">
        <f>-MAX(FV(Inputs!$B79/12,Y$1*12,Inputs!$B80,-Inputs!$B78),0)</f>
        <v>0</v>
      </c>
      <c r="Z62" s="8">
        <f>-MAX(FV(Inputs!$B79/12,Z$1*12,Inputs!$B80,-Inputs!$B78),0)</f>
        <v>0</v>
      </c>
      <c r="AA62" s="8">
        <f>-MAX(FV(Inputs!$B79/12,AA$1*12,Inputs!$B80,-Inputs!$B78),0)</f>
        <v>0</v>
      </c>
      <c r="AB62" s="8">
        <f>-MAX(FV(Inputs!$B79/12,AB$1*12,Inputs!$B80,-Inputs!$B78),0)</f>
        <v>0</v>
      </c>
      <c r="AC62" s="8">
        <f>-MAX(FV(Inputs!$B79/12,AC$1*12,Inputs!$B80,-Inputs!$B78),0)</f>
        <v>0</v>
      </c>
      <c r="AD62" s="8">
        <f>-MAX(FV(Inputs!$B79/12,AD$1*12,Inputs!$B80,-Inputs!$B78),0)</f>
        <v>0</v>
      </c>
      <c r="AE62" s="8">
        <f>-MAX(FV(Inputs!$B79/12,AE$1*12,Inputs!$B80,-Inputs!$B78),0)</f>
        <v>0</v>
      </c>
      <c r="AF62" s="8">
        <f>-MAX(FV(Inputs!$B79/12,AF$1*12,Inputs!$B80,-Inputs!$B78),0)</f>
        <v>0</v>
      </c>
      <c r="AG62" s="8">
        <f>-MAX(FV(Inputs!$B79/12,AG$1*12,Inputs!$B80,-Inputs!$B78),0)</f>
        <v>0</v>
      </c>
      <c r="AH62" s="8">
        <f>-MAX(FV(Inputs!$B79/12,AH$1*12,Inputs!$B80,-Inputs!$B78),0)</f>
        <v>0</v>
      </c>
      <c r="AI62" s="8">
        <f>-MAX(FV(Inputs!$B79/12,AI$1*12,Inputs!$B80,-Inputs!$B78),0)</f>
        <v>0</v>
      </c>
      <c r="AJ62" s="8">
        <f>-MAX(FV(Inputs!$B79/12,AJ$1*12,Inputs!$B80,-Inputs!$B78),0)</f>
        <v>0</v>
      </c>
      <c r="AK62" s="8">
        <f>-MAX(FV(Inputs!$B79/12,AK$1*12,Inputs!$B80,-Inputs!$B78),0)</f>
        <v>0</v>
      </c>
      <c r="AL62" s="8">
        <f>-MAX(FV(Inputs!$B79/12,AL$1*12,Inputs!$B80,-Inputs!$B78),0)</f>
        <v>0</v>
      </c>
      <c r="AM62" s="8">
        <f>-MAX(FV(Inputs!$B79/12,AM$1*12,Inputs!$B80,-Inputs!$B78),0)</f>
        <v>0</v>
      </c>
    </row>
    <row r="63" spans="1:39" x14ac:dyDescent="0.2">
      <c r="A63" s="4" t="str">
        <f>TEXT(Inputs!$B$55,"")</f>
        <v>Gzira</v>
      </c>
      <c r="C63" s="8">
        <f>-MAX(FV(Inputs!$B84/12,C$1*12,Inputs!$B85,-Inputs!$B83),0)</f>
        <v>-6249.4443415125261</v>
      </c>
      <c r="D63" s="8">
        <f>-MAX(FV(Inputs!$B84/12,D$1*12,Inputs!$B85,-Inputs!$B83),0)</f>
        <v>-3953.4626671330816</v>
      </c>
      <c r="E63" s="8">
        <f>-MAX(FV(Inputs!$B84/12,E$1*12,Inputs!$B85,-Inputs!$B83),0)</f>
        <v>-1611.1380819997976</v>
      </c>
      <c r="F63" s="8">
        <f>-MAX(FV(Inputs!$B84/12,F$1*12,Inputs!$B85,-Inputs!$B83),0)</f>
        <v>0</v>
      </c>
      <c r="G63" s="8">
        <f>-MAX(FV(Inputs!$B84/12,G$1*12,Inputs!$B85,-Inputs!$B83),0)</f>
        <v>0</v>
      </c>
      <c r="H63" s="8">
        <f>-MAX(FV(Inputs!$B84/12,H$1*12,Inputs!$B85,-Inputs!$B83),0)</f>
        <v>0</v>
      </c>
      <c r="I63" s="8">
        <f>-MAX(FV(Inputs!$B84/12,I$1*12,Inputs!$B85,-Inputs!$B83),0)</f>
        <v>0</v>
      </c>
      <c r="J63" s="8">
        <f>-MAX(FV(Inputs!$B84/12,J$1*12,Inputs!$B85,-Inputs!$B83),0)</f>
        <v>0</v>
      </c>
      <c r="K63" s="8">
        <f>-MAX(FV(Inputs!$B84/12,K$1*12,Inputs!$B85,-Inputs!$B83),0)</f>
        <v>0</v>
      </c>
      <c r="L63" s="8">
        <f>-MAX(FV(Inputs!$B84/12,L$1*12,Inputs!$B85,-Inputs!$B83),0)</f>
        <v>0</v>
      </c>
      <c r="M63" s="8">
        <f>-MAX(FV(Inputs!$B84/12,M$1*12,Inputs!$B85,-Inputs!$B83),0)</f>
        <v>0</v>
      </c>
      <c r="N63" s="8">
        <f>-MAX(FV(Inputs!$B84/12,N$1*12,Inputs!$B85,-Inputs!$B83),0)</f>
        <v>0</v>
      </c>
      <c r="O63" s="8">
        <f>-MAX(FV(Inputs!$B84/12,O$1*12,Inputs!$B85,-Inputs!$B83),0)</f>
        <v>0</v>
      </c>
      <c r="P63" s="8">
        <f>-MAX(FV(Inputs!$B84/12,P$1*12,Inputs!$B85,-Inputs!$B83),0)</f>
        <v>0</v>
      </c>
      <c r="Q63" s="8">
        <f>-MAX(FV(Inputs!$B84/12,Q$1*12,Inputs!$B85,-Inputs!$B83),0)</f>
        <v>0</v>
      </c>
      <c r="R63" s="8">
        <f>-MAX(FV(Inputs!$B84/12,R$1*12,Inputs!$B85,-Inputs!$B83),0)</f>
        <v>0</v>
      </c>
      <c r="S63" s="8">
        <f>-MAX(FV(Inputs!$B84/12,S$1*12,Inputs!$B85,-Inputs!$B83),0)</f>
        <v>0</v>
      </c>
      <c r="T63" s="8">
        <f>-MAX(FV(Inputs!$B84/12,T$1*12,Inputs!$B85,-Inputs!$B83),0)</f>
        <v>0</v>
      </c>
      <c r="U63" s="8">
        <f>-MAX(FV(Inputs!$B84/12,U$1*12,Inputs!$B85,-Inputs!$B83),0)</f>
        <v>0</v>
      </c>
      <c r="V63" s="8">
        <f>-MAX(FV(Inputs!$B84/12,V$1*12,Inputs!$B85,-Inputs!$B83),0)</f>
        <v>0</v>
      </c>
      <c r="W63" s="8">
        <f>-MAX(FV(Inputs!$B84/12,W$1*12,Inputs!$B85,-Inputs!$B83),0)</f>
        <v>0</v>
      </c>
      <c r="X63" s="8">
        <f>-MAX(FV(Inputs!$B84/12,X$1*12,Inputs!$B85,-Inputs!$B83),0)</f>
        <v>0</v>
      </c>
      <c r="Y63" s="8">
        <f>-MAX(FV(Inputs!$B84/12,Y$1*12,Inputs!$B85,-Inputs!$B83),0)</f>
        <v>0</v>
      </c>
      <c r="Z63" s="8">
        <f>-MAX(FV(Inputs!$B84/12,Z$1*12,Inputs!$B85,-Inputs!$B83),0)</f>
        <v>0</v>
      </c>
      <c r="AA63" s="8">
        <f>-MAX(FV(Inputs!$B84/12,AA$1*12,Inputs!$B85,-Inputs!$B83),0)</f>
        <v>0</v>
      </c>
      <c r="AB63" s="8">
        <f>-MAX(FV(Inputs!$B84/12,AB$1*12,Inputs!$B85,-Inputs!$B83),0)</f>
        <v>0</v>
      </c>
      <c r="AC63" s="8">
        <f>-MAX(FV(Inputs!$B84/12,AC$1*12,Inputs!$B85,-Inputs!$B83),0)</f>
        <v>0</v>
      </c>
      <c r="AD63" s="8">
        <f>-MAX(FV(Inputs!$B84/12,AD$1*12,Inputs!$B85,-Inputs!$B83),0)</f>
        <v>0</v>
      </c>
      <c r="AE63" s="8">
        <f>-MAX(FV(Inputs!$B84/12,AE$1*12,Inputs!$B85,-Inputs!$B83),0)</f>
        <v>0</v>
      </c>
      <c r="AF63" s="8">
        <f>-MAX(FV(Inputs!$B84/12,AF$1*12,Inputs!$B85,-Inputs!$B83),0)</f>
        <v>0</v>
      </c>
      <c r="AG63" s="8">
        <f>-MAX(FV(Inputs!$B84/12,AG$1*12,Inputs!$B85,-Inputs!$B83),0)</f>
        <v>0</v>
      </c>
      <c r="AH63" s="8">
        <f>-MAX(FV(Inputs!$B84/12,AH$1*12,Inputs!$B85,-Inputs!$B83),0)</f>
        <v>0</v>
      </c>
      <c r="AI63" s="8">
        <f>-MAX(FV(Inputs!$B84/12,AI$1*12,Inputs!$B85,-Inputs!$B83),0)</f>
        <v>0</v>
      </c>
      <c r="AJ63" s="8">
        <f>-MAX(FV(Inputs!$B84/12,AJ$1*12,Inputs!$B85,-Inputs!$B83),0)</f>
        <v>0</v>
      </c>
      <c r="AK63" s="8">
        <f>-MAX(FV(Inputs!$B84/12,AK$1*12,Inputs!$B85,-Inputs!$B83),0)</f>
        <v>0</v>
      </c>
      <c r="AL63" s="8">
        <f>-MAX(FV(Inputs!$B84/12,AL$1*12,Inputs!$B85,-Inputs!$B83),0)</f>
        <v>0</v>
      </c>
      <c r="AM63" s="8">
        <f>-MAX(FV(Inputs!$B84/12,AM$1*12,Inputs!$B85,-Inputs!$B83),0)</f>
        <v>0</v>
      </c>
    </row>
    <row r="64" spans="1:39" x14ac:dyDescent="0.2">
      <c r="A64" s="4" t="str">
        <f>TEXT(Inputs!$B$60,"")</f>
        <v>Qormi</v>
      </c>
      <c r="C64" s="8">
        <f>-MAX(FV(Inputs!$B89/12,C$1*12,Inputs!$B90,-Inputs!$B88),0)</f>
        <v>-12697.714595321995</v>
      </c>
      <c r="D64" s="8">
        <f>-MAX(FV(Inputs!$B89/12,D$1*12,Inputs!$B90,-Inputs!$B88),0)</f>
        <v>-10277.63989987525</v>
      </c>
      <c r="E64" s="8">
        <f>-MAX(FV(Inputs!$B89/12,E$1*12,Inputs!$B90,-Inputs!$B88),0)</f>
        <v>-7733.7495899939004</v>
      </c>
      <c r="F64" s="8">
        <f>-MAX(FV(Inputs!$B89/12,F$1*12,Inputs!$B90,-Inputs!$B88),0)</f>
        <v>-5059.7090238560577</v>
      </c>
      <c r="G64" s="8">
        <f>-MAX(FV(Inputs!$B89/12,G$1*12,Inputs!$B90,-Inputs!$B88),0)</f>
        <v>-2248.8594673418665</v>
      </c>
      <c r="H64" s="8">
        <f>-MAX(FV(Inputs!$B89/12,H$1*12,Inputs!$B90,-Inputs!$B88),0)</f>
        <v>0</v>
      </c>
      <c r="I64" s="8">
        <f>-MAX(FV(Inputs!$B89/12,I$1*12,Inputs!$B90,-Inputs!$B88),0)</f>
        <v>0</v>
      </c>
      <c r="J64" s="8">
        <f>-MAX(FV(Inputs!$B89/12,J$1*12,Inputs!$B90,-Inputs!$B88),0)</f>
        <v>0</v>
      </c>
      <c r="K64" s="8">
        <f>-MAX(FV(Inputs!$B89/12,K$1*12,Inputs!$B90,-Inputs!$B88),0)</f>
        <v>0</v>
      </c>
      <c r="L64" s="8">
        <f>-MAX(FV(Inputs!$B89/12,L$1*12,Inputs!$B90,-Inputs!$B88),0)</f>
        <v>0</v>
      </c>
      <c r="M64" s="8">
        <f>-MAX(FV(Inputs!$B89/12,M$1*12,Inputs!$B90,-Inputs!$B88),0)</f>
        <v>0</v>
      </c>
      <c r="N64" s="8">
        <f>-MAX(FV(Inputs!$B89/12,N$1*12,Inputs!$B90,-Inputs!$B88),0)</f>
        <v>0</v>
      </c>
      <c r="O64" s="8">
        <f>-MAX(FV(Inputs!$B89/12,O$1*12,Inputs!$B90,-Inputs!$B88),0)</f>
        <v>0</v>
      </c>
      <c r="P64" s="8">
        <f>-MAX(FV(Inputs!$B89/12,P$1*12,Inputs!$B90,-Inputs!$B88),0)</f>
        <v>0</v>
      </c>
      <c r="Q64" s="8">
        <f>-MAX(FV(Inputs!$B89/12,Q$1*12,Inputs!$B90,-Inputs!$B88),0)</f>
        <v>0</v>
      </c>
      <c r="R64" s="8">
        <f>-MAX(FV(Inputs!$B89/12,R$1*12,Inputs!$B90,-Inputs!$B88),0)</f>
        <v>0</v>
      </c>
      <c r="S64" s="8">
        <f>-MAX(FV(Inputs!$B89/12,S$1*12,Inputs!$B90,-Inputs!$B88),0)</f>
        <v>0</v>
      </c>
      <c r="T64" s="8">
        <f>-MAX(FV(Inputs!$B89/12,T$1*12,Inputs!$B90,-Inputs!$B88),0)</f>
        <v>0</v>
      </c>
      <c r="U64" s="8">
        <f>-MAX(FV(Inputs!$B89/12,U$1*12,Inputs!$B90,-Inputs!$B88),0)</f>
        <v>0</v>
      </c>
      <c r="V64" s="8">
        <f>-MAX(FV(Inputs!$B89/12,V$1*12,Inputs!$B90,-Inputs!$B88),0)</f>
        <v>0</v>
      </c>
      <c r="W64" s="8">
        <f>-MAX(FV(Inputs!$B89/12,W$1*12,Inputs!$B90,-Inputs!$B88),0)</f>
        <v>0</v>
      </c>
      <c r="X64" s="8">
        <f>-MAX(FV(Inputs!$B89/12,X$1*12,Inputs!$B90,-Inputs!$B88),0)</f>
        <v>0</v>
      </c>
      <c r="Y64" s="8">
        <f>-MAX(FV(Inputs!$B89/12,Y$1*12,Inputs!$B90,-Inputs!$B88),0)</f>
        <v>0</v>
      </c>
      <c r="Z64" s="8">
        <f>-MAX(FV(Inputs!$B89/12,Z$1*12,Inputs!$B90,-Inputs!$B88),0)</f>
        <v>0</v>
      </c>
      <c r="AA64" s="8">
        <f>-MAX(FV(Inputs!$B89/12,AA$1*12,Inputs!$B90,-Inputs!$B88),0)</f>
        <v>0</v>
      </c>
      <c r="AB64" s="8">
        <f>-MAX(FV(Inputs!$B89/12,AB$1*12,Inputs!$B90,-Inputs!$B88),0)</f>
        <v>0</v>
      </c>
      <c r="AC64" s="8">
        <f>-MAX(FV(Inputs!$B89/12,AC$1*12,Inputs!$B90,-Inputs!$B88),0)</f>
        <v>0</v>
      </c>
      <c r="AD64" s="8">
        <f>-MAX(FV(Inputs!$B89/12,AD$1*12,Inputs!$B90,-Inputs!$B88),0)</f>
        <v>0</v>
      </c>
      <c r="AE64" s="8">
        <f>-MAX(FV(Inputs!$B89/12,AE$1*12,Inputs!$B90,-Inputs!$B88),0)</f>
        <v>0</v>
      </c>
      <c r="AF64" s="8">
        <f>-MAX(FV(Inputs!$B89/12,AF$1*12,Inputs!$B90,-Inputs!$B88),0)</f>
        <v>0</v>
      </c>
      <c r="AG64" s="8">
        <f>-MAX(FV(Inputs!$B89/12,AG$1*12,Inputs!$B90,-Inputs!$B88),0)</f>
        <v>0</v>
      </c>
      <c r="AH64" s="8">
        <f>-MAX(FV(Inputs!$B89/12,AH$1*12,Inputs!$B90,-Inputs!$B88),0)</f>
        <v>0</v>
      </c>
      <c r="AI64" s="8">
        <f>-MAX(FV(Inputs!$B89/12,AI$1*12,Inputs!$B90,-Inputs!$B88),0)</f>
        <v>0</v>
      </c>
      <c r="AJ64" s="8">
        <f>-MAX(FV(Inputs!$B89/12,AJ$1*12,Inputs!$B90,-Inputs!$B88),0)</f>
        <v>0</v>
      </c>
      <c r="AK64" s="8">
        <f>-MAX(FV(Inputs!$B89/12,AK$1*12,Inputs!$B90,-Inputs!$B88),0)</f>
        <v>0</v>
      </c>
      <c r="AL64" s="8">
        <f>-MAX(FV(Inputs!$B89/12,AL$1*12,Inputs!$B90,-Inputs!$B88),0)</f>
        <v>0</v>
      </c>
      <c r="AM64" s="8">
        <f>-MAX(FV(Inputs!$B89/12,AM$1*12,Inputs!$B90,-Inputs!$B88),0)</f>
        <v>0</v>
      </c>
    </row>
    <row r="65" spans="1:39" x14ac:dyDescent="0.2">
      <c r="A65" s="5" t="s">
        <v>38</v>
      </c>
      <c r="C65" s="8">
        <f>-MAX(FV(Inputs!$B94/12,C$1*12,Inputs!$B95,-Inputs!$B93),0)</f>
        <v>-3629.9331288130147</v>
      </c>
      <c r="D65" s="8">
        <f>-MAX(FV(Inputs!$B94/12,D$1*12,Inputs!$B95,-Inputs!$B93),0)</f>
        <v>-3237.0413427676731</v>
      </c>
      <c r="E65" s="8">
        <f>-MAX(FV(Inputs!$B94/12,E$1*12,Inputs!$B95,-Inputs!$B93),0)</f>
        <v>-2819.9168510595237</v>
      </c>
      <c r="F65" s="8">
        <f>-MAX(FV(Inputs!$B94/12,F$1*12,Inputs!$B95,-Inputs!$B93),0)</f>
        <v>-2377.0650334277229</v>
      </c>
      <c r="G65" s="8">
        <f>-MAX(FV(Inputs!$B94/12,G$1*12,Inputs!$B95,-Inputs!$B93),0)</f>
        <v>-1906.8990847041773</v>
      </c>
      <c r="H65" s="8">
        <f>-MAX(FV(Inputs!$B94/12,H$1*12,Inputs!$B95,-Inputs!$B93),0)</f>
        <v>-1407.7343290501685</v>
      </c>
      <c r="I65" s="8">
        <f>-MAX(FV(Inputs!$B94/12,I$1*12,Inputs!$B95,-Inputs!$B93),0)</f>
        <v>-877.78218350754105</v>
      </c>
      <c r="J65" s="8">
        <f>-MAX(FV(Inputs!$B94/12,J$1*12,Inputs!$B95,-Inputs!$B93),0)</f>
        <v>-315.14374923495234</v>
      </c>
      <c r="K65" s="8">
        <f>-MAX(FV(Inputs!$B94/12,K$1*12,Inputs!$B95,-Inputs!$B93),0)</f>
        <v>0</v>
      </c>
      <c r="L65" s="8">
        <f>-MAX(FV(Inputs!$B94/12,L$1*12,Inputs!$B95,-Inputs!$B93),0)</f>
        <v>0</v>
      </c>
      <c r="M65" s="8">
        <f>-MAX(FV(Inputs!$B94/12,M$1*12,Inputs!$B95,-Inputs!$B93),0)</f>
        <v>0</v>
      </c>
      <c r="N65" s="8">
        <f>-MAX(FV(Inputs!$B94/12,N$1*12,Inputs!$B95,-Inputs!$B93),0)</f>
        <v>0</v>
      </c>
      <c r="O65" s="8">
        <f>-MAX(FV(Inputs!$B94/12,O$1*12,Inputs!$B95,-Inputs!$B93),0)</f>
        <v>0</v>
      </c>
      <c r="P65" s="8">
        <f>-MAX(FV(Inputs!$B94/12,P$1*12,Inputs!$B95,-Inputs!$B93),0)</f>
        <v>0</v>
      </c>
      <c r="Q65" s="8">
        <f>-MAX(FV(Inputs!$B94/12,Q$1*12,Inputs!$B95,-Inputs!$B93),0)</f>
        <v>0</v>
      </c>
      <c r="R65" s="8">
        <f>-MAX(FV(Inputs!$B94/12,R$1*12,Inputs!$B95,-Inputs!$B93),0)</f>
        <v>0</v>
      </c>
      <c r="S65" s="8">
        <f>-MAX(FV(Inputs!$B94/12,S$1*12,Inputs!$B95,-Inputs!$B93),0)</f>
        <v>0</v>
      </c>
      <c r="T65" s="8">
        <f>-MAX(FV(Inputs!$B94/12,T$1*12,Inputs!$B95,-Inputs!$B93),0)</f>
        <v>0</v>
      </c>
      <c r="U65" s="8">
        <f>-MAX(FV(Inputs!$B94/12,U$1*12,Inputs!$B95,-Inputs!$B93),0)</f>
        <v>0</v>
      </c>
      <c r="V65" s="8">
        <f>-MAX(FV(Inputs!$B94/12,V$1*12,Inputs!$B95,-Inputs!$B93),0)</f>
        <v>0</v>
      </c>
      <c r="W65" s="8">
        <f>-MAX(FV(Inputs!$B94/12,W$1*12,Inputs!$B95,-Inputs!$B93),0)</f>
        <v>0</v>
      </c>
      <c r="X65" s="8">
        <f>-MAX(FV(Inputs!$B94/12,X$1*12,Inputs!$B95,-Inputs!$B93),0)</f>
        <v>0</v>
      </c>
      <c r="Y65" s="8">
        <f>-MAX(FV(Inputs!$B94/12,Y$1*12,Inputs!$B95,-Inputs!$B93),0)</f>
        <v>0</v>
      </c>
      <c r="Z65" s="8">
        <f>-MAX(FV(Inputs!$B94/12,Z$1*12,Inputs!$B95,-Inputs!$B93),0)</f>
        <v>0</v>
      </c>
      <c r="AA65" s="8">
        <f>-MAX(FV(Inputs!$B94/12,AA$1*12,Inputs!$B95,-Inputs!$B93),0)</f>
        <v>0</v>
      </c>
      <c r="AB65" s="8">
        <f>-MAX(FV(Inputs!$B94/12,AB$1*12,Inputs!$B95,-Inputs!$B93),0)</f>
        <v>0</v>
      </c>
      <c r="AC65" s="8">
        <f>-MAX(FV(Inputs!$B94/12,AC$1*12,Inputs!$B95,-Inputs!$B93),0)</f>
        <v>0</v>
      </c>
      <c r="AD65" s="8">
        <f>-MAX(FV(Inputs!$B94/12,AD$1*12,Inputs!$B95,-Inputs!$B93),0)</f>
        <v>0</v>
      </c>
      <c r="AE65" s="8">
        <f>-MAX(FV(Inputs!$B94/12,AE$1*12,Inputs!$B95,-Inputs!$B93),0)</f>
        <v>0</v>
      </c>
      <c r="AF65" s="8">
        <f>-MAX(FV(Inputs!$B94/12,AF$1*12,Inputs!$B95,-Inputs!$B93),0)</f>
        <v>0</v>
      </c>
      <c r="AG65" s="8">
        <f>-MAX(FV(Inputs!$B94/12,AG$1*12,Inputs!$B95,-Inputs!$B93),0)</f>
        <v>0</v>
      </c>
      <c r="AH65" s="8">
        <f>-MAX(FV(Inputs!$B94/12,AH$1*12,Inputs!$B95,-Inputs!$B93),0)</f>
        <v>0</v>
      </c>
      <c r="AI65" s="8">
        <f>-MAX(FV(Inputs!$B94/12,AI$1*12,Inputs!$B95,-Inputs!$B93),0)</f>
        <v>0</v>
      </c>
      <c r="AJ65" s="8">
        <f>-MAX(FV(Inputs!$B94/12,AJ$1*12,Inputs!$B95,-Inputs!$B93),0)</f>
        <v>0</v>
      </c>
      <c r="AK65" s="8">
        <f>-MAX(FV(Inputs!$B94/12,AK$1*12,Inputs!$B95,-Inputs!$B93),0)</f>
        <v>0</v>
      </c>
      <c r="AL65" s="8">
        <f>-MAX(FV(Inputs!$B94/12,AL$1*12,Inputs!$B95,-Inputs!$B93),0)</f>
        <v>0</v>
      </c>
      <c r="AM65" s="8">
        <f>-MAX(FV(Inputs!$B94/12,AM$1*12,Inputs!$B95,-Inputs!$B93),0)</f>
        <v>0</v>
      </c>
    </row>
    <row r="66" spans="1:39" x14ac:dyDescent="0.2">
      <c r="A66" s="5"/>
      <c r="C66" s="10">
        <f t="shared" ref="C66:G66" ca="1" si="207">SUM(C52:C65)</f>
        <v>1306450.1098380252</v>
      </c>
      <c r="D66" s="10">
        <f t="shared" ca="1" si="207"/>
        <v>1395707.6271802546</v>
      </c>
      <c r="E66" s="10">
        <f t="shared" ca="1" si="207"/>
        <v>1467136.1463015494</v>
      </c>
      <c r="F66" s="10">
        <f t="shared" ca="1" si="207"/>
        <v>1571603.3362318811</v>
      </c>
      <c r="G66" s="10">
        <f t="shared" ca="1" si="207"/>
        <v>1681302.697570574</v>
      </c>
      <c r="H66" s="10">
        <f t="shared" ref="H66:AM66" ca="1" si="208">SUM(H52:H65)</f>
        <v>1803377.0200058362</v>
      </c>
      <c r="I66" s="10">
        <f t="shared" ref="I66:AM66" ca="1" si="209">SUM(I52:I65)</f>
        <v>1828796.9427019546</v>
      </c>
      <c r="J66" s="10">
        <f t="shared" ca="1" si="209"/>
        <v>1836723.4904964631</v>
      </c>
      <c r="K66" s="10">
        <f t="shared" ca="1" si="209"/>
        <v>1924524.6583618084</v>
      </c>
      <c r="L66" s="10">
        <f t="shared" ca="1" si="209"/>
        <v>1917392.644456805</v>
      </c>
      <c r="M66" s="10">
        <f t="shared" ca="1" si="209"/>
        <v>1958365.861078993</v>
      </c>
      <c r="N66" s="10">
        <f t="shared" ca="1" si="209"/>
        <v>2000632.0672181647</v>
      </c>
      <c r="O66" s="10">
        <f t="shared" ca="1" si="209"/>
        <v>2044253.381184615</v>
      </c>
      <c r="P66" s="10">
        <f t="shared" ca="1" si="209"/>
        <v>2089295.6950883248</v>
      </c>
      <c r="Q66" s="10">
        <f t="shared" ca="1" si="209"/>
        <v>2135828.9316802616</v>
      </c>
      <c r="R66" s="10">
        <f t="shared" ca="1" si="209"/>
        <v>2183927.3199019935</v>
      </c>
      <c r="S66" s="10">
        <f t="shared" ca="1" si="209"/>
        <v>2253209.4957984425</v>
      </c>
      <c r="T66" s="10">
        <f t="shared" ca="1" si="209"/>
        <v>2332899.5868767467</v>
      </c>
      <c r="U66" s="10">
        <f t="shared" ca="1" si="209"/>
        <v>2415805.2073590416</v>
      </c>
      <c r="V66" s="10">
        <f t="shared" ca="1" si="209"/>
        <v>2502073.2946640737</v>
      </c>
      <c r="W66" s="10">
        <f t="shared" ca="1" si="209"/>
        <v>2591858.5454998701</v>
      </c>
      <c r="X66" s="10">
        <f t="shared" ca="1" si="209"/>
        <v>2664916.9726112951</v>
      </c>
      <c r="Y66" s="10">
        <f t="shared" ca="1" si="209"/>
        <v>2740806.8264877517</v>
      </c>
      <c r="Z66" s="10">
        <f t="shared" ca="1" si="209"/>
        <v>2819670.8104810445</v>
      </c>
      <c r="AA66" s="10">
        <f t="shared" ca="1" si="209"/>
        <v>2901660.2245563897</v>
      </c>
      <c r="AB66" s="10">
        <f t="shared" ca="1" si="209"/>
        <v>2986935.5490486547</v>
      </c>
      <c r="AC66" s="10">
        <f t="shared" ca="1" si="209"/>
        <v>3075667.0712215756</v>
      </c>
      <c r="AD66" s="10">
        <f t="shared" ca="1" si="209"/>
        <v>3177896.2955031139</v>
      </c>
      <c r="AE66" s="10">
        <f t="shared" ca="1" si="209"/>
        <v>3284447.4898511623</v>
      </c>
      <c r="AF66" s="10">
        <f t="shared" ca="1" si="209"/>
        <v>3395543.0893559456</v>
      </c>
      <c r="AG66" s="10">
        <f t="shared" ca="1" si="209"/>
        <v>3511418.9561927808</v>
      </c>
      <c r="AH66" s="10">
        <f t="shared" ca="1" si="209"/>
        <v>3632325.2941245665</v>
      </c>
      <c r="AI66" s="10">
        <f t="shared" ca="1" si="209"/>
        <v>3758527.6303604282</v>
      </c>
      <c r="AJ66" s="10">
        <f t="shared" ca="1" si="209"/>
        <v>3890307.8699521031</v>
      </c>
      <c r="AK66" s="10">
        <f t="shared" ca="1" si="209"/>
        <v>4027965.4283169098</v>
      </c>
      <c r="AL66" s="10">
        <f t="shared" ca="1" si="209"/>
        <v>4171818.4479158549</v>
      </c>
      <c r="AM66" s="10">
        <f t="shared" ca="1" si="209"/>
        <v>4322205.1055899421</v>
      </c>
    </row>
    <row r="67" spans="1:39" x14ac:dyDescent="0.2">
      <c r="A67" s="5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</row>
    <row r="68" spans="1:39" x14ac:dyDescent="0.2">
      <c r="A68" s="35" t="s">
        <v>87</v>
      </c>
      <c r="C68" s="8">
        <f t="shared" ref="C68:AM68" ca="1" si="210">C53-buffer</f>
        <v>35752.5</v>
      </c>
      <c r="D68" s="8">
        <f t="shared" ca="1" si="210"/>
        <v>64902.8125</v>
      </c>
      <c r="E68" s="8">
        <f t="shared" ca="1" si="210"/>
        <v>74244.712499999994</v>
      </c>
      <c r="F68" s="8">
        <f t="shared" ca="1" si="210"/>
        <v>115351.48395239323</v>
      </c>
      <c r="G68" s="8">
        <f t="shared" ca="1" si="210"/>
        <v>161221.49120440619</v>
      </c>
      <c r="H68" s="8">
        <f t="shared" ca="1" si="210"/>
        <v>221189.83792477695</v>
      </c>
      <c r="I68" s="8">
        <f t="shared" ref="I68:AM68" ca="1" si="211">I53-buffer</f>
        <v>191316.96765010577</v>
      </c>
      <c r="J68" s="8">
        <f t="shared" ca="1" si="211"/>
        <v>142082.45452169742</v>
      </c>
      <c r="K68" s="8">
        <f t="shared" ca="1" si="211"/>
        <v>171064.10395191278</v>
      </c>
      <c r="L68" s="8">
        <f t="shared" ca="1" si="211"/>
        <v>105851.09277158603</v>
      </c>
      <c r="M68" s="8">
        <f t="shared" ca="1" si="211"/>
        <v>90439.675347308294</v>
      </c>
      <c r="N68" s="8">
        <f t="shared" ca="1" si="211"/>
        <v>74370.637418947314</v>
      </c>
      <c r="O68" s="8">
        <f t="shared" ca="1" si="211"/>
        <v>57626.853316192486</v>
      </c>
      <c r="P68" s="8">
        <f t="shared" ca="1" si="211"/>
        <v>40190.935794602876</v>
      </c>
      <c r="Q68" s="8">
        <f t="shared" ca="1" si="211"/>
        <v>22045.239171341629</v>
      </c>
      <c r="R68" s="8">
        <f t="shared" ca="1" si="211"/>
        <v>3171.8629465080521</v>
      </c>
      <c r="S68" s="8">
        <f t="shared" ca="1" si="211"/>
        <v>3092.4611692916151</v>
      </c>
      <c r="T68" s="8">
        <f t="shared" ca="1" si="211"/>
        <v>10929.014126519869</v>
      </c>
      <c r="U68" s="8">
        <f t="shared" ca="1" si="211"/>
        <v>19381.488177530009</v>
      </c>
      <c r="V68" s="8">
        <f t="shared" ca="1" si="211"/>
        <v>28483.312318437413</v>
      </c>
      <c r="W68" s="8">
        <f t="shared" ca="1" si="211"/>
        <v>38269.427968090327</v>
      </c>
      <c r="X68" s="8">
        <f t="shared" ca="1" si="211"/>
        <v>28369.430980525751</v>
      </c>
      <c r="Y68" s="8">
        <f t="shared" ca="1" si="211"/>
        <v>18208.047989181272</v>
      </c>
      <c r="Z68" s="8">
        <f t="shared" ca="1" si="211"/>
        <v>7786.87315912747</v>
      </c>
      <c r="AA68" s="8">
        <f t="shared" ca="1" si="211"/>
        <v>-2892.00199104489</v>
      </c>
      <c r="AB68" s="8">
        <f t="shared" ca="1" si="211"/>
        <v>-13825.957089531628</v>
      </c>
      <c r="AC68" s="8">
        <f t="shared" ca="1" si="211"/>
        <v>-25011.809918632047</v>
      </c>
      <c r="AD68" s="8">
        <f t="shared" ca="1" si="211"/>
        <v>-26585.044274606014</v>
      </c>
      <c r="AE68" s="8">
        <f t="shared" ca="1" si="211"/>
        <v>-27908.949699458579</v>
      </c>
      <c r="AF68" s="8">
        <f t="shared" ca="1" si="211"/>
        <v>-28959.955727129549</v>
      </c>
      <c r="AG68" s="8">
        <f t="shared" ca="1" si="211"/>
        <v>-29713.165576396699</v>
      </c>
      <c r="AH68" s="8">
        <f t="shared" ca="1" si="211"/>
        <v>-30142.29545798582</v>
      </c>
      <c r="AI68" s="8">
        <f t="shared" ca="1" si="211"/>
        <v>-30219.611402722847</v>
      </c>
      <c r="AJ68" s="8">
        <f t="shared" ca="1" si="211"/>
        <v>-29915.863516515834</v>
      </c>
      <c r="AK68" s="8">
        <f t="shared" ca="1" si="211"/>
        <v>-29200.217564546489</v>
      </c>
      <c r="AL68" s="8">
        <f t="shared" ca="1" si="211"/>
        <v>-28040.183783525805</v>
      </c>
      <c r="AM68" s="8">
        <f t="shared" ca="1" si="211"/>
        <v>-26401.542817218593</v>
      </c>
    </row>
    <row r="69" spans="1:39" x14ac:dyDescent="0.2">
      <c r="A69" s="2" t="s">
        <v>21</v>
      </c>
      <c r="C69" s="8">
        <f ca="1">IF(C68&lt;0,-C68,0)</f>
        <v>0</v>
      </c>
      <c r="D69" s="8">
        <f ca="1">IF(D68+SUM($C69:C69)&lt;0,-(D68+SUM($C69:C69)),0)</f>
        <v>0</v>
      </c>
      <c r="E69" s="8">
        <f ca="1">IF(E68+SUM($C69:D69)&lt;0,-(E68+SUM($C69:D69)),0)</f>
        <v>0</v>
      </c>
      <c r="F69" s="8">
        <f ca="1">IF(F68+SUM($C69:E69)&lt;0,-(F68+SUM($C69:E69)),0)</f>
        <v>0</v>
      </c>
      <c r="G69" s="8">
        <f ca="1">IF(G68+SUM($C69:F69)&lt;0,-(G68+SUM($C69:F69)),0)</f>
        <v>0</v>
      </c>
      <c r="H69" s="8">
        <f ca="1">IF(H68+SUM($C69:G69)&lt;0,-(H68+SUM($C69:G69)),0)</f>
        <v>0</v>
      </c>
      <c r="I69" s="8">
        <f ca="1">IF(I68+SUM($C69:H69)&lt;0,-(I68+SUM($C69:H69)),0)</f>
        <v>0</v>
      </c>
      <c r="J69" s="8">
        <f ca="1">IF(J68+SUM($C69:I69)&lt;0,-(J68+SUM($C69:I69)),0)</f>
        <v>0</v>
      </c>
      <c r="K69" s="8">
        <f ca="1">IF(K68+SUM($C69:J69)&lt;0,-(K68+SUM($C69:J69)),0)</f>
        <v>0</v>
      </c>
      <c r="L69" s="8">
        <f ca="1">IF(L68+SUM($C69:K69)&lt;0,-(L68+SUM($C69:K69)),0)</f>
        <v>0</v>
      </c>
      <c r="M69" s="8">
        <f ca="1">IF(M68+SUM($C69:L69)&lt;0,-(M68+SUM($C69:L69)),0)</f>
        <v>0</v>
      </c>
      <c r="N69" s="8">
        <f ca="1">IF(N68+SUM($C69:M69)&lt;0,-(N68+SUM($C69:M69)),0)</f>
        <v>0</v>
      </c>
      <c r="O69" s="8">
        <f ca="1">IF(O68+SUM($C69:N69)&lt;0,-(O68+SUM($C69:N69)),0)</f>
        <v>0</v>
      </c>
      <c r="P69" s="8">
        <f ca="1">IF(P68+SUM($C69:O69)&lt;0,-(P68+SUM($C69:O69)),0)</f>
        <v>0</v>
      </c>
      <c r="Q69" s="8">
        <f ca="1">IF(Q68+SUM($C69:P69)&lt;0,-(Q68+SUM($C69:P69)),0)</f>
        <v>0</v>
      </c>
      <c r="R69" s="8">
        <f ca="1">IF(R68+SUM($C69:Q69)&lt;0,-(R68+SUM($C69:Q69)),0)</f>
        <v>0</v>
      </c>
      <c r="S69" s="8">
        <f ca="1">IF(S68+SUM($C69:R69)&lt;0,-(S68+SUM($C69:R69)),0)</f>
        <v>0</v>
      </c>
      <c r="T69" s="8">
        <f ca="1">IF(T68+SUM($C69:S69)&lt;0,-(T68+SUM($C69:S69)),0)</f>
        <v>0</v>
      </c>
      <c r="U69" s="8">
        <f ca="1">IF(U68+SUM($C69:T69)&lt;0,-(U68+SUM($C69:T69)),0)</f>
        <v>0</v>
      </c>
      <c r="V69" s="8">
        <f ca="1">IF(V68+SUM($C69:U69)&lt;0,-(V68+SUM($C69:U69)),0)</f>
        <v>0</v>
      </c>
      <c r="W69" s="8">
        <f ca="1">IF(W68+SUM($C69:V69)&lt;0,-(W68+SUM($C69:V69)),0)</f>
        <v>0</v>
      </c>
      <c r="X69" s="8">
        <f ca="1">IF(X68+SUM($C69:W69)&lt;0,-(X68+SUM($C69:W69)),0)</f>
        <v>0</v>
      </c>
      <c r="Y69" s="8">
        <f ca="1">IF(Y68+SUM($C69:X69)&lt;0,-(Y68+SUM($C69:X69)),0)</f>
        <v>0</v>
      </c>
      <c r="Z69" s="8">
        <f ca="1">IF(Z68+SUM($C69:Y69)&lt;0,-(Z68+SUM($C69:Y69)),0)</f>
        <v>0</v>
      </c>
      <c r="AA69" s="8">
        <f ca="1">IF(AA68+SUM($C69:Z69)&lt;0,-(AA68+SUM($C69:Z69)),0)</f>
        <v>2892.00199104489</v>
      </c>
      <c r="AB69" s="8">
        <f ca="1">IF(AB68+SUM($C69:AA69)&lt;0,-(AB68+SUM($C69:AA69)),0)</f>
        <v>10933.955098486738</v>
      </c>
      <c r="AC69" s="8">
        <f ca="1">IF(AC68+SUM($C69:AB69)&lt;0,-(AC68+SUM($C69:AB69)),0)</f>
        <v>11185.852829100419</v>
      </c>
      <c r="AD69" s="8">
        <f ca="1">IF(AD68+SUM($C69:AC69)&lt;0,-(AD68+SUM($C69:AC69)),0)</f>
        <v>1573.2343559739675</v>
      </c>
      <c r="AE69" s="8">
        <f ca="1">IF(AE68+SUM($C69:AD69)&lt;0,-(AE68+SUM($C69:AD69)),0)</f>
        <v>1323.9054248525645</v>
      </c>
      <c r="AF69" s="8">
        <f ca="1">IF(AF68+SUM($C69:AE69)&lt;0,-(AF68+SUM($C69:AE69)),0)</f>
        <v>1051.0060276709701</v>
      </c>
      <c r="AG69" s="8">
        <f ca="1">IF(AG68+SUM($C69:AF69)&lt;0,-(AG68+SUM($C69:AF69)),0)</f>
        <v>753.20984926715028</v>
      </c>
      <c r="AH69" s="8">
        <f ca="1">IF(AH68+SUM($C69:AG69)&lt;0,-(AH68+SUM($C69:AG69)),0)</f>
        <v>429.12988158912049</v>
      </c>
      <c r="AI69" s="8">
        <f ca="1">IF(AI68+SUM($C69:AH69)&lt;0,-(AI68+SUM($C69:AH69)),0)</f>
        <v>77.315944737027166</v>
      </c>
      <c r="AJ69" s="8">
        <f ca="1">IF(AJ68+SUM($C69:AI69)&lt;0,-(AJ68+SUM($C69:AI69)),0)</f>
        <v>0</v>
      </c>
      <c r="AK69" s="8">
        <f ca="1">IF(AK68+SUM($C69:AJ69)&lt;0,-(AK68+SUM($C69:AJ69)),0)</f>
        <v>0</v>
      </c>
      <c r="AL69" s="8">
        <f ca="1">IF(AL68+SUM($C69:AK69)&lt;0,-(AL68+SUM($C69:AK69)),0)</f>
        <v>0</v>
      </c>
      <c r="AM69" s="8">
        <f ca="1">IF(AM68+SUM($C69:AL69)&lt;0,-(AM68+SUM($C69:AL69)),0)</f>
        <v>0</v>
      </c>
    </row>
    <row r="70" spans="1:39" x14ac:dyDescent="0.2"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</row>
    <row r="71" spans="1:39" ht="19" x14ac:dyDescent="0.25">
      <c r="A71" s="30" t="s">
        <v>22</v>
      </c>
      <c r="B71" s="31"/>
      <c r="C71" s="32"/>
      <c r="D71" s="33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</row>
    <row r="72" spans="1:39" x14ac:dyDescent="0.2">
      <c r="A72" s="1"/>
      <c r="C72" s="8"/>
      <c r="D72" s="13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</row>
    <row r="73" spans="1:39" x14ac:dyDescent="0.2">
      <c r="A73" s="29" t="s">
        <v>28</v>
      </c>
      <c r="B73" s="31"/>
      <c r="C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</row>
    <row r="74" spans="1:39" x14ac:dyDescent="0.2">
      <c r="A74" s="4" t="s">
        <v>23</v>
      </c>
      <c r="C74" s="8">
        <f>C59</f>
        <v>32400.000000000004</v>
      </c>
      <c r="D74" s="8">
        <f t="shared" ref="D74:AM74" ca="1" si="212">C77</f>
        <v>32400.000000000004</v>
      </c>
      <c r="E74" s="8">
        <f t="shared" ca="1" si="212"/>
        <v>34992.000000000007</v>
      </c>
      <c r="F74" s="8">
        <f t="shared" ca="1" si="212"/>
        <v>37791.360000000008</v>
      </c>
      <c r="G74" s="8">
        <f t="shared" ca="1" si="212"/>
        <v>40814.668800000007</v>
      </c>
      <c r="H74" s="8">
        <f t="shared" ca="1" si="212"/>
        <v>44079.842304000005</v>
      </c>
      <c r="I74" s="8">
        <f t="shared" ref="I74" ca="1" si="213">H77</f>
        <v>47606.229688320003</v>
      </c>
      <c r="J74" s="8">
        <f t="shared" ref="J74" ca="1" si="214">I77</f>
        <v>51414.728063385606</v>
      </c>
      <c r="K74" s="8">
        <f t="shared" ref="K74" ca="1" si="215">J77</f>
        <v>55527.906308456455</v>
      </c>
      <c r="L74" s="8">
        <f t="shared" ref="L74" ca="1" si="216">K77</f>
        <v>59970.138813132973</v>
      </c>
      <c r="M74" s="8">
        <f t="shared" ref="M74" ca="1" si="217">L77</f>
        <v>64767.74991818361</v>
      </c>
      <c r="N74" s="8">
        <f t="shared" ref="N74" ca="1" si="218">M77</f>
        <v>69949.169911638295</v>
      </c>
      <c r="O74" s="8">
        <f t="shared" ref="O74" ca="1" si="219">N77</f>
        <v>75545.103504569357</v>
      </c>
      <c r="P74" s="8">
        <f t="shared" ref="P74" ca="1" si="220">O77</f>
        <v>81588.711784934902</v>
      </c>
      <c r="Q74" s="8">
        <f t="shared" ref="Q74" ca="1" si="221">P77</f>
        <v>88115.808727729687</v>
      </c>
      <c r="R74" s="8">
        <f t="shared" ref="R74" ca="1" si="222">Q77</f>
        <v>95165.073425948067</v>
      </c>
      <c r="S74" s="8">
        <f t="shared" ref="S74" ca="1" si="223">R77</f>
        <v>102778.27930002392</v>
      </c>
      <c r="T74" s="8">
        <f t="shared" ref="T74" ca="1" si="224">S77</f>
        <v>111000.54164402583</v>
      </c>
      <c r="U74" s="8">
        <f t="shared" ref="U74" ca="1" si="225">T77</f>
        <v>119880.5849755479</v>
      </c>
      <c r="V74" s="8">
        <f t="shared" ref="V74" ca="1" si="226">U77</f>
        <v>129471.03177359173</v>
      </c>
      <c r="W74" s="8">
        <f t="shared" ref="W74" ca="1" si="227">V77</f>
        <v>139828.71431547907</v>
      </c>
      <c r="X74" s="8">
        <f t="shared" ref="X74" ca="1" si="228">W77</f>
        <v>151015.01146071739</v>
      </c>
      <c r="Y74" s="8">
        <f t="shared" ref="Y74" ca="1" si="229">X77</f>
        <v>163096.21237757479</v>
      </c>
      <c r="Z74" s="8">
        <f t="shared" ref="Z74" ca="1" si="230">Y77</f>
        <v>176143.90936778078</v>
      </c>
      <c r="AA74" s="8">
        <f t="shared" ref="AA74" ca="1" si="231">Z77</f>
        <v>190235.42211720324</v>
      </c>
      <c r="AB74" s="8">
        <f t="shared" ref="AB74" ca="1" si="232">AA77</f>
        <v>202166.50625465479</v>
      </c>
      <c r="AC74" s="8">
        <f t="shared" ref="AC74" ca="1" si="233">AB77</f>
        <v>205909.64622201066</v>
      </c>
      <c r="AD74" s="8">
        <f t="shared" ref="AD74" ca="1" si="234">AC77</f>
        <v>209665.86944037315</v>
      </c>
      <c r="AE74" s="8">
        <f t="shared" ref="AE74" ca="1" si="235">AD77</f>
        <v>224650.61993828524</v>
      </c>
      <c r="AF74" s="8">
        <f t="shared" ref="AF74" ca="1" si="236">AE77</f>
        <v>241117.59810298937</v>
      </c>
      <c r="AG74" s="8">
        <f t="shared" ref="AG74" ca="1" si="237">AF77</f>
        <v>259212.17804608677</v>
      </c>
      <c r="AH74" s="8">
        <f t="shared" ref="AH74" ca="1" si="238">AG77</f>
        <v>279092.87161902792</v>
      </c>
      <c r="AI74" s="8">
        <f t="shared" ref="AI74" ca="1" si="239">AH77</f>
        <v>300932.44843053306</v>
      </c>
      <c r="AJ74" s="8">
        <f t="shared" ref="AJ74" ca="1" si="240">AI77</f>
        <v>324919.14828359045</v>
      </c>
      <c r="AK74" s="8">
        <f t="shared" ref="AK74" ca="1" si="241">AJ77</f>
        <v>350912.68014627771</v>
      </c>
      <c r="AL74" s="8">
        <f t="shared" ref="AL74" ca="1" si="242">AK77</f>
        <v>378985.69455797994</v>
      </c>
      <c r="AM74" s="8">
        <f t="shared" ref="AM74" ca="1" si="243">AL77</f>
        <v>409304.55012261833</v>
      </c>
    </row>
    <row r="75" spans="1:39" x14ac:dyDescent="0.2">
      <c r="A75" s="4" t="s">
        <v>24</v>
      </c>
      <c r="C75" s="8">
        <f ca="1">-MIN( IF(C74&gt;C69/ (1 - Inputs!$B$161), C69/ (1 - Inputs!$B$161), C74), C74/ (1 - Inputs!$B$161) )</f>
        <v>0</v>
      </c>
      <c r="D75" s="8">
        <f ca="1">-MIN( IF(D74&gt;D69/ (1 - Inputs!$B$161), D69/ (1 - Inputs!$B$161), D74), D74/ (1 - Inputs!$B$161) )</f>
        <v>0</v>
      </c>
      <c r="E75" s="8">
        <f ca="1">-MIN( IF(E74&gt;E69/ (1 - Inputs!$B$161), E69/ (1 - Inputs!$B$161), E74), E74/ (1 - Inputs!$B$161) )</f>
        <v>0</v>
      </c>
      <c r="F75" s="8">
        <f ca="1">-MIN( IF(F74&gt;F69/ (1 - Inputs!$B$161), F69/ (1 - Inputs!$B$161), F74), F74/ (1 - Inputs!$B$161) )</f>
        <v>0</v>
      </c>
      <c r="G75" s="8">
        <f ca="1">-MIN( IF(G74&gt;G69/ (1 - Inputs!$B$161), G69/ (1 - Inputs!$B$161), G74), G74/ (1 - Inputs!$B$161) )</f>
        <v>0</v>
      </c>
      <c r="H75" s="8">
        <f ca="1">-MIN( IF(H74&gt;H69/ (1 - Inputs!$B$161), H69/ (1 - Inputs!$B$161), H74), H74/ (1 - Inputs!$B$161) )</f>
        <v>0</v>
      </c>
      <c r="I75" s="8">
        <f ca="1">-MIN( IF(I74&gt;I69/ (1 - Inputs!$B$161), I69/ (1 - Inputs!$B$161), I74), I74/ (1 - Inputs!$B$161) )</f>
        <v>0</v>
      </c>
      <c r="J75" s="8">
        <f ca="1">-MIN( IF(J74&gt;J69/ (1 - Inputs!$B$161), J69/ (1 - Inputs!$B$161), J74), J74/ (1 - Inputs!$B$161) )</f>
        <v>0</v>
      </c>
      <c r="K75" s="8">
        <f ca="1">-MIN( IF(K74&gt;K69/ (1 - Inputs!$B$161), K69/ (1 - Inputs!$B$161), K74), K74/ (1 - Inputs!$B$161) )</f>
        <v>0</v>
      </c>
      <c r="L75" s="8">
        <f ca="1">-MIN( IF(L74&gt;L69/ (1 - Inputs!$B$161), L69/ (1 - Inputs!$B$161), L74), L74/ (1 - Inputs!$B$161) )</f>
        <v>0</v>
      </c>
      <c r="M75" s="8">
        <f ca="1">-MIN( IF(M74&gt;M69/ (1 - Inputs!$B$161), M69/ (1 - Inputs!$B$161), M74), M74/ (1 - Inputs!$B$161) )</f>
        <v>0</v>
      </c>
      <c r="N75" s="8">
        <f ca="1">-MIN( IF(N74&gt;N69/ (1 - Inputs!$B$161), N69/ (1 - Inputs!$B$161), N74), N74/ (1 - Inputs!$B$161) )</f>
        <v>0</v>
      </c>
      <c r="O75" s="8">
        <f ca="1">-MIN( IF(O74&gt;O69/ (1 - Inputs!$B$161), O69/ (1 - Inputs!$B$161), O74), O74/ (1 - Inputs!$B$161) )</f>
        <v>0</v>
      </c>
      <c r="P75" s="8">
        <f ca="1">-MIN( IF(P74&gt;P69/ (1 - Inputs!$B$161), P69/ (1 - Inputs!$B$161), P74), P74/ (1 - Inputs!$B$161) )</f>
        <v>0</v>
      </c>
      <c r="Q75" s="8">
        <f ca="1">-MIN( IF(Q74&gt;Q69/ (1 - Inputs!$B$161), Q69/ (1 - Inputs!$B$161), Q74), Q74/ (1 - Inputs!$B$161) )</f>
        <v>0</v>
      </c>
      <c r="R75" s="8">
        <f ca="1">-MIN( IF(R74&gt;R69/ (1 - Inputs!$B$161), R69/ (1 - Inputs!$B$161), R74), R74/ (1 - Inputs!$B$161) )</f>
        <v>0</v>
      </c>
      <c r="S75" s="8">
        <f ca="1">-MIN( IF(S74&gt;S69/ (1 - Inputs!$B$161), S69/ (1 - Inputs!$B$161), S74), S74/ (1 - Inputs!$B$161) )</f>
        <v>0</v>
      </c>
      <c r="T75" s="8">
        <f ca="1">-MIN( IF(T74&gt;T69/ (1 - Inputs!$B$161), T69/ (1 - Inputs!$B$161), T74), T74/ (1 - Inputs!$B$161) )</f>
        <v>0</v>
      </c>
      <c r="U75" s="8">
        <f ca="1">-MIN( IF(U74&gt;U69/ (1 - Inputs!$B$161), U69/ (1 - Inputs!$B$161), U74), U74/ (1 - Inputs!$B$161) )</f>
        <v>0</v>
      </c>
      <c r="V75" s="8">
        <f ca="1">-MIN( IF(V74&gt;V69/ (1 - Inputs!$B$161), V69/ (1 - Inputs!$B$161), V74), V74/ (1 - Inputs!$B$161) )</f>
        <v>0</v>
      </c>
      <c r="W75" s="8">
        <f ca="1">-MIN( IF(W74&gt;W69/ (1 - Inputs!$B$161), W69/ (1 - Inputs!$B$161), W74), W74/ (1 - Inputs!$B$161) )</f>
        <v>0</v>
      </c>
      <c r="X75" s="8">
        <f ca="1">-MIN( IF(X74&gt;X69/ (1 - Inputs!$B$161), X69/ (1 - Inputs!$B$161), X74), X74/ (1 - Inputs!$B$161) )</f>
        <v>0</v>
      </c>
      <c r="Y75" s="8">
        <f ca="1">-MIN( IF(Y74&gt;Y69/ (1 - Inputs!$B$161), Y69/ (1 - Inputs!$B$161), Y74), Y74/ (1 - Inputs!$B$161) )</f>
        <v>0</v>
      </c>
      <c r="Z75" s="8">
        <f ca="1">-MIN( IF(Z74&gt;Z69/ (1 - Inputs!$B$161), Z69/ (1 - Inputs!$B$161), Z74), Z74/ (1 - Inputs!$B$161) )</f>
        <v>0</v>
      </c>
      <c r="AA75" s="8">
        <f ca="1">-MIN( IF(AA74&gt;AA69/ (1 - Inputs!$B$161), AA69/ (1 - Inputs!$B$161), AA74), AA74/ (1 - Inputs!$B$161) )</f>
        <v>-3044.2126221525159</v>
      </c>
      <c r="AB75" s="8">
        <f ca="1">-MIN( IF(AB74&gt;AB69/ (1 - Inputs!$B$161), AB69/ (1 - Inputs!$B$161), AB74), AB74/ (1 - Inputs!$B$161) )</f>
        <v>-11509.426419459725</v>
      </c>
      <c r="AC75" s="8">
        <f ca="1">-MIN( IF(AC74&gt;AC69/ (1 - Inputs!$B$161), AC69/ (1 - Inputs!$B$161), AC74), AC74/ (1 - Inputs!$B$161) )</f>
        <v>-11774.581925368862</v>
      </c>
      <c r="AD75" s="8">
        <f ca="1">-MIN( IF(AD74&gt;AD69/ (1 - Inputs!$B$161), AD69/ (1 - Inputs!$B$161), AD74), AD74/ (1 - Inputs!$B$161) )</f>
        <v>-1656.0361641831237</v>
      </c>
      <c r="AE75" s="8">
        <f ca="1">-MIN( IF(AE74&gt;AE69/ (1 - Inputs!$B$161), AE69/ (1 - Inputs!$B$161), AE74), AE74/ (1 - Inputs!$B$161) )</f>
        <v>-1393.5846577395416</v>
      </c>
      <c r="AF75" s="8">
        <f ca="1">-MIN( IF(AF74&gt;AF69/ (1 - Inputs!$B$161), AF69/ (1 - Inputs!$B$161), AF74), AF74/ (1 - Inputs!$B$161) )</f>
        <v>-1106.322134390495</v>
      </c>
      <c r="AG75" s="8">
        <f ca="1">-MIN( IF(AG74&gt;AG69/ (1 - Inputs!$B$161), AG69/ (1 - Inputs!$B$161), AG74), AG74/ (1 - Inputs!$B$161) )</f>
        <v>-792.85247291278984</v>
      </c>
      <c r="AH75" s="8">
        <f ca="1">-MIN( IF(AH74&gt;AH69/ (1 - Inputs!$B$161), AH69/ (1 - Inputs!$B$161), AH74), AH74/ (1 - Inputs!$B$161) )</f>
        <v>-451.71566483065317</v>
      </c>
      <c r="AI75" s="8">
        <f ca="1">-MIN( IF(AI74&gt;AI69/ (1 - Inputs!$B$161), AI69/ (1 - Inputs!$B$161), AI74), AI74/ (1 - Inputs!$B$161) )</f>
        <v>-81.385204986344391</v>
      </c>
      <c r="AJ75" s="8">
        <f ca="1">-MIN( IF(AJ74&gt;AJ69/ (1 - Inputs!$B$161), AJ69/ (1 - Inputs!$B$161), AJ74), AJ74/ (1 - Inputs!$B$161) )</f>
        <v>0</v>
      </c>
      <c r="AK75" s="8">
        <f ca="1">-MIN( IF(AK74&gt;AK69/ (1 - Inputs!$B$161), AK69/ (1 - Inputs!$B$161), AK74), AK74/ (1 - Inputs!$B$161) )</f>
        <v>0</v>
      </c>
      <c r="AL75" s="8">
        <f ca="1">-MIN( IF(AL74&gt;AL69/ (1 - Inputs!$B$161), AL69/ (1 - Inputs!$B$161), AL74), AL74/ (1 - Inputs!$B$161) )</f>
        <v>0</v>
      </c>
      <c r="AM75" s="8">
        <f ca="1">-MIN( IF(AM74&gt;AM69/ (1 - Inputs!$B$161), AM69/ (1 - Inputs!$B$161), AM74), AM74/ (1 - Inputs!$B$161) )</f>
        <v>0</v>
      </c>
    </row>
    <row r="76" spans="1:39" x14ac:dyDescent="0.2">
      <c r="A76" s="4" t="s">
        <v>25</v>
      </c>
      <c r="C76" s="8">
        <v>0</v>
      </c>
      <c r="D76" s="8">
        <f t="shared" ref="D76:G76" ca="1" si="244">SUM(D74:D75)*stinc</f>
        <v>2592.0000000000005</v>
      </c>
      <c r="E76" s="8">
        <f t="shared" ca="1" si="244"/>
        <v>2799.3600000000006</v>
      </c>
      <c r="F76" s="8">
        <f t="shared" ca="1" si="244"/>
        <v>3023.3088000000007</v>
      </c>
      <c r="G76" s="8">
        <f t="shared" ca="1" si="244"/>
        <v>3265.1735040000008</v>
      </c>
      <c r="H76" s="8">
        <f t="shared" ref="H76:AM76" ca="1" si="245">SUM(H74:H75)*stinc</f>
        <v>3526.3873843200004</v>
      </c>
      <c r="I76" s="8">
        <f t="shared" ref="I76:AM76" ca="1" si="246">SUM(I74:I75)*stinc</f>
        <v>3808.4983750656002</v>
      </c>
      <c r="J76" s="8">
        <f t="shared" ca="1" si="246"/>
        <v>4113.1782450708488</v>
      </c>
      <c r="K76" s="8">
        <f t="shared" ca="1" si="246"/>
        <v>4442.2325046765163</v>
      </c>
      <c r="L76" s="8">
        <f t="shared" ca="1" si="246"/>
        <v>4797.6111050506379</v>
      </c>
      <c r="M76" s="8">
        <f t="shared" ca="1" si="246"/>
        <v>5181.4199934546887</v>
      </c>
      <c r="N76" s="8">
        <f t="shared" ca="1" si="246"/>
        <v>5595.9335929310637</v>
      </c>
      <c r="O76" s="8">
        <f t="shared" ca="1" si="246"/>
        <v>6043.608280365549</v>
      </c>
      <c r="P76" s="8">
        <f t="shared" ca="1" si="246"/>
        <v>6527.0969427947921</v>
      </c>
      <c r="Q76" s="8">
        <f t="shared" ca="1" si="246"/>
        <v>7049.2646982183751</v>
      </c>
      <c r="R76" s="8">
        <f t="shared" ca="1" si="246"/>
        <v>7613.2058740758457</v>
      </c>
      <c r="S76" s="8">
        <f t="shared" ca="1" si="246"/>
        <v>8222.2623440019142</v>
      </c>
      <c r="T76" s="8">
        <f t="shared" ca="1" si="246"/>
        <v>8880.0433315220671</v>
      </c>
      <c r="U76" s="8">
        <f t="shared" ca="1" si="246"/>
        <v>9590.446798043833</v>
      </c>
      <c r="V76" s="8">
        <f t="shared" ca="1" si="246"/>
        <v>10357.68254188734</v>
      </c>
      <c r="W76" s="8">
        <f t="shared" ca="1" si="246"/>
        <v>11186.297145238326</v>
      </c>
      <c r="X76" s="8">
        <f t="shared" ca="1" si="246"/>
        <v>12081.200916857391</v>
      </c>
      <c r="Y76" s="8">
        <f t="shared" ca="1" si="246"/>
        <v>13047.696990205983</v>
      </c>
      <c r="Z76" s="8">
        <f t="shared" ca="1" si="246"/>
        <v>14091.512749422463</v>
      </c>
      <c r="AA76" s="8">
        <f t="shared" ca="1" si="246"/>
        <v>14975.296759604058</v>
      </c>
      <c r="AB76" s="8">
        <f t="shared" ca="1" si="246"/>
        <v>15252.566386815606</v>
      </c>
      <c r="AC76" s="8">
        <f t="shared" ca="1" si="246"/>
        <v>15530.805143731344</v>
      </c>
      <c r="AD76" s="8">
        <f t="shared" ca="1" si="246"/>
        <v>16640.786662095205</v>
      </c>
      <c r="AE76" s="8">
        <f t="shared" ca="1" si="246"/>
        <v>17860.562822443659</v>
      </c>
      <c r="AF76" s="8">
        <f t="shared" ca="1" si="246"/>
        <v>19200.90207748791</v>
      </c>
      <c r="AG76" s="8">
        <f t="shared" ca="1" si="246"/>
        <v>20673.54604585392</v>
      </c>
      <c r="AH76" s="8">
        <f t="shared" ca="1" si="246"/>
        <v>22291.292476335784</v>
      </c>
      <c r="AI76" s="8">
        <f t="shared" ca="1" si="246"/>
        <v>24068.08505804374</v>
      </c>
      <c r="AJ76" s="8">
        <f t="shared" ca="1" si="246"/>
        <v>25993.531862687236</v>
      </c>
      <c r="AK76" s="8">
        <f t="shared" ca="1" si="246"/>
        <v>28073.014411702217</v>
      </c>
      <c r="AL76" s="8">
        <f t="shared" ca="1" si="246"/>
        <v>30318.855564638394</v>
      </c>
      <c r="AM76" s="8">
        <f t="shared" ca="1" si="246"/>
        <v>32744.364009809466</v>
      </c>
    </row>
    <row r="77" spans="1:39" x14ac:dyDescent="0.2">
      <c r="A77" s="4" t="s">
        <v>26</v>
      </c>
      <c r="C77" s="8">
        <f ca="1">SUM(C74:C76)</f>
        <v>32400.000000000004</v>
      </c>
      <c r="D77" s="8">
        <f ca="1">SUM(D74:D76)</f>
        <v>34992.000000000007</v>
      </c>
      <c r="E77" s="8">
        <f t="shared" ref="E77:G77" ca="1" si="247">SUM(E74:E76)</f>
        <v>37791.360000000008</v>
      </c>
      <c r="F77" s="8">
        <f t="shared" ca="1" si="247"/>
        <v>40814.668800000007</v>
      </c>
      <c r="G77" s="8">
        <f t="shared" ca="1" si="247"/>
        <v>44079.842304000005</v>
      </c>
      <c r="H77" s="8">
        <f t="shared" ref="H77:AM77" ca="1" si="248">SUM(H74:H76)</f>
        <v>47606.229688320003</v>
      </c>
      <c r="I77" s="8">
        <f t="shared" ref="I77:AM77" ca="1" si="249">SUM(I74:I76)</f>
        <v>51414.728063385606</v>
      </c>
      <c r="J77" s="8">
        <f t="shared" ca="1" si="249"/>
        <v>55527.906308456455</v>
      </c>
      <c r="K77" s="8">
        <f t="shared" ca="1" si="249"/>
        <v>59970.138813132973</v>
      </c>
      <c r="L77" s="8">
        <f t="shared" ca="1" si="249"/>
        <v>64767.74991818361</v>
      </c>
      <c r="M77" s="8">
        <f t="shared" ca="1" si="249"/>
        <v>69949.169911638295</v>
      </c>
      <c r="N77" s="8">
        <f t="shared" ca="1" si="249"/>
        <v>75545.103504569357</v>
      </c>
      <c r="O77" s="8">
        <f t="shared" ca="1" si="249"/>
        <v>81588.711784934902</v>
      </c>
      <c r="P77" s="8">
        <f t="shared" ca="1" si="249"/>
        <v>88115.808727729687</v>
      </c>
      <c r="Q77" s="8">
        <f t="shared" ca="1" si="249"/>
        <v>95165.073425948067</v>
      </c>
      <c r="R77" s="8">
        <f t="shared" ca="1" si="249"/>
        <v>102778.27930002392</v>
      </c>
      <c r="S77" s="8">
        <f t="shared" ca="1" si="249"/>
        <v>111000.54164402583</v>
      </c>
      <c r="T77" s="8">
        <f t="shared" ca="1" si="249"/>
        <v>119880.5849755479</v>
      </c>
      <c r="U77" s="8">
        <f t="shared" ca="1" si="249"/>
        <v>129471.03177359173</v>
      </c>
      <c r="V77" s="8">
        <f t="shared" ca="1" si="249"/>
        <v>139828.71431547907</v>
      </c>
      <c r="W77" s="8">
        <f t="shared" ca="1" si="249"/>
        <v>151015.01146071739</v>
      </c>
      <c r="X77" s="8">
        <f t="shared" ca="1" si="249"/>
        <v>163096.21237757479</v>
      </c>
      <c r="Y77" s="8">
        <f t="shared" ca="1" si="249"/>
        <v>176143.90936778078</v>
      </c>
      <c r="Z77" s="8">
        <f t="shared" ca="1" si="249"/>
        <v>190235.42211720324</v>
      </c>
      <c r="AA77" s="8">
        <f t="shared" ca="1" si="249"/>
        <v>202166.50625465479</v>
      </c>
      <c r="AB77" s="8">
        <f t="shared" ca="1" si="249"/>
        <v>205909.64622201066</v>
      </c>
      <c r="AC77" s="8">
        <f t="shared" ca="1" si="249"/>
        <v>209665.86944037315</v>
      </c>
      <c r="AD77" s="8">
        <f t="shared" ca="1" si="249"/>
        <v>224650.61993828524</v>
      </c>
      <c r="AE77" s="8">
        <f t="shared" ca="1" si="249"/>
        <v>241117.59810298937</v>
      </c>
      <c r="AF77" s="8">
        <f t="shared" ca="1" si="249"/>
        <v>259212.17804608677</v>
      </c>
      <c r="AG77" s="8">
        <f t="shared" ca="1" si="249"/>
        <v>279092.87161902792</v>
      </c>
      <c r="AH77" s="8">
        <f t="shared" ca="1" si="249"/>
        <v>300932.44843053306</v>
      </c>
      <c r="AI77" s="8">
        <f t="shared" ca="1" si="249"/>
        <v>324919.14828359045</v>
      </c>
      <c r="AJ77" s="8">
        <f t="shared" ca="1" si="249"/>
        <v>350912.68014627771</v>
      </c>
      <c r="AK77" s="8">
        <f t="shared" ca="1" si="249"/>
        <v>378985.69455797994</v>
      </c>
      <c r="AL77" s="8">
        <f t="shared" ca="1" si="249"/>
        <v>409304.55012261833</v>
      </c>
      <c r="AM77" s="8">
        <f t="shared" ca="1" si="249"/>
        <v>442048.91413242777</v>
      </c>
    </row>
    <row r="78" spans="1:39" x14ac:dyDescent="0.2">
      <c r="A78" s="4" t="s">
        <v>27</v>
      </c>
      <c r="C78" s="8">
        <f ca="1">C75*Inputs!$B$161</f>
        <v>0</v>
      </c>
      <c r="D78" s="8">
        <f ca="1">D75*Inputs!$B$161</f>
        <v>0</v>
      </c>
      <c r="E78" s="8">
        <f ca="1">E75*Inputs!$B$161</f>
        <v>0</v>
      </c>
      <c r="F78" s="8">
        <f ca="1">F75*Inputs!$B$161</f>
        <v>0</v>
      </c>
      <c r="G78" s="8">
        <f ca="1">G75*Inputs!$B$161</f>
        <v>0</v>
      </c>
      <c r="H78" s="8">
        <f ca="1">H75*Inputs!$B$161</f>
        <v>0</v>
      </c>
      <c r="I78" s="8">
        <f ca="1">I75*Inputs!$B$161</f>
        <v>0</v>
      </c>
      <c r="J78" s="8">
        <f ca="1">J75*Inputs!$B$161</f>
        <v>0</v>
      </c>
      <c r="K78" s="8">
        <f ca="1">K75*Inputs!$B$161</f>
        <v>0</v>
      </c>
      <c r="L78" s="8">
        <f ca="1">L75*Inputs!$B$161</f>
        <v>0</v>
      </c>
      <c r="M78" s="8">
        <f ca="1">M75*Inputs!$B$161</f>
        <v>0</v>
      </c>
      <c r="N78" s="8">
        <f ca="1">N75*Inputs!$B$161</f>
        <v>0</v>
      </c>
      <c r="O78" s="8">
        <f ca="1">O75*Inputs!$B$161</f>
        <v>0</v>
      </c>
      <c r="P78" s="8">
        <f ca="1">P75*Inputs!$B$161</f>
        <v>0</v>
      </c>
      <c r="Q78" s="8">
        <f ca="1">Q75*Inputs!$B$161</f>
        <v>0</v>
      </c>
      <c r="R78" s="8">
        <f ca="1">R75*Inputs!$B$161</f>
        <v>0</v>
      </c>
      <c r="S78" s="8">
        <f ca="1">S75*Inputs!$B$161</f>
        <v>0</v>
      </c>
      <c r="T78" s="8">
        <f ca="1">T75*Inputs!$B$161</f>
        <v>0</v>
      </c>
      <c r="U78" s="8">
        <f ca="1">U75*Inputs!$B$161</f>
        <v>0</v>
      </c>
      <c r="V78" s="8">
        <f ca="1">V75*Inputs!$B$161</f>
        <v>0</v>
      </c>
      <c r="W78" s="8">
        <f ca="1">W75*Inputs!$B$161</f>
        <v>0</v>
      </c>
      <c r="X78" s="8">
        <f ca="1">X75*Inputs!$B$161</f>
        <v>0</v>
      </c>
      <c r="Y78" s="8">
        <f ca="1">Y75*Inputs!$B$161</f>
        <v>0</v>
      </c>
      <c r="Z78" s="8">
        <f ca="1">Z75*Inputs!$B$161</f>
        <v>0</v>
      </c>
      <c r="AA78" s="8">
        <f ca="1">AA75*Inputs!$B$161</f>
        <v>-152.2106311076258</v>
      </c>
      <c r="AB78" s="8">
        <f ca="1">AB75*Inputs!$B$161</f>
        <v>-575.47132097298629</v>
      </c>
      <c r="AC78" s="8">
        <f ca="1">AC75*Inputs!$B$161</f>
        <v>-588.72909626844319</v>
      </c>
      <c r="AD78" s="8">
        <f ca="1">AD75*Inputs!$B$161</f>
        <v>-82.801808209156192</v>
      </c>
      <c r="AE78" s="8">
        <f ca="1">AE75*Inputs!$B$161</f>
        <v>-69.67923288697709</v>
      </c>
      <c r="AF78" s="8">
        <f ca="1">AF75*Inputs!$B$161</f>
        <v>-55.316106719524754</v>
      </c>
      <c r="AG78" s="8">
        <f ca="1">AG75*Inputs!$B$161</f>
        <v>-39.642623645639496</v>
      </c>
      <c r="AH78" s="8">
        <f ca="1">AH75*Inputs!$B$161</f>
        <v>-22.58578324153266</v>
      </c>
      <c r="AI78" s="8">
        <f ca="1">AI75*Inputs!$B$161</f>
        <v>-4.0692602493172201</v>
      </c>
      <c r="AJ78" s="8">
        <f ca="1">AJ75*Inputs!$B$161</f>
        <v>0</v>
      </c>
      <c r="AK78" s="8">
        <f ca="1">AK75*Inputs!$B$161</f>
        <v>0</v>
      </c>
      <c r="AL78" s="8">
        <f ca="1">AL75*Inputs!$B$161</f>
        <v>0</v>
      </c>
      <c r="AM78" s="8">
        <f ca="1">AM75*Inputs!$B$161</f>
        <v>0</v>
      </c>
    </row>
    <row r="79" spans="1:39" x14ac:dyDescent="0.2">
      <c r="A79" s="4" t="s">
        <v>41</v>
      </c>
      <c r="C79" s="8">
        <f ca="1">-C75+C78</f>
        <v>0</v>
      </c>
      <c r="D79" s="8">
        <f t="shared" ref="D79:G79" ca="1" si="250">-D75+D78</f>
        <v>0</v>
      </c>
      <c r="E79" s="8">
        <f t="shared" ca="1" si="250"/>
        <v>0</v>
      </c>
      <c r="F79" s="8">
        <f t="shared" ca="1" si="250"/>
        <v>0</v>
      </c>
      <c r="G79" s="8">
        <f t="shared" ca="1" si="250"/>
        <v>0</v>
      </c>
      <c r="H79" s="8">
        <f t="shared" ref="H79:AM79" ca="1" si="251">-H75+H78</f>
        <v>0</v>
      </c>
      <c r="I79" s="8">
        <f t="shared" ref="I79:AM79" ca="1" si="252">-I75+I78</f>
        <v>0</v>
      </c>
      <c r="J79" s="8">
        <f t="shared" ca="1" si="252"/>
        <v>0</v>
      </c>
      <c r="K79" s="8">
        <f t="shared" ca="1" si="252"/>
        <v>0</v>
      </c>
      <c r="L79" s="8">
        <f t="shared" ca="1" si="252"/>
        <v>0</v>
      </c>
      <c r="M79" s="8">
        <f t="shared" ca="1" si="252"/>
        <v>0</v>
      </c>
      <c r="N79" s="8">
        <f t="shared" ca="1" si="252"/>
        <v>0</v>
      </c>
      <c r="O79" s="8">
        <f t="shared" ca="1" si="252"/>
        <v>0</v>
      </c>
      <c r="P79" s="8">
        <f t="shared" ca="1" si="252"/>
        <v>0</v>
      </c>
      <c r="Q79" s="8">
        <f t="shared" ca="1" si="252"/>
        <v>0</v>
      </c>
      <c r="R79" s="8">
        <f t="shared" ca="1" si="252"/>
        <v>0</v>
      </c>
      <c r="S79" s="8">
        <f t="shared" ca="1" si="252"/>
        <v>0</v>
      </c>
      <c r="T79" s="8">
        <f t="shared" ca="1" si="252"/>
        <v>0</v>
      </c>
      <c r="U79" s="8">
        <f t="shared" ca="1" si="252"/>
        <v>0</v>
      </c>
      <c r="V79" s="8">
        <f t="shared" ca="1" si="252"/>
        <v>0</v>
      </c>
      <c r="W79" s="8">
        <f t="shared" ca="1" si="252"/>
        <v>0</v>
      </c>
      <c r="X79" s="8">
        <f t="shared" ca="1" si="252"/>
        <v>0</v>
      </c>
      <c r="Y79" s="8">
        <f t="shared" ca="1" si="252"/>
        <v>0</v>
      </c>
      <c r="Z79" s="8">
        <f t="shared" ca="1" si="252"/>
        <v>0</v>
      </c>
      <c r="AA79" s="8">
        <f t="shared" ca="1" si="252"/>
        <v>2892.00199104489</v>
      </c>
      <c r="AB79" s="8">
        <f t="shared" ca="1" si="252"/>
        <v>10933.955098486738</v>
      </c>
      <c r="AC79" s="8">
        <f t="shared" ca="1" si="252"/>
        <v>11185.852829100419</v>
      </c>
      <c r="AD79" s="8">
        <f t="shared" ca="1" si="252"/>
        <v>1573.2343559739675</v>
      </c>
      <c r="AE79" s="8">
        <f t="shared" ca="1" si="252"/>
        <v>1323.9054248525645</v>
      </c>
      <c r="AF79" s="8">
        <f t="shared" ca="1" si="252"/>
        <v>1051.0060276709703</v>
      </c>
      <c r="AG79" s="8">
        <f t="shared" ca="1" si="252"/>
        <v>753.20984926715039</v>
      </c>
      <c r="AH79" s="8">
        <f t="shared" ca="1" si="252"/>
        <v>429.12988158912049</v>
      </c>
      <c r="AI79" s="8">
        <f t="shared" ca="1" si="252"/>
        <v>77.315944737027166</v>
      </c>
      <c r="AJ79" s="8">
        <f t="shared" ca="1" si="252"/>
        <v>0</v>
      </c>
      <c r="AK79" s="8">
        <f t="shared" ca="1" si="252"/>
        <v>0</v>
      </c>
      <c r="AL79" s="8">
        <f t="shared" ca="1" si="252"/>
        <v>0</v>
      </c>
      <c r="AM79" s="8">
        <f t="shared" ca="1" si="252"/>
        <v>0</v>
      </c>
    </row>
    <row r="80" spans="1:39" x14ac:dyDescent="0.2">
      <c r="A80" s="5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</row>
    <row r="81" spans="1:39" x14ac:dyDescent="0.2">
      <c r="A81" s="4" t="s">
        <v>87</v>
      </c>
      <c r="C81" s="8">
        <f ca="1">C68+SUM($C79:C79)</f>
        <v>35752.5</v>
      </c>
      <c r="D81" s="8">
        <f ca="1">D68+SUM($C79:D79)</f>
        <v>64902.8125</v>
      </c>
      <c r="E81" s="8">
        <f ca="1">E68+SUM($C79:E79)</f>
        <v>74244.712499999994</v>
      </c>
      <c r="F81" s="8">
        <f ca="1">F68+SUM($C79:F79)</f>
        <v>115351.48395239323</v>
      </c>
      <c r="G81" s="8">
        <f ca="1">G68+SUM($C79:G79)</f>
        <v>161221.49120440619</v>
      </c>
      <c r="H81" s="8">
        <f ca="1">H68+SUM($C79:H79)</f>
        <v>221189.83792477695</v>
      </c>
      <c r="I81" s="8">
        <f ca="1">I68+SUM($C79:I79)</f>
        <v>191316.96765010577</v>
      </c>
      <c r="J81" s="8">
        <f ca="1">J68+SUM($C79:J79)</f>
        <v>142082.45452169742</v>
      </c>
      <c r="K81" s="8">
        <f ca="1">K68+SUM($C79:K79)</f>
        <v>171064.10395191278</v>
      </c>
      <c r="L81" s="8">
        <f ca="1">L68+SUM($C79:L79)</f>
        <v>105851.09277158603</v>
      </c>
      <c r="M81" s="8">
        <f ca="1">M68+SUM($C79:M79)</f>
        <v>90439.675347308294</v>
      </c>
      <c r="N81" s="8">
        <f ca="1">N68+SUM($C79:N79)</f>
        <v>74370.637418947314</v>
      </c>
      <c r="O81" s="8">
        <f ca="1">O68+SUM($C79:O79)</f>
        <v>57626.853316192486</v>
      </c>
      <c r="P81" s="8">
        <f ca="1">P68+SUM($C79:P79)</f>
        <v>40190.935794602876</v>
      </c>
      <c r="Q81" s="8">
        <f ca="1">Q68+SUM($C79:Q79)</f>
        <v>22045.239171341629</v>
      </c>
      <c r="R81" s="8">
        <f ca="1">R68+SUM($C79:R79)</f>
        <v>3171.8629465080521</v>
      </c>
      <c r="S81" s="8">
        <f ca="1">S68+SUM($C79:S79)</f>
        <v>3092.4611692916151</v>
      </c>
      <c r="T81" s="8">
        <f ca="1">T68+SUM($C79:T79)</f>
        <v>10929.014126519869</v>
      </c>
      <c r="U81" s="8">
        <f ca="1">U68+SUM($C79:U79)</f>
        <v>19381.488177530009</v>
      </c>
      <c r="V81" s="8">
        <f ca="1">V68+SUM($C79:V79)</f>
        <v>28483.312318437413</v>
      </c>
      <c r="W81" s="8">
        <f ca="1">W68+SUM($C79:W79)</f>
        <v>38269.427968090327</v>
      </c>
      <c r="X81" s="8">
        <f ca="1">X68+SUM($C79:X79)</f>
        <v>28369.430980525751</v>
      </c>
      <c r="Y81" s="8">
        <f ca="1">Y68+SUM($C79:Y79)</f>
        <v>18208.047989181272</v>
      </c>
      <c r="Z81" s="8">
        <f ca="1">Z68+SUM($C79:Z79)</f>
        <v>7786.87315912747</v>
      </c>
      <c r="AA81" s="8">
        <f ca="1">AA68+SUM($C79:AA79)</f>
        <v>0</v>
      </c>
      <c r="AB81" s="8">
        <f ca="1">AB68+SUM($C79:AB79)</f>
        <v>0</v>
      </c>
      <c r="AC81" s="8">
        <f ca="1">AC68+SUM($C79:AC79)</f>
        <v>0</v>
      </c>
      <c r="AD81" s="8">
        <f ca="1">AD68+SUM($C79:AD79)</f>
        <v>0</v>
      </c>
      <c r="AE81" s="8">
        <f ca="1">AE68+SUM($C79:AE79)</f>
        <v>0</v>
      </c>
      <c r="AF81" s="8">
        <f ca="1">AF68+SUM($C79:AF79)</f>
        <v>0</v>
      </c>
      <c r="AG81" s="8">
        <f ca="1">AG68+SUM($C79:AG79)</f>
        <v>0</v>
      </c>
      <c r="AH81" s="8">
        <f ca="1">AH68+SUM($C79:AH79)</f>
        <v>0</v>
      </c>
      <c r="AI81" s="8">
        <f ca="1">AI68+SUM($C79:AI79)</f>
        <v>0</v>
      </c>
      <c r="AJ81" s="8">
        <f ca="1">AJ68+SUM($C79:AJ79)</f>
        <v>303.74788620701293</v>
      </c>
      <c r="AK81" s="8">
        <f ca="1">AK68+SUM($C79:AK79)</f>
        <v>1019.3938381763583</v>
      </c>
      <c r="AL81" s="8">
        <f ca="1">AL68+SUM($C79:AL79)</f>
        <v>2179.4276191970421</v>
      </c>
      <c r="AM81" s="8">
        <f ca="1">AM68+SUM($C79:AM79)</f>
        <v>3818.0685855042539</v>
      </c>
    </row>
    <row r="82" spans="1:39" x14ac:dyDescent="0.2">
      <c r="A82" s="4" t="s">
        <v>21</v>
      </c>
      <c r="C82" s="8">
        <f ca="1">IF(C81&lt;0,C81,0)</f>
        <v>0</v>
      </c>
      <c r="D82" s="8">
        <f ca="1">IF(D81+SUM($C82:C82)&lt;0,-(D81+SUM($C82:C82)),0)</f>
        <v>0</v>
      </c>
      <c r="E82" s="8">
        <f ca="1">IF(E81+SUM($C82:D82)&lt;0,-(E81+SUM($C82:D82)),0)</f>
        <v>0</v>
      </c>
      <c r="F82" s="8">
        <f ca="1">IF(F81+SUM($C82:E82)&lt;0,-(F81+SUM($C82:E82)),0)</f>
        <v>0</v>
      </c>
      <c r="G82" s="8">
        <f ca="1">IF(G81+SUM($C82:F82)&lt;0,-(G81+SUM($C82:F82)),0)</f>
        <v>0</v>
      </c>
      <c r="H82" s="8">
        <f ca="1">IF(H81+SUM($C82:G82)&lt;0,-(H81+SUM($C82:G82)),0)</f>
        <v>0</v>
      </c>
      <c r="I82" s="8">
        <f ca="1">IF(I81+SUM($C82:H82)&lt;0,-(I81+SUM($C82:H82)),0)</f>
        <v>0</v>
      </c>
      <c r="J82" s="8">
        <f ca="1">IF(J81+SUM($C82:I82)&lt;0,-(J81+SUM($C82:I82)),0)</f>
        <v>0</v>
      </c>
      <c r="K82" s="8">
        <f ca="1">IF(K81+SUM($C82:J82)&lt;0,-(K81+SUM($C82:J82)),0)</f>
        <v>0</v>
      </c>
      <c r="L82" s="8">
        <f ca="1">IF(L81+SUM($C82:K82)&lt;0,-(L81+SUM($C82:K82)),0)</f>
        <v>0</v>
      </c>
      <c r="M82" s="8">
        <f ca="1">IF(M81+SUM($C82:L82)&lt;0,-(M81+SUM($C82:L82)),0)</f>
        <v>0</v>
      </c>
      <c r="N82" s="8">
        <f ca="1">IF(N81+SUM($C82:M82)&lt;0,-(N81+SUM($C82:M82)),0)</f>
        <v>0</v>
      </c>
      <c r="O82" s="8">
        <f ca="1">IF(O81+SUM($C82:N82)&lt;0,-(O81+SUM($C82:N82)),0)</f>
        <v>0</v>
      </c>
      <c r="P82" s="8">
        <f ca="1">IF(P81+SUM($C82:O82)&lt;0,-(P81+SUM($C82:O82)),0)</f>
        <v>0</v>
      </c>
      <c r="Q82" s="8">
        <f ca="1">IF(Q81+SUM($C82:P82)&lt;0,-(Q81+SUM($C82:P82)),0)</f>
        <v>0</v>
      </c>
      <c r="R82" s="8">
        <f ca="1">IF(R81+SUM($C82:Q82)&lt;0,-(R81+SUM($C82:Q82)),0)</f>
        <v>0</v>
      </c>
      <c r="S82" s="8">
        <f ca="1">IF(S81+SUM($C82:R82)&lt;0,-(S81+SUM($C82:R82)),0)</f>
        <v>0</v>
      </c>
      <c r="T82" s="8">
        <f ca="1">IF(T81+SUM($C82:S82)&lt;0,-(T81+SUM($C82:S82)),0)</f>
        <v>0</v>
      </c>
      <c r="U82" s="8">
        <f ca="1">IF(U81+SUM($C82:T82)&lt;0,-(U81+SUM($C82:T82)),0)</f>
        <v>0</v>
      </c>
      <c r="V82" s="8">
        <f ca="1">IF(V81+SUM($C82:U82)&lt;0,-(V81+SUM($C82:U82)),0)</f>
        <v>0</v>
      </c>
      <c r="W82" s="8">
        <f ca="1">IF(W81+SUM($C82:V82)&lt;0,-(W81+SUM($C82:V82)),0)</f>
        <v>0</v>
      </c>
      <c r="X82" s="8">
        <f ca="1">IF(X81+SUM($C82:W82)&lt;0,-(X81+SUM($C82:W82)),0)</f>
        <v>0</v>
      </c>
      <c r="Y82" s="8">
        <f ca="1">IF(Y81+SUM($C82:X82)&lt;0,-(Y81+SUM($C82:X82)),0)</f>
        <v>0</v>
      </c>
      <c r="Z82" s="8">
        <f ca="1">IF(Z81+SUM($C82:Y82)&lt;0,-(Z81+SUM($C82:Y82)),0)</f>
        <v>0</v>
      </c>
      <c r="AA82" s="8">
        <f ca="1">IF(AA81+SUM($C82:Z82)&lt;0,-(AA81+SUM($C82:Z82)),0)</f>
        <v>0</v>
      </c>
      <c r="AB82" s="8">
        <f ca="1">IF(AB81+SUM($C82:AA82)&lt;0,-(AB81+SUM($C82:AA82)),0)</f>
        <v>0</v>
      </c>
      <c r="AC82" s="8">
        <f ca="1">IF(AC81+SUM($C82:AB82)&lt;0,-(AC81+SUM($C82:AB82)),0)</f>
        <v>0</v>
      </c>
      <c r="AD82" s="8">
        <f ca="1">IF(AD81+SUM($C82:AC82)&lt;0,-(AD81+SUM($C82:AC82)),0)</f>
        <v>0</v>
      </c>
      <c r="AE82" s="8">
        <f ca="1">IF(AE81+SUM($C82:AD82)&lt;0,-(AE81+SUM($C82:AD82)),0)</f>
        <v>0</v>
      </c>
      <c r="AF82" s="8">
        <f ca="1">IF(AF81+SUM($C82:AE82)&lt;0,-(AF81+SUM($C82:AE82)),0)</f>
        <v>0</v>
      </c>
      <c r="AG82" s="8">
        <f ca="1">IF(AG81+SUM($C82:AF82)&lt;0,-(AG81+SUM($C82:AF82)),0)</f>
        <v>0</v>
      </c>
      <c r="AH82" s="8">
        <f ca="1">IF(AH81+SUM($C82:AG82)&lt;0,-(AH81+SUM($C82:AG82)),0)</f>
        <v>0</v>
      </c>
      <c r="AI82" s="8">
        <f ca="1">IF(AI81+SUM($C82:AH82)&lt;0,-(AI81+SUM($C82:AH82)),0)</f>
        <v>0</v>
      </c>
      <c r="AJ82" s="8">
        <f ca="1">IF(AJ81+SUM($C82:AI82)&lt;0,-(AJ81+SUM($C82:AI82)),0)</f>
        <v>0</v>
      </c>
      <c r="AK82" s="8">
        <f ca="1">IF(AK81+SUM($C82:AJ82)&lt;0,-(AK81+SUM($C82:AJ82)),0)</f>
        <v>0</v>
      </c>
      <c r="AL82" s="8">
        <f ca="1">IF(AL81+SUM($C82:AK82)&lt;0,-(AL81+SUM($C82:AK82)),0)</f>
        <v>0</v>
      </c>
      <c r="AM82" s="8">
        <f ca="1">IF(AM81+SUM($C82:AL82)&lt;0,-(AM81+SUM($C82:AL82)),0)</f>
        <v>0</v>
      </c>
    </row>
    <row r="83" spans="1:39" x14ac:dyDescent="0.2">
      <c r="A83" s="4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</row>
    <row r="84" spans="1:39" x14ac:dyDescent="0.2">
      <c r="A84" s="29" t="str">
        <f>IF(Inputs!$B$165=6,IFERROR(_xlfn.XLOOKUP($B84,Inputs!$B$166:$B$168,Inputs!$A$166:$A$168,,0,1),""),IFERROR(_xlfn.XLOOKUP($B84,Inputs!$C$166:$C$168,Inputs!$A$166:$A$168,,0,1),""))</f>
        <v>Gzira</v>
      </c>
      <c r="B84" s="31">
        <v>1</v>
      </c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</row>
    <row r="85" spans="1:39" x14ac:dyDescent="0.2">
      <c r="A85" s="4" t="s">
        <v>23</v>
      </c>
      <c r="C85" s="8">
        <f>IFERROR(VLOOKUP($A84,$A$52:$H$66,C$1+2,FALSE),0)</f>
        <v>154500</v>
      </c>
      <c r="D85" s="8">
        <f ca="1">C88</f>
        <v>154500</v>
      </c>
      <c r="E85" s="8">
        <f t="shared" ref="E85:AM85" ca="1" si="253">D88</f>
        <v>159135</v>
      </c>
      <c r="F85" s="8">
        <f t="shared" ca="1" si="253"/>
        <v>163909.04999999999</v>
      </c>
      <c r="G85" s="8">
        <f t="shared" ca="1" si="253"/>
        <v>168826.32149999999</v>
      </c>
      <c r="H85" s="8">
        <f t="shared" ca="1" si="253"/>
        <v>173891.111145</v>
      </c>
      <c r="I85" s="8">
        <f t="shared" ref="I85" ca="1" si="254">H88</f>
        <v>179107.84447934999</v>
      </c>
      <c r="J85" s="8">
        <f t="shared" ref="J85" ca="1" si="255">I88</f>
        <v>184481.0798137305</v>
      </c>
      <c r="K85" s="8">
        <f t="shared" ref="K85" ca="1" si="256">J88</f>
        <v>190015.51220814241</v>
      </c>
      <c r="L85" s="8">
        <f t="shared" ref="L85" ca="1" si="257">K88</f>
        <v>195715.97757438666</v>
      </c>
      <c r="M85" s="8">
        <f t="shared" ref="M85" ca="1" si="258">L88</f>
        <v>201587.45690161825</v>
      </c>
      <c r="N85" s="8">
        <f t="shared" ref="N85" ca="1" si="259">M88</f>
        <v>207635.08060866679</v>
      </c>
      <c r="O85" s="8">
        <f t="shared" ref="O85" ca="1" si="260">N88</f>
        <v>213864.13302692678</v>
      </c>
      <c r="P85" s="8">
        <f t="shared" ref="P85" ca="1" si="261">O88</f>
        <v>220280.05701773459</v>
      </c>
      <c r="Q85" s="8">
        <f t="shared" ref="Q85" ca="1" si="262">P88</f>
        <v>226888.45872826662</v>
      </c>
      <c r="R85" s="8">
        <f t="shared" ref="R85" ca="1" si="263">Q88</f>
        <v>233695.11249011461</v>
      </c>
      <c r="S85" s="8">
        <f t="shared" ref="S85" ca="1" si="264">R88</f>
        <v>240705.96586481805</v>
      </c>
      <c r="T85" s="8">
        <f t="shared" ref="T85" ca="1" si="265">S88</f>
        <v>247927.1448407626</v>
      </c>
      <c r="U85" s="8">
        <f t="shared" ref="U85" ca="1" si="266">T88</f>
        <v>255364.95918598547</v>
      </c>
      <c r="V85" s="8">
        <f t="shared" ref="V85" ca="1" si="267">U88</f>
        <v>263025.90796156501</v>
      </c>
      <c r="W85" s="8">
        <f t="shared" ref="W85" ca="1" si="268">V88</f>
        <v>270916.68520041194</v>
      </c>
      <c r="X85" s="8">
        <f t="shared" ref="X85" ca="1" si="269">W88</f>
        <v>279044.18575642433</v>
      </c>
      <c r="Y85" s="8">
        <f t="shared" ref="Y85" ca="1" si="270">X88</f>
        <v>287415.51132911706</v>
      </c>
      <c r="Z85" s="8">
        <f t="shared" ref="Z85" ca="1" si="271">Y88</f>
        <v>296037.97666899057</v>
      </c>
      <c r="AA85" s="8">
        <f t="shared" ref="AA85" ca="1" si="272">Z88</f>
        <v>304919.11596906028</v>
      </c>
      <c r="AB85" s="8">
        <f t="shared" ref="AB85" ca="1" si="273">AA88</f>
        <v>314066.68944813206</v>
      </c>
      <c r="AC85" s="8">
        <f t="shared" ref="AC85" ca="1" si="274">AB88</f>
        <v>323488.69013157603</v>
      </c>
      <c r="AD85" s="8">
        <f t="shared" ref="AD85" ca="1" si="275">AC88</f>
        <v>333193.35083552334</v>
      </c>
      <c r="AE85" s="8">
        <f t="shared" ref="AE85" ca="1" si="276">AD88</f>
        <v>343189.15136058902</v>
      </c>
      <c r="AF85" s="8">
        <f t="shared" ref="AF85" ca="1" si="277">AE88</f>
        <v>353484.8259014067</v>
      </c>
      <c r="AG85" s="8">
        <f t="shared" ref="AG85" ca="1" si="278">AF88</f>
        <v>364089.37067844887</v>
      </c>
      <c r="AH85" s="8">
        <f t="shared" ref="AH85" ca="1" si="279">AG88</f>
        <v>375012.05179880233</v>
      </c>
      <c r="AI85" s="8">
        <f t="shared" ref="AI85" ca="1" si="280">AH88</f>
        <v>386262.41335276642</v>
      </c>
      <c r="AJ85" s="8">
        <f t="shared" ref="AJ85" ca="1" si="281">AI88</f>
        <v>397850.28575334942</v>
      </c>
      <c r="AK85" s="8">
        <f t="shared" ref="AK85" ca="1" si="282">AJ88</f>
        <v>409785.79432594992</v>
      </c>
      <c r="AL85" s="8">
        <f t="shared" ref="AL85" ca="1" si="283">AK88</f>
        <v>422079.36815572839</v>
      </c>
      <c r="AM85" s="8">
        <f t="shared" ref="AM85" ca="1" si="284">AL88</f>
        <v>434741.74920040026</v>
      </c>
    </row>
    <row r="86" spans="1:39" x14ac:dyDescent="0.2">
      <c r="A86" s="4" t="s">
        <v>24</v>
      </c>
      <c r="C86" s="8">
        <f ca="1">-IF(SUM(C82:D82)&gt;0,C85,0)</f>
        <v>0</v>
      </c>
      <c r="D86" s="8">
        <f ca="1">-IF(E82&gt;0,D85,0)</f>
        <v>0</v>
      </c>
      <c r="E86" s="8">
        <f ca="1">-IF(F82&gt;0,E85,0)</f>
        <v>0</v>
      </c>
      <c r="F86" s="8">
        <f ca="1">-IF(G82&gt;0,F85,0)</f>
        <v>0</v>
      </c>
      <c r="G86" s="8">
        <f t="shared" ref="G86:AL86" ca="1" si="285">-IF(H82&gt;0,G85,0)</f>
        <v>0</v>
      </c>
      <c r="H86" s="8">
        <f t="shared" ca="1" si="285"/>
        <v>0</v>
      </c>
      <c r="I86" s="8">
        <f t="shared" ref="I86" ca="1" si="286">-IF(J82&gt;0,I85,0)</f>
        <v>0</v>
      </c>
      <c r="J86" s="8">
        <f t="shared" ref="J86" ca="1" si="287">-IF(K82&gt;0,J85,0)</f>
        <v>0</v>
      </c>
      <c r="K86" s="8">
        <f t="shared" ref="K86" ca="1" si="288">-IF(L82&gt;0,K85,0)</f>
        <v>0</v>
      </c>
      <c r="L86" s="8">
        <f t="shared" ref="L86" ca="1" si="289">-IF(M82&gt;0,L85,0)</f>
        <v>0</v>
      </c>
      <c r="M86" s="8">
        <f t="shared" ref="M86" ca="1" si="290">-IF(N82&gt;0,M85,0)</f>
        <v>0</v>
      </c>
      <c r="N86" s="8">
        <f t="shared" ref="N86" ca="1" si="291">-IF(O82&gt;0,N85,0)</f>
        <v>0</v>
      </c>
      <c r="O86" s="8">
        <f t="shared" ref="O86" ca="1" si="292">-IF(P82&gt;0,O85,0)</f>
        <v>0</v>
      </c>
      <c r="P86" s="8">
        <f t="shared" ref="P86" ca="1" si="293">-IF(Q82&gt;0,P85,0)</f>
        <v>0</v>
      </c>
      <c r="Q86" s="8">
        <f t="shared" ref="Q86" ca="1" si="294">-IF(R82&gt;0,Q85,0)</f>
        <v>0</v>
      </c>
      <c r="R86" s="8">
        <f t="shared" ref="R86" ca="1" si="295">-IF(S82&gt;0,R85,0)</f>
        <v>0</v>
      </c>
      <c r="S86" s="8">
        <f t="shared" ref="S86" ca="1" si="296">-IF(T82&gt;0,S85,0)</f>
        <v>0</v>
      </c>
      <c r="T86" s="8">
        <f t="shared" ref="T86" ca="1" si="297">-IF(U82&gt;0,T85,0)</f>
        <v>0</v>
      </c>
      <c r="U86" s="8">
        <f t="shared" ref="U86" ca="1" si="298">-IF(V82&gt;0,U85,0)</f>
        <v>0</v>
      </c>
      <c r="V86" s="8">
        <f t="shared" ref="V86" ca="1" si="299">-IF(W82&gt;0,V85,0)</f>
        <v>0</v>
      </c>
      <c r="W86" s="8">
        <f t="shared" ref="W86" ca="1" si="300">-IF(X82&gt;0,W85,0)</f>
        <v>0</v>
      </c>
      <c r="X86" s="8">
        <f t="shared" ref="X86" ca="1" si="301">-IF(Y82&gt;0,X85,0)</f>
        <v>0</v>
      </c>
      <c r="Y86" s="8">
        <f t="shared" ref="Y86" ca="1" si="302">-IF(Z82&gt;0,Y85,0)</f>
        <v>0</v>
      </c>
      <c r="Z86" s="8">
        <f t="shared" ref="Z86" ca="1" si="303">-IF(AA82&gt;0,Z85,0)</f>
        <v>0</v>
      </c>
      <c r="AA86" s="8">
        <f t="shared" ref="AA86" ca="1" si="304">-IF(AB82&gt;0,AA85,0)</f>
        <v>0</v>
      </c>
      <c r="AB86" s="8">
        <f t="shared" ref="AB86" ca="1" si="305">-IF(AC82&gt;0,AB85,0)</f>
        <v>0</v>
      </c>
      <c r="AC86" s="8">
        <f t="shared" ref="AC86" ca="1" si="306">-IF(AD82&gt;0,AC85,0)</f>
        <v>0</v>
      </c>
      <c r="AD86" s="8">
        <f t="shared" ref="AD86" ca="1" si="307">-IF(AE82&gt;0,AD85,0)</f>
        <v>0</v>
      </c>
      <c r="AE86" s="8">
        <f t="shared" ref="AE86" ca="1" si="308">-IF(AF82&gt;0,AE85,0)</f>
        <v>0</v>
      </c>
      <c r="AF86" s="8">
        <f t="shared" ref="AF86" ca="1" si="309">-IF(AG82&gt;0,AF85,0)</f>
        <v>0</v>
      </c>
      <c r="AG86" s="8">
        <f t="shared" ref="AG86" ca="1" si="310">-IF(AH82&gt;0,AG85,0)</f>
        <v>0</v>
      </c>
      <c r="AH86" s="8">
        <f t="shared" ref="AH86" ca="1" si="311">-IF(AI82&gt;0,AH85,0)</f>
        <v>0</v>
      </c>
      <c r="AI86" s="8">
        <f t="shared" ref="AI86" ca="1" si="312">-IF(AJ82&gt;0,AI85,0)</f>
        <v>0</v>
      </c>
      <c r="AJ86" s="8">
        <f t="shared" ref="AJ86" ca="1" si="313">-IF(AK82&gt;0,AJ85,0)</f>
        <v>0</v>
      </c>
      <c r="AK86" s="8">
        <f t="shared" ref="AK86" ca="1" si="314">-IF(AL82&gt;0,AK85,0)</f>
        <v>0</v>
      </c>
      <c r="AL86" s="8">
        <f t="shared" ref="AL86" ca="1" si="315">-IF(AM82&gt;0,AL85,0)</f>
        <v>0</v>
      </c>
      <c r="AM86" s="8">
        <f t="shared" ref="AM86" si="316">-IF(AN82&gt;0,AM85,0)</f>
        <v>0</v>
      </c>
    </row>
    <row r="87" spans="1:39" x14ac:dyDescent="0.2">
      <c r="A87" s="4" t="s">
        <v>25</v>
      </c>
      <c r="C87" s="8">
        <v>0</v>
      </c>
      <c r="D87" s="8">
        <f t="shared" ref="D87:G87" ca="1" si="317">SUM(D85:D86)*princ</f>
        <v>4635</v>
      </c>
      <c r="E87" s="8">
        <f t="shared" ca="1" si="317"/>
        <v>4774.05</v>
      </c>
      <c r="F87" s="8">
        <f t="shared" ca="1" si="317"/>
        <v>4917.2714999999998</v>
      </c>
      <c r="G87" s="8">
        <f t="shared" ca="1" si="317"/>
        <v>5064.7896449999998</v>
      </c>
      <c r="H87" s="8">
        <f t="shared" ref="H87:AM87" ca="1" si="318">SUM(H85:H86)*princ</f>
        <v>5216.7333343499995</v>
      </c>
      <c r="I87" s="8">
        <f t="shared" ref="I87:AM87" ca="1" si="319">SUM(I85:I86)*princ</f>
        <v>5373.2353343804998</v>
      </c>
      <c r="J87" s="8">
        <f t="shared" ca="1" si="319"/>
        <v>5534.4323944119151</v>
      </c>
      <c r="K87" s="8">
        <f t="shared" ca="1" si="319"/>
        <v>5700.4653662442715</v>
      </c>
      <c r="L87" s="8">
        <f t="shared" ca="1" si="319"/>
        <v>5871.4793272316001</v>
      </c>
      <c r="M87" s="8">
        <f t="shared" ca="1" si="319"/>
        <v>6047.6237070485477</v>
      </c>
      <c r="N87" s="8">
        <f t="shared" ca="1" si="319"/>
        <v>6229.0524182600038</v>
      </c>
      <c r="O87" s="8">
        <f t="shared" ca="1" si="319"/>
        <v>6415.9239908078034</v>
      </c>
      <c r="P87" s="8">
        <f t="shared" ca="1" si="319"/>
        <v>6608.4017105320372</v>
      </c>
      <c r="Q87" s="8">
        <f t="shared" ca="1" si="319"/>
        <v>6806.6537618479979</v>
      </c>
      <c r="R87" s="8">
        <f t="shared" ca="1" si="319"/>
        <v>7010.853374703438</v>
      </c>
      <c r="S87" s="8">
        <f t="shared" ca="1" si="319"/>
        <v>7221.178975944541</v>
      </c>
      <c r="T87" s="8">
        <f t="shared" ca="1" si="319"/>
        <v>7437.8143452228778</v>
      </c>
      <c r="U87" s="8">
        <f t="shared" ca="1" si="319"/>
        <v>7660.9487755795635</v>
      </c>
      <c r="V87" s="8">
        <f t="shared" ca="1" si="319"/>
        <v>7890.7772388469502</v>
      </c>
      <c r="W87" s="8">
        <f t="shared" ca="1" si="319"/>
        <v>8127.5005560123582</v>
      </c>
      <c r="X87" s="8">
        <f t="shared" ca="1" si="319"/>
        <v>8371.3255726927291</v>
      </c>
      <c r="Y87" s="8">
        <f t="shared" ca="1" si="319"/>
        <v>8622.4653398735118</v>
      </c>
      <c r="Z87" s="8">
        <f t="shared" ca="1" si="319"/>
        <v>8881.1393000697171</v>
      </c>
      <c r="AA87" s="8">
        <f t="shared" ca="1" si="319"/>
        <v>9147.5734790718088</v>
      </c>
      <c r="AB87" s="8">
        <f t="shared" ca="1" si="319"/>
        <v>9422.000683443961</v>
      </c>
      <c r="AC87" s="8">
        <f t="shared" ca="1" si="319"/>
        <v>9704.6607039472801</v>
      </c>
      <c r="AD87" s="8">
        <f t="shared" ca="1" si="319"/>
        <v>9995.8005250656988</v>
      </c>
      <c r="AE87" s="8">
        <f t="shared" ca="1" si="319"/>
        <v>10295.67454081767</v>
      </c>
      <c r="AF87" s="8">
        <f t="shared" ca="1" si="319"/>
        <v>10604.544777042202</v>
      </c>
      <c r="AG87" s="8">
        <f t="shared" ca="1" si="319"/>
        <v>10922.681120353465</v>
      </c>
      <c r="AH87" s="8">
        <f t="shared" ca="1" si="319"/>
        <v>11250.36155396407</v>
      </c>
      <c r="AI87" s="8">
        <f t="shared" ca="1" si="319"/>
        <v>11587.872400582992</v>
      </c>
      <c r="AJ87" s="8">
        <f t="shared" ca="1" si="319"/>
        <v>11935.508572600482</v>
      </c>
      <c r="AK87" s="8">
        <f t="shared" ca="1" si="319"/>
        <v>12293.573829778497</v>
      </c>
      <c r="AL87" s="8">
        <f t="shared" ca="1" si="319"/>
        <v>12662.381044671851</v>
      </c>
      <c r="AM87" s="8">
        <f t="shared" ca="1" si="319"/>
        <v>13042.252476012007</v>
      </c>
    </row>
    <row r="88" spans="1:39" x14ac:dyDescent="0.2">
      <c r="A88" s="4" t="s">
        <v>26</v>
      </c>
      <c r="C88" s="8">
        <f ca="1">SUM(C85:C87)</f>
        <v>154500</v>
      </c>
      <c r="D88" s="8">
        <f t="shared" ref="D88:G88" ca="1" si="320">SUM(D85:D87)</f>
        <v>159135</v>
      </c>
      <c r="E88" s="8">
        <f t="shared" ca="1" si="320"/>
        <v>163909.04999999999</v>
      </c>
      <c r="F88" s="8">
        <f t="shared" ca="1" si="320"/>
        <v>168826.32149999999</v>
      </c>
      <c r="G88" s="8">
        <f t="shared" ca="1" si="320"/>
        <v>173891.111145</v>
      </c>
      <c r="H88" s="8">
        <f t="shared" ref="H88:AM88" ca="1" si="321">SUM(H85:H87)</f>
        <v>179107.84447934999</v>
      </c>
      <c r="I88" s="8">
        <f t="shared" ref="I88:AM88" ca="1" si="322">SUM(I85:I87)</f>
        <v>184481.0798137305</v>
      </c>
      <c r="J88" s="8">
        <f t="shared" ca="1" si="322"/>
        <v>190015.51220814241</v>
      </c>
      <c r="K88" s="8">
        <f t="shared" ca="1" si="322"/>
        <v>195715.97757438666</v>
      </c>
      <c r="L88" s="8">
        <f t="shared" ca="1" si="322"/>
        <v>201587.45690161825</v>
      </c>
      <c r="M88" s="8">
        <f t="shared" ca="1" si="322"/>
        <v>207635.08060866679</v>
      </c>
      <c r="N88" s="8">
        <f t="shared" ca="1" si="322"/>
        <v>213864.13302692678</v>
      </c>
      <c r="O88" s="8">
        <f t="shared" ca="1" si="322"/>
        <v>220280.05701773459</v>
      </c>
      <c r="P88" s="8">
        <f t="shared" ca="1" si="322"/>
        <v>226888.45872826662</v>
      </c>
      <c r="Q88" s="8">
        <f t="shared" ca="1" si="322"/>
        <v>233695.11249011461</v>
      </c>
      <c r="R88" s="8">
        <f t="shared" ca="1" si="322"/>
        <v>240705.96586481805</v>
      </c>
      <c r="S88" s="8">
        <f t="shared" ca="1" si="322"/>
        <v>247927.1448407626</v>
      </c>
      <c r="T88" s="8">
        <f t="shared" ca="1" si="322"/>
        <v>255364.95918598547</v>
      </c>
      <c r="U88" s="8">
        <f t="shared" ca="1" si="322"/>
        <v>263025.90796156501</v>
      </c>
      <c r="V88" s="8">
        <f t="shared" ca="1" si="322"/>
        <v>270916.68520041194</v>
      </c>
      <c r="W88" s="8">
        <f t="shared" ca="1" si="322"/>
        <v>279044.18575642433</v>
      </c>
      <c r="X88" s="8">
        <f t="shared" ca="1" si="322"/>
        <v>287415.51132911706</v>
      </c>
      <c r="Y88" s="8">
        <f t="shared" ca="1" si="322"/>
        <v>296037.97666899057</v>
      </c>
      <c r="Z88" s="8">
        <f t="shared" ca="1" si="322"/>
        <v>304919.11596906028</v>
      </c>
      <c r="AA88" s="8">
        <f t="shared" ca="1" si="322"/>
        <v>314066.68944813206</v>
      </c>
      <c r="AB88" s="8">
        <f t="shared" ca="1" si="322"/>
        <v>323488.69013157603</v>
      </c>
      <c r="AC88" s="8">
        <f t="shared" ca="1" si="322"/>
        <v>333193.35083552334</v>
      </c>
      <c r="AD88" s="8">
        <f t="shared" ca="1" si="322"/>
        <v>343189.15136058902</v>
      </c>
      <c r="AE88" s="8">
        <f t="shared" ca="1" si="322"/>
        <v>353484.8259014067</v>
      </c>
      <c r="AF88" s="8">
        <f t="shared" ca="1" si="322"/>
        <v>364089.37067844887</v>
      </c>
      <c r="AG88" s="8">
        <f t="shared" ca="1" si="322"/>
        <v>375012.05179880233</v>
      </c>
      <c r="AH88" s="8">
        <f t="shared" ca="1" si="322"/>
        <v>386262.41335276642</v>
      </c>
      <c r="AI88" s="8">
        <f t="shared" ca="1" si="322"/>
        <v>397850.28575334942</v>
      </c>
      <c r="AJ88" s="8">
        <f t="shared" ca="1" si="322"/>
        <v>409785.79432594992</v>
      </c>
      <c r="AK88" s="8">
        <f t="shared" ca="1" si="322"/>
        <v>422079.36815572839</v>
      </c>
      <c r="AL88" s="8">
        <f t="shared" ca="1" si="322"/>
        <v>434741.74920040026</v>
      </c>
      <c r="AM88" s="8">
        <f t="shared" ca="1" si="322"/>
        <v>447784.00167641224</v>
      </c>
    </row>
    <row r="89" spans="1:39" x14ac:dyDescent="0.2">
      <c r="A89" s="4" t="s">
        <v>27</v>
      </c>
      <c r="C89" s="8">
        <f ca="1">C86*Inputs!$B$163</f>
        <v>0</v>
      </c>
      <c r="D89" s="8">
        <f ca="1">D86*Inputs!$B$163</f>
        <v>0</v>
      </c>
      <c r="E89" s="8">
        <f ca="1">E86*Inputs!$B$163</f>
        <v>0</v>
      </c>
      <c r="F89" s="8">
        <f ca="1">F86*Inputs!$B$163</f>
        <v>0</v>
      </c>
      <c r="G89" s="8">
        <f ca="1">G86*Inputs!$B$163</f>
        <v>0</v>
      </c>
      <c r="H89" s="8">
        <f ca="1">H86*Inputs!$B$163</f>
        <v>0</v>
      </c>
      <c r="I89" s="8">
        <f ca="1">I86*Inputs!$B$163</f>
        <v>0</v>
      </c>
      <c r="J89" s="8">
        <f ca="1">J86*Inputs!$B$163</f>
        <v>0</v>
      </c>
      <c r="K89" s="8">
        <f ca="1">K86*Inputs!$B$163</f>
        <v>0</v>
      </c>
      <c r="L89" s="8">
        <f ca="1">L86*Inputs!$B$163</f>
        <v>0</v>
      </c>
      <c r="M89" s="8">
        <f ca="1">M86*Inputs!$B$163</f>
        <v>0</v>
      </c>
      <c r="N89" s="8">
        <f ca="1">N86*Inputs!$B$163</f>
        <v>0</v>
      </c>
      <c r="O89" s="8">
        <f ca="1">O86*Inputs!$B$163</f>
        <v>0</v>
      </c>
      <c r="P89" s="8">
        <f ca="1">P86*Inputs!$B$163</f>
        <v>0</v>
      </c>
      <c r="Q89" s="8">
        <f ca="1">Q86*Inputs!$B$163</f>
        <v>0</v>
      </c>
      <c r="R89" s="8">
        <f ca="1">R86*Inputs!$B$163</f>
        <v>0</v>
      </c>
      <c r="S89" s="8">
        <f ca="1">S86*Inputs!$B$163</f>
        <v>0</v>
      </c>
      <c r="T89" s="8">
        <f ca="1">T86*Inputs!$B$163</f>
        <v>0</v>
      </c>
      <c r="U89" s="8">
        <f ca="1">U86*Inputs!$B$163</f>
        <v>0</v>
      </c>
      <c r="V89" s="8">
        <f ca="1">V86*Inputs!$B$163</f>
        <v>0</v>
      </c>
      <c r="W89" s="8">
        <f ca="1">W86*Inputs!$B$163</f>
        <v>0</v>
      </c>
      <c r="X89" s="8">
        <f ca="1">X86*Inputs!$B$163</f>
        <v>0</v>
      </c>
      <c r="Y89" s="8">
        <f ca="1">Y86*Inputs!$B$163</f>
        <v>0</v>
      </c>
      <c r="Z89" s="8">
        <f ca="1">Z86*Inputs!$B$163</f>
        <v>0</v>
      </c>
      <c r="AA89" s="8">
        <f ca="1">AA86*Inputs!$B$163</f>
        <v>0</v>
      </c>
      <c r="AB89" s="8">
        <f ca="1">AB86*Inputs!$B$163</f>
        <v>0</v>
      </c>
      <c r="AC89" s="8">
        <f ca="1">AC86*Inputs!$B$163</f>
        <v>0</v>
      </c>
      <c r="AD89" s="8">
        <f ca="1">AD86*Inputs!$B$163</f>
        <v>0</v>
      </c>
      <c r="AE89" s="8">
        <f ca="1">AE86*Inputs!$B$163</f>
        <v>0</v>
      </c>
      <c r="AF89" s="8">
        <f ca="1">AF86*Inputs!$B$163</f>
        <v>0</v>
      </c>
      <c r="AG89" s="8">
        <f ca="1">AG86*Inputs!$B$163</f>
        <v>0</v>
      </c>
      <c r="AH89" s="8">
        <f ca="1">AH86*Inputs!$B$163</f>
        <v>0</v>
      </c>
      <c r="AI89" s="8">
        <f ca="1">AI86*Inputs!$B$163</f>
        <v>0</v>
      </c>
      <c r="AJ89" s="8">
        <f ca="1">AJ86*Inputs!$B$163</f>
        <v>0</v>
      </c>
      <c r="AK89" s="8">
        <f ca="1">AK86*Inputs!$B$163</f>
        <v>0</v>
      </c>
      <c r="AL89" s="8">
        <f ca="1">AL86*Inputs!$B$163</f>
        <v>0</v>
      </c>
      <c r="AM89" s="8">
        <f>AM86*Inputs!$B$163</f>
        <v>0</v>
      </c>
    </row>
    <row r="90" spans="1:39" x14ac:dyDescent="0.2">
      <c r="A90" s="4" t="s">
        <v>34</v>
      </c>
      <c r="C90" s="8">
        <f>IFERROR(-IF(C85=0,VLOOKUP($A84,$7:$10,C$1+2,FALSE),0),0)</f>
        <v>0</v>
      </c>
      <c r="D90" s="8">
        <f ca="1">IFERROR(-IF(D85=0,VLOOKUP($A84,$7:$10,D$1+2,FALSE),0),0)</f>
        <v>0</v>
      </c>
      <c r="E90" s="8">
        <f ca="1">IFERROR(-IF(E85=0,VLOOKUP($A84,$7:$10,E$1+2,FALSE),0),0)</f>
        <v>0</v>
      </c>
      <c r="F90" s="8">
        <f ca="1">IFERROR(-IF(F85=0,VLOOKUP($A84,$7:$10,F$1+2,FALSE),0),0)</f>
        <v>0</v>
      </c>
      <c r="G90" s="8">
        <f ca="1">IFERROR(-IF(G85=0,VLOOKUP($A84,$7:$10,G$1+2,FALSE),0),0)</f>
        <v>0</v>
      </c>
      <c r="H90" s="8">
        <f ca="1">IFERROR(-IF(H85=0,VLOOKUP($A84,$7:$10,H$1+2,FALSE),0),0)</f>
        <v>0</v>
      </c>
      <c r="I90" s="8">
        <f t="shared" ref="I90:AM90" ca="1" si="323">IFERROR(-IF(I85=0,VLOOKUP($A84,$7:$10,I$1+2,FALSE),0),0)</f>
        <v>0</v>
      </c>
      <c r="J90" s="8">
        <f t="shared" ca="1" si="323"/>
        <v>0</v>
      </c>
      <c r="K90" s="8">
        <f t="shared" ca="1" si="323"/>
        <v>0</v>
      </c>
      <c r="L90" s="8">
        <f t="shared" ca="1" si="323"/>
        <v>0</v>
      </c>
      <c r="M90" s="8">
        <f t="shared" ca="1" si="323"/>
        <v>0</v>
      </c>
      <c r="N90" s="8">
        <f t="shared" ca="1" si="323"/>
        <v>0</v>
      </c>
      <c r="O90" s="8">
        <f t="shared" ca="1" si="323"/>
        <v>0</v>
      </c>
      <c r="P90" s="8">
        <f t="shared" ca="1" si="323"/>
        <v>0</v>
      </c>
      <c r="Q90" s="8">
        <f t="shared" ca="1" si="323"/>
        <v>0</v>
      </c>
      <c r="R90" s="8">
        <f t="shared" ca="1" si="323"/>
        <v>0</v>
      </c>
      <c r="S90" s="8">
        <f t="shared" ca="1" si="323"/>
        <v>0</v>
      </c>
      <c r="T90" s="8">
        <f t="shared" ca="1" si="323"/>
        <v>0</v>
      </c>
      <c r="U90" s="8">
        <f t="shared" ca="1" si="323"/>
        <v>0</v>
      </c>
      <c r="V90" s="8">
        <f t="shared" ca="1" si="323"/>
        <v>0</v>
      </c>
      <c r="W90" s="8">
        <f t="shared" ca="1" si="323"/>
        <v>0</v>
      </c>
      <c r="X90" s="8">
        <f t="shared" ca="1" si="323"/>
        <v>0</v>
      </c>
      <c r="Y90" s="8">
        <f t="shared" ca="1" si="323"/>
        <v>0</v>
      </c>
      <c r="Z90" s="8">
        <f t="shared" ca="1" si="323"/>
        <v>0</v>
      </c>
      <c r="AA90" s="8">
        <f t="shared" ca="1" si="323"/>
        <v>0</v>
      </c>
      <c r="AB90" s="8">
        <f t="shared" ca="1" si="323"/>
        <v>0</v>
      </c>
      <c r="AC90" s="8">
        <f t="shared" ca="1" si="323"/>
        <v>0</v>
      </c>
      <c r="AD90" s="8">
        <f t="shared" ca="1" si="323"/>
        <v>0</v>
      </c>
      <c r="AE90" s="8">
        <f t="shared" ca="1" si="323"/>
        <v>0</v>
      </c>
      <c r="AF90" s="8">
        <f t="shared" ca="1" si="323"/>
        <v>0</v>
      </c>
      <c r="AG90" s="8">
        <f t="shared" ca="1" si="323"/>
        <v>0</v>
      </c>
      <c r="AH90" s="8">
        <f t="shared" ca="1" si="323"/>
        <v>0</v>
      </c>
      <c r="AI90" s="8">
        <f t="shared" ca="1" si="323"/>
        <v>0</v>
      </c>
      <c r="AJ90" s="8">
        <f t="shared" ca="1" si="323"/>
        <v>0</v>
      </c>
      <c r="AK90" s="8">
        <f t="shared" ca="1" si="323"/>
        <v>0</v>
      </c>
      <c r="AL90" s="8">
        <f t="shared" ca="1" si="323"/>
        <v>0</v>
      </c>
      <c r="AM90" s="8">
        <f t="shared" ca="1" si="323"/>
        <v>0</v>
      </c>
    </row>
    <row r="91" spans="1:39" x14ac:dyDescent="0.2">
      <c r="A91" s="4" t="s">
        <v>54</v>
      </c>
      <c r="C91" s="8">
        <f>IFERROR(IF(C85=0,VLOOKUP($A84,$33:$36,C$1+2,FALSE),0),0)</f>
        <v>0</v>
      </c>
      <c r="D91" s="8">
        <f ca="1">IFERROR(IF(D85=0,VLOOKUP($A84,$33:$36,D$1+2,FALSE),0),0)</f>
        <v>0</v>
      </c>
      <c r="E91" s="8">
        <f ca="1">IFERROR(IF(E85=0,VLOOKUP($A84,$33:$36,E$1+2,FALSE),0),0)</f>
        <v>0</v>
      </c>
      <c r="F91" s="8">
        <f ca="1">IFERROR(IF(F85=0,VLOOKUP($A84,$33:$36,F$1+2,FALSE),0),0)</f>
        <v>0</v>
      </c>
      <c r="G91" s="8">
        <f ca="1">IFERROR(IF(G85=0,VLOOKUP($A84,$33:$36,G$1+2,FALSE),0),0)</f>
        <v>0</v>
      </c>
      <c r="H91" s="8">
        <f ca="1">IFERROR(IF(H85=0,VLOOKUP($A84,$33:$36,H$1+2,FALSE),0),0)</f>
        <v>0</v>
      </c>
      <c r="I91" s="8">
        <f t="shared" ref="I91:AM91" ca="1" si="324">IFERROR(IF(I85=0,VLOOKUP($A84,$33:$36,I$1+2,FALSE),0),0)</f>
        <v>0</v>
      </c>
      <c r="J91" s="8">
        <f t="shared" ca="1" si="324"/>
        <v>0</v>
      </c>
      <c r="K91" s="8">
        <f t="shared" ca="1" si="324"/>
        <v>0</v>
      </c>
      <c r="L91" s="8">
        <f t="shared" ca="1" si="324"/>
        <v>0</v>
      </c>
      <c r="M91" s="8">
        <f t="shared" ca="1" si="324"/>
        <v>0</v>
      </c>
      <c r="N91" s="8">
        <f t="shared" ca="1" si="324"/>
        <v>0</v>
      </c>
      <c r="O91" s="8">
        <f t="shared" ca="1" si="324"/>
        <v>0</v>
      </c>
      <c r="P91" s="8">
        <f t="shared" ca="1" si="324"/>
        <v>0</v>
      </c>
      <c r="Q91" s="8">
        <f t="shared" ca="1" si="324"/>
        <v>0</v>
      </c>
      <c r="R91" s="8">
        <f t="shared" ca="1" si="324"/>
        <v>0</v>
      </c>
      <c r="S91" s="8">
        <f t="shared" ca="1" si="324"/>
        <v>0</v>
      </c>
      <c r="T91" s="8">
        <f t="shared" ca="1" si="324"/>
        <v>0</v>
      </c>
      <c r="U91" s="8">
        <f t="shared" ca="1" si="324"/>
        <v>0</v>
      </c>
      <c r="V91" s="8">
        <f t="shared" ca="1" si="324"/>
        <v>0</v>
      </c>
      <c r="W91" s="8">
        <f t="shared" ca="1" si="324"/>
        <v>0</v>
      </c>
      <c r="X91" s="8">
        <f t="shared" ca="1" si="324"/>
        <v>0</v>
      </c>
      <c r="Y91" s="8">
        <f t="shared" ca="1" si="324"/>
        <v>0</v>
      </c>
      <c r="Z91" s="8">
        <f t="shared" ca="1" si="324"/>
        <v>0</v>
      </c>
      <c r="AA91" s="8">
        <f t="shared" ca="1" si="324"/>
        <v>0</v>
      </c>
      <c r="AB91" s="8">
        <f t="shared" ca="1" si="324"/>
        <v>0</v>
      </c>
      <c r="AC91" s="8">
        <f t="shared" ca="1" si="324"/>
        <v>0</v>
      </c>
      <c r="AD91" s="8">
        <f t="shared" ca="1" si="324"/>
        <v>0</v>
      </c>
      <c r="AE91" s="8">
        <f t="shared" ca="1" si="324"/>
        <v>0</v>
      </c>
      <c r="AF91" s="8">
        <f t="shared" ca="1" si="324"/>
        <v>0</v>
      </c>
      <c r="AG91" s="8">
        <f t="shared" ca="1" si="324"/>
        <v>0</v>
      </c>
      <c r="AH91" s="8">
        <f t="shared" ca="1" si="324"/>
        <v>0</v>
      </c>
      <c r="AI91" s="8">
        <f t="shared" ca="1" si="324"/>
        <v>0</v>
      </c>
      <c r="AJ91" s="8">
        <f t="shared" ca="1" si="324"/>
        <v>0</v>
      </c>
      <c r="AK91" s="8">
        <f t="shared" ca="1" si="324"/>
        <v>0</v>
      </c>
      <c r="AL91" s="8">
        <f t="shared" ca="1" si="324"/>
        <v>0</v>
      </c>
      <c r="AM91" s="8">
        <f t="shared" ca="1" si="324"/>
        <v>0</v>
      </c>
    </row>
    <row r="92" spans="1:39" x14ac:dyDescent="0.2">
      <c r="A92" s="4" t="s">
        <v>40</v>
      </c>
      <c r="B92" s="16" t="str">
        <f>A84</f>
        <v>Gzira</v>
      </c>
      <c r="C92" s="8">
        <f ca="1">IF(AND(C85&gt;0,C88=0),VLOOKUP($A84,$61:$64,C$1+2,FALSE),0)</f>
        <v>0</v>
      </c>
      <c r="D92" s="8">
        <f ca="1">IF(AND(D85&gt;0,D88=0),VLOOKUP($A84,$61:$64,D$1+2,FALSE),0)</f>
        <v>0</v>
      </c>
      <c r="E92" s="8">
        <f ca="1">IF(AND(E85&gt;0,E88=0),VLOOKUP($A84,$61:$64,E$1+2,FALSE),0)</f>
        <v>0</v>
      </c>
      <c r="F92" s="8">
        <f ca="1">IF(AND(F85&gt;0,F88=0),VLOOKUP($A84,$61:$64,F$1+2,FALSE),0)</f>
        <v>0</v>
      </c>
      <c r="G92" s="8">
        <f ca="1">IF(AND(G85&gt;0,G88=0),VLOOKUP($A84,$61:$64,G$1+2,FALSE),0)</f>
        <v>0</v>
      </c>
      <c r="H92" s="8">
        <f ca="1">IF(AND(H85&gt;0,H88=0),VLOOKUP($A84,$61:$64,H$1+2,FALSE),0)</f>
        <v>0</v>
      </c>
      <c r="I92" s="8">
        <f t="shared" ref="I92:AM92" ca="1" si="325">IF(AND(I85&gt;0,I88=0),VLOOKUP($A84,$61:$64,I$1+2,FALSE),0)</f>
        <v>0</v>
      </c>
      <c r="J92" s="8">
        <f t="shared" ca="1" si="325"/>
        <v>0</v>
      </c>
      <c r="K92" s="8">
        <f t="shared" ca="1" si="325"/>
        <v>0</v>
      </c>
      <c r="L92" s="8">
        <f t="shared" ca="1" si="325"/>
        <v>0</v>
      </c>
      <c r="M92" s="8">
        <f t="shared" ca="1" si="325"/>
        <v>0</v>
      </c>
      <c r="N92" s="8">
        <f t="shared" ca="1" si="325"/>
        <v>0</v>
      </c>
      <c r="O92" s="8">
        <f t="shared" ca="1" si="325"/>
        <v>0</v>
      </c>
      <c r="P92" s="8">
        <f t="shared" ca="1" si="325"/>
        <v>0</v>
      </c>
      <c r="Q92" s="8">
        <f t="shared" ca="1" si="325"/>
        <v>0</v>
      </c>
      <c r="R92" s="8">
        <f t="shared" ca="1" si="325"/>
        <v>0</v>
      </c>
      <c r="S92" s="8">
        <f t="shared" ca="1" si="325"/>
        <v>0</v>
      </c>
      <c r="T92" s="8">
        <f t="shared" ca="1" si="325"/>
        <v>0</v>
      </c>
      <c r="U92" s="8">
        <f t="shared" ca="1" si="325"/>
        <v>0</v>
      </c>
      <c r="V92" s="8">
        <f t="shared" ca="1" si="325"/>
        <v>0</v>
      </c>
      <c r="W92" s="8">
        <f t="shared" ca="1" si="325"/>
        <v>0</v>
      </c>
      <c r="X92" s="8">
        <f t="shared" ca="1" si="325"/>
        <v>0</v>
      </c>
      <c r="Y92" s="8">
        <f t="shared" ca="1" si="325"/>
        <v>0</v>
      </c>
      <c r="Z92" s="8">
        <f t="shared" ca="1" si="325"/>
        <v>0</v>
      </c>
      <c r="AA92" s="8">
        <f t="shared" ca="1" si="325"/>
        <v>0</v>
      </c>
      <c r="AB92" s="8">
        <f t="shared" ca="1" si="325"/>
        <v>0</v>
      </c>
      <c r="AC92" s="8">
        <f t="shared" ca="1" si="325"/>
        <v>0</v>
      </c>
      <c r="AD92" s="8">
        <f t="shared" ca="1" si="325"/>
        <v>0</v>
      </c>
      <c r="AE92" s="8">
        <f t="shared" ca="1" si="325"/>
        <v>0</v>
      </c>
      <c r="AF92" s="8">
        <f t="shared" ca="1" si="325"/>
        <v>0</v>
      </c>
      <c r="AG92" s="8">
        <f t="shared" ca="1" si="325"/>
        <v>0</v>
      </c>
      <c r="AH92" s="8">
        <f t="shared" ca="1" si="325"/>
        <v>0</v>
      </c>
      <c r="AI92" s="8">
        <f t="shared" ca="1" si="325"/>
        <v>0</v>
      </c>
      <c r="AJ92" s="8">
        <f t="shared" ca="1" si="325"/>
        <v>0</v>
      </c>
      <c r="AK92" s="8">
        <f t="shared" ca="1" si="325"/>
        <v>0</v>
      </c>
      <c r="AL92" s="8">
        <f t="shared" ca="1" si="325"/>
        <v>0</v>
      </c>
      <c r="AM92" s="8">
        <f t="shared" ca="1" si="325"/>
        <v>0</v>
      </c>
    </row>
    <row r="93" spans="1:39" x14ac:dyDescent="0.2">
      <c r="A93" s="4" t="s">
        <v>41</v>
      </c>
      <c r="C93" s="8">
        <f ca="1">-C86+SUM(C89:C92)</f>
        <v>0</v>
      </c>
      <c r="D93" s="8">
        <f t="shared" ref="D93" ca="1" si="326">-D86+SUM(D89:D92)</f>
        <v>0</v>
      </c>
      <c r="E93" s="8">
        <f t="shared" ref="E93:G93" ca="1" si="327">-E86+SUM(E89:E92)</f>
        <v>0</v>
      </c>
      <c r="F93" s="8">
        <f t="shared" ca="1" si="327"/>
        <v>0</v>
      </c>
      <c r="G93" s="8">
        <f t="shared" ca="1" si="327"/>
        <v>0</v>
      </c>
      <c r="H93" s="8">
        <f t="shared" ref="H93:AM93" ca="1" si="328">-H86+SUM(H89:H92)</f>
        <v>0</v>
      </c>
      <c r="I93" s="8">
        <f t="shared" ref="I93:AM93" ca="1" si="329">-I86+SUM(I89:I92)</f>
        <v>0</v>
      </c>
      <c r="J93" s="8">
        <f t="shared" ca="1" si="329"/>
        <v>0</v>
      </c>
      <c r="K93" s="8">
        <f t="shared" ca="1" si="329"/>
        <v>0</v>
      </c>
      <c r="L93" s="8">
        <f t="shared" ca="1" si="329"/>
        <v>0</v>
      </c>
      <c r="M93" s="8">
        <f t="shared" ca="1" si="329"/>
        <v>0</v>
      </c>
      <c r="N93" s="8">
        <f t="shared" ca="1" si="329"/>
        <v>0</v>
      </c>
      <c r="O93" s="8">
        <f t="shared" ca="1" si="329"/>
        <v>0</v>
      </c>
      <c r="P93" s="8">
        <f t="shared" ca="1" si="329"/>
        <v>0</v>
      </c>
      <c r="Q93" s="8">
        <f t="shared" ca="1" si="329"/>
        <v>0</v>
      </c>
      <c r="R93" s="8">
        <f t="shared" ca="1" si="329"/>
        <v>0</v>
      </c>
      <c r="S93" s="8">
        <f t="shared" ca="1" si="329"/>
        <v>0</v>
      </c>
      <c r="T93" s="8">
        <f t="shared" ca="1" si="329"/>
        <v>0</v>
      </c>
      <c r="U93" s="8">
        <f t="shared" ca="1" si="329"/>
        <v>0</v>
      </c>
      <c r="V93" s="8">
        <f t="shared" ca="1" si="329"/>
        <v>0</v>
      </c>
      <c r="W93" s="8">
        <f t="shared" ca="1" si="329"/>
        <v>0</v>
      </c>
      <c r="X93" s="8">
        <f t="shared" ca="1" si="329"/>
        <v>0</v>
      </c>
      <c r="Y93" s="8">
        <f t="shared" ca="1" si="329"/>
        <v>0</v>
      </c>
      <c r="Z93" s="8">
        <f t="shared" ca="1" si="329"/>
        <v>0</v>
      </c>
      <c r="AA93" s="8">
        <f t="shared" ca="1" si="329"/>
        <v>0</v>
      </c>
      <c r="AB93" s="8">
        <f t="shared" ca="1" si="329"/>
        <v>0</v>
      </c>
      <c r="AC93" s="8">
        <f t="shared" ca="1" si="329"/>
        <v>0</v>
      </c>
      <c r="AD93" s="8">
        <f t="shared" ca="1" si="329"/>
        <v>0</v>
      </c>
      <c r="AE93" s="8">
        <f t="shared" ca="1" si="329"/>
        <v>0</v>
      </c>
      <c r="AF93" s="8">
        <f t="shared" ca="1" si="329"/>
        <v>0</v>
      </c>
      <c r="AG93" s="8">
        <f t="shared" ca="1" si="329"/>
        <v>0</v>
      </c>
      <c r="AH93" s="8">
        <f t="shared" ca="1" si="329"/>
        <v>0</v>
      </c>
      <c r="AI93" s="8">
        <f t="shared" ca="1" si="329"/>
        <v>0</v>
      </c>
      <c r="AJ93" s="8">
        <f t="shared" ca="1" si="329"/>
        <v>0</v>
      </c>
      <c r="AK93" s="8">
        <f t="shared" ca="1" si="329"/>
        <v>0</v>
      </c>
      <c r="AL93" s="8">
        <f t="shared" ca="1" si="329"/>
        <v>0</v>
      </c>
      <c r="AM93" s="8">
        <f t="shared" ca="1" si="329"/>
        <v>0</v>
      </c>
    </row>
    <row r="94" spans="1:39" x14ac:dyDescent="0.2">
      <c r="A94" s="4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</row>
    <row r="95" spans="1:39" x14ac:dyDescent="0.2">
      <c r="A95" s="4" t="s">
        <v>87</v>
      </c>
      <c r="C95" s="8">
        <f ca="1">C81+SUM($C93:C93)</f>
        <v>35752.5</v>
      </c>
      <c r="D95" s="8">
        <f ca="1">D81+SUM($C93:D93)</f>
        <v>64902.8125</v>
      </c>
      <c r="E95" s="8">
        <f ca="1">E81+SUM($C93:E93)</f>
        <v>74244.712499999994</v>
      </c>
      <c r="F95" s="8">
        <f ca="1">F81+SUM($C93:F93)</f>
        <v>115351.48395239323</v>
      </c>
      <c r="G95" s="8">
        <f ca="1">G81+SUM($C93:G93)</f>
        <v>161221.49120440619</v>
      </c>
      <c r="H95" s="8">
        <f ca="1">H81+SUM($C93:H93)</f>
        <v>221189.83792477695</v>
      </c>
      <c r="I95" s="8">
        <f ca="1">I81+SUM($C93:I93)</f>
        <v>191316.96765010577</v>
      </c>
      <c r="J95" s="8">
        <f ca="1">J81+SUM($C93:J93)</f>
        <v>142082.45452169742</v>
      </c>
      <c r="K95" s="8">
        <f ca="1">K81+SUM($C93:K93)</f>
        <v>171064.10395191278</v>
      </c>
      <c r="L95" s="8">
        <f ca="1">L81+SUM($C93:L93)</f>
        <v>105851.09277158603</v>
      </c>
      <c r="M95" s="8">
        <f ca="1">M81+SUM($C93:M93)</f>
        <v>90439.675347308294</v>
      </c>
      <c r="N95" s="8">
        <f ca="1">N81+SUM($C93:N93)</f>
        <v>74370.637418947314</v>
      </c>
      <c r="O95" s="8">
        <f ca="1">O81+SUM($C93:O93)</f>
        <v>57626.853316192486</v>
      </c>
      <c r="P95" s="8">
        <f ca="1">P81+SUM($C93:P93)</f>
        <v>40190.935794602876</v>
      </c>
      <c r="Q95" s="8">
        <f ca="1">Q81+SUM($C93:Q93)</f>
        <v>22045.239171341629</v>
      </c>
      <c r="R95" s="8">
        <f ca="1">R81+SUM($C93:R93)</f>
        <v>3171.8629465080521</v>
      </c>
      <c r="S95" s="8">
        <f ca="1">S81+SUM($C93:S93)</f>
        <v>3092.4611692916151</v>
      </c>
      <c r="T95" s="8">
        <f ca="1">T81+SUM($C93:T93)</f>
        <v>10929.014126519869</v>
      </c>
      <c r="U95" s="8">
        <f ca="1">U81+SUM($C93:U93)</f>
        <v>19381.488177530009</v>
      </c>
      <c r="V95" s="8">
        <f ca="1">V81+SUM($C93:V93)</f>
        <v>28483.312318437413</v>
      </c>
      <c r="W95" s="8">
        <f ca="1">W81+SUM($C93:W93)</f>
        <v>38269.427968090327</v>
      </c>
      <c r="X95" s="8">
        <f ca="1">X81+SUM($C93:X93)</f>
        <v>28369.430980525751</v>
      </c>
      <c r="Y95" s="8">
        <f ca="1">Y81+SUM($C93:Y93)</f>
        <v>18208.047989181272</v>
      </c>
      <c r="Z95" s="8">
        <f ca="1">Z81+SUM($C93:Z93)</f>
        <v>7786.87315912747</v>
      </c>
      <c r="AA95" s="8">
        <f ca="1">AA81+SUM($C93:AA93)</f>
        <v>0</v>
      </c>
      <c r="AB95" s="8">
        <f ca="1">AB81+SUM($C93:AB93)</f>
        <v>0</v>
      </c>
      <c r="AC95" s="8">
        <f ca="1">AC81+SUM($C93:AC93)</f>
        <v>0</v>
      </c>
      <c r="AD95" s="8">
        <f ca="1">AD81+SUM($C93:AD93)</f>
        <v>0</v>
      </c>
      <c r="AE95" s="8">
        <f ca="1">AE81+SUM($C93:AE93)</f>
        <v>0</v>
      </c>
      <c r="AF95" s="8">
        <f ca="1">AF81+SUM($C93:AF93)</f>
        <v>0</v>
      </c>
      <c r="AG95" s="8">
        <f ca="1">AG81+SUM($C93:AG93)</f>
        <v>0</v>
      </c>
      <c r="AH95" s="8">
        <f ca="1">AH81+SUM($C93:AH93)</f>
        <v>0</v>
      </c>
      <c r="AI95" s="8">
        <f ca="1">AI81+SUM($C93:AI93)</f>
        <v>0</v>
      </c>
      <c r="AJ95" s="8">
        <f ca="1">AJ81+SUM($C93:AJ93)</f>
        <v>303.74788620701293</v>
      </c>
      <c r="AK95" s="8">
        <f ca="1">AK81+SUM($C93:AK93)</f>
        <v>1019.3938381763583</v>
      </c>
      <c r="AL95" s="8">
        <f ca="1">AL81+SUM($C93:AL93)</f>
        <v>2179.4276191970421</v>
      </c>
      <c r="AM95" s="8">
        <f ca="1">AM81+SUM($C93:AM93)</f>
        <v>3818.0685855042539</v>
      </c>
    </row>
    <row r="96" spans="1:39" x14ac:dyDescent="0.2">
      <c r="A96" s="4" t="s">
        <v>84</v>
      </c>
      <c r="C96" s="8">
        <f t="shared" ref="C96:AM96" ca="1" si="330">MAX(C95+buffer,0)-MAX(C$81+buffer,0)</f>
        <v>0</v>
      </c>
      <c r="D96" s="8">
        <f t="shared" ca="1" si="330"/>
        <v>0</v>
      </c>
      <c r="E96" s="8">
        <f t="shared" ca="1" si="330"/>
        <v>0</v>
      </c>
      <c r="F96" s="8">
        <f t="shared" ca="1" si="330"/>
        <v>0</v>
      </c>
      <c r="G96" s="8">
        <f t="shared" ca="1" si="330"/>
        <v>0</v>
      </c>
      <c r="H96" s="8">
        <f t="shared" ca="1" si="330"/>
        <v>0</v>
      </c>
      <c r="I96" s="8">
        <f t="shared" ref="I96:AM96" ca="1" si="331">MAX(I95+buffer,0)-MAX(I$81+buffer,0)</f>
        <v>0</v>
      </c>
      <c r="J96" s="8">
        <f t="shared" ca="1" si="331"/>
        <v>0</v>
      </c>
      <c r="K96" s="8">
        <f t="shared" ca="1" si="331"/>
        <v>0</v>
      </c>
      <c r="L96" s="8">
        <f t="shared" ca="1" si="331"/>
        <v>0</v>
      </c>
      <c r="M96" s="8">
        <f t="shared" ca="1" si="331"/>
        <v>0</v>
      </c>
      <c r="N96" s="8">
        <f t="shared" ca="1" si="331"/>
        <v>0</v>
      </c>
      <c r="O96" s="8">
        <f t="shared" ca="1" si="331"/>
        <v>0</v>
      </c>
      <c r="P96" s="8">
        <f t="shared" ca="1" si="331"/>
        <v>0</v>
      </c>
      <c r="Q96" s="8">
        <f t="shared" ca="1" si="331"/>
        <v>0</v>
      </c>
      <c r="R96" s="8">
        <f t="shared" ca="1" si="331"/>
        <v>0</v>
      </c>
      <c r="S96" s="8">
        <f t="shared" ca="1" si="331"/>
        <v>0</v>
      </c>
      <c r="T96" s="8">
        <f t="shared" ca="1" si="331"/>
        <v>0</v>
      </c>
      <c r="U96" s="8">
        <f t="shared" ca="1" si="331"/>
        <v>0</v>
      </c>
      <c r="V96" s="8">
        <f t="shared" ca="1" si="331"/>
        <v>0</v>
      </c>
      <c r="W96" s="8">
        <f t="shared" ca="1" si="331"/>
        <v>0</v>
      </c>
      <c r="X96" s="8">
        <f t="shared" ca="1" si="331"/>
        <v>0</v>
      </c>
      <c r="Y96" s="8">
        <f t="shared" ca="1" si="331"/>
        <v>0</v>
      </c>
      <c r="Z96" s="8">
        <f t="shared" ca="1" si="331"/>
        <v>0</v>
      </c>
      <c r="AA96" s="8">
        <f t="shared" ca="1" si="331"/>
        <v>0</v>
      </c>
      <c r="AB96" s="8">
        <f t="shared" ca="1" si="331"/>
        <v>0</v>
      </c>
      <c r="AC96" s="8">
        <f t="shared" ca="1" si="331"/>
        <v>0</v>
      </c>
      <c r="AD96" s="8">
        <f t="shared" ca="1" si="331"/>
        <v>0</v>
      </c>
      <c r="AE96" s="8">
        <f t="shared" ca="1" si="331"/>
        <v>0</v>
      </c>
      <c r="AF96" s="8">
        <f t="shared" ca="1" si="331"/>
        <v>0</v>
      </c>
      <c r="AG96" s="8">
        <f t="shared" ca="1" si="331"/>
        <v>0</v>
      </c>
      <c r="AH96" s="8">
        <f t="shared" ca="1" si="331"/>
        <v>0</v>
      </c>
      <c r="AI96" s="8">
        <f t="shared" ca="1" si="331"/>
        <v>0</v>
      </c>
      <c r="AJ96" s="8">
        <f t="shared" ca="1" si="331"/>
        <v>0</v>
      </c>
      <c r="AK96" s="8">
        <f t="shared" ca="1" si="331"/>
        <v>0</v>
      </c>
      <c r="AL96" s="8">
        <f t="shared" ca="1" si="331"/>
        <v>0</v>
      </c>
      <c r="AM96" s="8">
        <f t="shared" ca="1" si="331"/>
        <v>0</v>
      </c>
    </row>
    <row r="97" spans="1:39" x14ac:dyDescent="0.2">
      <c r="A97" s="4" t="s">
        <v>85</v>
      </c>
      <c r="C97" s="8">
        <f ca="1">C96*Inputs!$B$149</f>
        <v>0</v>
      </c>
      <c r="D97" s="8">
        <f ca="1">D96*Inputs!$B$149</f>
        <v>0</v>
      </c>
      <c r="E97" s="8">
        <f ca="1">E96*Inputs!$B$149</f>
        <v>0</v>
      </c>
      <c r="F97" s="8">
        <f ca="1">F96*Inputs!$B$149</f>
        <v>0</v>
      </c>
      <c r="G97" s="8">
        <f ca="1">G96*Inputs!$B$149</f>
        <v>0</v>
      </c>
      <c r="H97" s="8">
        <f ca="1">H96*Inputs!$B$149</f>
        <v>0</v>
      </c>
      <c r="I97" s="8">
        <f ca="1">I96*Inputs!$B$149</f>
        <v>0</v>
      </c>
      <c r="J97" s="8">
        <f ca="1">J96*Inputs!$B$149</f>
        <v>0</v>
      </c>
      <c r="K97" s="8">
        <f ca="1">K96*Inputs!$B$149</f>
        <v>0</v>
      </c>
      <c r="L97" s="8">
        <f ca="1">L96*Inputs!$B$149</f>
        <v>0</v>
      </c>
      <c r="M97" s="8">
        <f ca="1">M96*Inputs!$B$149</f>
        <v>0</v>
      </c>
      <c r="N97" s="8">
        <f ca="1">N96*Inputs!$B$149</f>
        <v>0</v>
      </c>
      <c r="O97" s="8">
        <f ca="1">O96*Inputs!$B$149</f>
        <v>0</v>
      </c>
      <c r="P97" s="8">
        <f ca="1">P96*Inputs!$B$149</f>
        <v>0</v>
      </c>
      <c r="Q97" s="8">
        <f ca="1">Q96*Inputs!$B$149</f>
        <v>0</v>
      </c>
      <c r="R97" s="8">
        <f ca="1">R96*Inputs!$B$149</f>
        <v>0</v>
      </c>
      <c r="S97" s="8">
        <f ca="1">S96*Inputs!$B$149</f>
        <v>0</v>
      </c>
      <c r="T97" s="8">
        <f ca="1">T96*Inputs!$B$149</f>
        <v>0</v>
      </c>
      <c r="U97" s="8">
        <f ca="1">U96*Inputs!$B$149</f>
        <v>0</v>
      </c>
      <c r="V97" s="8">
        <f ca="1">V96*Inputs!$B$149</f>
        <v>0</v>
      </c>
      <c r="W97" s="8">
        <f ca="1">W96*Inputs!$B$149</f>
        <v>0</v>
      </c>
      <c r="X97" s="8">
        <f ca="1">X96*Inputs!$B$149</f>
        <v>0</v>
      </c>
      <c r="Y97" s="8">
        <f ca="1">Y96*Inputs!$B$149</f>
        <v>0</v>
      </c>
      <c r="Z97" s="8">
        <f ca="1">Z96*Inputs!$B$149</f>
        <v>0</v>
      </c>
      <c r="AA97" s="8">
        <f ca="1">AA96*Inputs!$B$149</f>
        <v>0</v>
      </c>
      <c r="AB97" s="8">
        <f ca="1">AB96*Inputs!$B$149</f>
        <v>0</v>
      </c>
      <c r="AC97" s="8">
        <f ca="1">AC96*Inputs!$B$149</f>
        <v>0</v>
      </c>
      <c r="AD97" s="8">
        <f ca="1">AD96*Inputs!$B$149</f>
        <v>0</v>
      </c>
      <c r="AE97" s="8">
        <f ca="1">AE96*Inputs!$B$149</f>
        <v>0</v>
      </c>
      <c r="AF97" s="8">
        <f ca="1">AF96*Inputs!$B$149</f>
        <v>0</v>
      </c>
      <c r="AG97" s="8">
        <f ca="1">AG96*Inputs!$B$149</f>
        <v>0</v>
      </c>
      <c r="AH97" s="8">
        <f ca="1">AH96*Inputs!$B$149</f>
        <v>0</v>
      </c>
      <c r="AI97" s="8">
        <f ca="1">AI96*Inputs!$B$149</f>
        <v>0</v>
      </c>
      <c r="AJ97" s="8">
        <f ca="1">AJ96*Inputs!$B$149</f>
        <v>0</v>
      </c>
      <c r="AK97" s="8">
        <f ca="1">AK96*Inputs!$B$149</f>
        <v>0</v>
      </c>
      <c r="AL97" s="8">
        <f ca="1">AL96*Inputs!$B$149</f>
        <v>0</v>
      </c>
      <c r="AM97" s="8">
        <f ca="1">AM96*Inputs!$B$149</f>
        <v>0</v>
      </c>
    </row>
    <row r="98" spans="1:39" x14ac:dyDescent="0.2">
      <c r="A98" s="4" t="s">
        <v>168</v>
      </c>
      <c r="C98" s="8">
        <f ca="1">C95+SUM($C97:C97)</f>
        <v>35752.5</v>
      </c>
      <c r="D98" s="8">
        <f ca="1">D95+SUM($C97:D97)</f>
        <v>64902.8125</v>
      </c>
      <c r="E98" s="8">
        <f ca="1">E95+SUM($C97:E97)</f>
        <v>74244.712499999994</v>
      </c>
      <c r="F98" s="8">
        <f ca="1">F95+SUM($C97:F97)</f>
        <v>115351.48395239323</v>
      </c>
      <c r="G98" s="8">
        <f ca="1">G95+SUM($C97:G97)</f>
        <v>161221.49120440619</v>
      </c>
      <c r="H98" s="8">
        <f ca="1">H95+SUM($C97:H97)</f>
        <v>221189.83792477695</v>
      </c>
      <c r="I98" s="8">
        <f ca="1">I95+SUM($C97:I97)</f>
        <v>191316.96765010577</v>
      </c>
      <c r="J98" s="8">
        <f ca="1">J95+SUM($C97:J97)</f>
        <v>142082.45452169742</v>
      </c>
      <c r="K98" s="8">
        <f ca="1">K95+SUM($C97:K97)</f>
        <v>171064.10395191278</v>
      </c>
      <c r="L98" s="8">
        <f ca="1">L95+SUM($C97:L97)</f>
        <v>105851.09277158603</v>
      </c>
      <c r="M98" s="8">
        <f ca="1">M95+SUM($C97:M97)</f>
        <v>90439.675347308294</v>
      </c>
      <c r="N98" s="8">
        <f ca="1">N95+SUM($C97:N97)</f>
        <v>74370.637418947314</v>
      </c>
      <c r="O98" s="8">
        <f ca="1">O95+SUM($C97:O97)</f>
        <v>57626.853316192486</v>
      </c>
      <c r="P98" s="8">
        <f ca="1">P95+SUM($C97:P97)</f>
        <v>40190.935794602876</v>
      </c>
      <c r="Q98" s="8">
        <f ca="1">Q95+SUM($C97:Q97)</f>
        <v>22045.239171341629</v>
      </c>
      <c r="R98" s="8">
        <f ca="1">R95+SUM($C97:R97)</f>
        <v>3171.8629465080521</v>
      </c>
      <c r="S98" s="8">
        <f ca="1">S95+SUM($C97:S97)</f>
        <v>3092.4611692916151</v>
      </c>
      <c r="T98" s="8">
        <f ca="1">T95+SUM($C97:T97)</f>
        <v>10929.014126519869</v>
      </c>
      <c r="U98" s="8">
        <f ca="1">U95+SUM($C97:U97)</f>
        <v>19381.488177530009</v>
      </c>
      <c r="V98" s="8">
        <f ca="1">V95+SUM($C97:V97)</f>
        <v>28483.312318437413</v>
      </c>
      <c r="W98" s="8">
        <f ca="1">W95+SUM($C97:W97)</f>
        <v>38269.427968090327</v>
      </c>
      <c r="X98" s="8">
        <f ca="1">X95+SUM($C97:X97)</f>
        <v>28369.430980525751</v>
      </c>
      <c r="Y98" s="8">
        <f ca="1">Y95+SUM($C97:Y97)</f>
        <v>18208.047989181272</v>
      </c>
      <c r="Z98" s="8">
        <f ca="1">Z95+SUM($C97:Z97)</f>
        <v>7786.87315912747</v>
      </c>
      <c r="AA98" s="8">
        <f ca="1">AA95+SUM($C97:AA97)</f>
        <v>0</v>
      </c>
      <c r="AB98" s="8">
        <f ca="1">AB95+SUM($C97:AB97)</f>
        <v>0</v>
      </c>
      <c r="AC98" s="8">
        <f ca="1">AC95+SUM($C97:AC97)</f>
        <v>0</v>
      </c>
      <c r="AD98" s="8">
        <f ca="1">AD95+SUM($C97:AD97)</f>
        <v>0</v>
      </c>
      <c r="AE98" s="8">
        <f ca="1">AE95+SUM($C97:AE97)</f>
        <v>0</v>
      </c>
      <c r="AF98" s="8">
        <f ca="1">AF95+SUM($C97:AF97)</f>
        <v>0</v>
      </c>
      <c r="AG98" s="8">
        <f ca="1">AG95+SUM($C97:AG97)</f>
        <v>0</v>
      </c>
      <c r="AH98" s="8">
        <f ca="1">AH95+SUM($C97:AH97)</f>
        <v>0</v>
      </c>
      <c r="AI98" s="8">
        <f ca="1">AI95+SUM($C97:AI97)</f>
        <v>0</v>
      </c>
      <c r="AJ98" s="8">
        <f ca="1">AJ95+SUM($C97:AJ97)</f>
        <v>303.74788620701293</v>
      </c>
      <c r="AK98" s="8">
        <f ca="1">AK95+SUM($C97:AK97)</f>
        <v>1019.3938381763583</v>
      </c>
      <c r="AL98" s="8">
        <f ca="1">AL95+SUM($C97:AL97)</f>
        <v>2179.4276191970421</v>
      </c>
      <c r="AM98" s="8">
        <f ca="1">AM95+SUM($C97:AM97)</f>
        <v>3818.0685855042539</v>
      </c>
    </row>
    <row r="99" spans="1:39" x14ac:dyDescent="0.2">
      <c r="A99" s="4" t="s">
        <v>21</v>
      </c>
      <c r="C99" s="8">
        <f ca="1">IF(C98&lt;0,C95,0)</f>
        <v>0</v>
      </c>
      <c r="D99" s="8">
        <f ca="1">IF(D98+SUM($C99:C99)&lt;0,-(D98+SUM($C99:C99)),0)</f>
        <v>0</v>
      </c>
      <c r="E99" s="8">
        <f ca="1">IF(E98+SUM($C99:D99)&lt;0,-(E98+SUM($C99:D99)),0)</f>
        <v>0</v>
      </c>
      <c r="F99" s="8">
        <f ca="1">IF(F98+SUM($C99:E99)&lt;0,-(F98+SUM($C99:E99)),0)</f>
        <v>0</v>
      </c>
      <c r="G99" s="8">
        <f ca="1">IF(G98+SUM($C99:F99)&lt;0,-(G98+SUM($C99:F99)),0)</f>
        <v>0</v>
      </c>
      <c r="H99" s="8">
        <f ca="1">IF(H98+SUM($C99:G99)&lt;0,-(H98+SUM($C99:G99)),0)</f>
        <v>0</v>
      </c>
      <c r="I99" s="8">
        <f ca="1">IF(I98+SUM($C99:H99)&lt;0,-(I98+SUM($C99:H99)),0)</f>
        <v>0</v>
      </c>
      <c r="J99" s="8">
        <f ca="1">IF(J98+SUM($C99:I99)&lt;0,-(J98+SUM($C99:I99)),0)</f>
        <v>0</v>
      </c>
      <c r="K99" s="8">
        <f ca="1">IF(K98+SUM($C99:J99)&lt;0,-(K98+SUM($C99:J99)),0)</f>
        <v>0</v>
      </c>
      <c r="L99" s="8">
        <f ca="1">IF(L98+SUM($C99:K99)&lt;0,-(L98+SUM($C99:K99)),0)</f>
        <v>0</v>
      </c>
      <c r="M99" s="8">
        <f ca="1">IF(M98+SUM($C99:L99)&lt;0,-(M98+SUM($C99:L99)),0)</f>
        <v>0</v>
      </c>
      <c r="N99" s="8">
        <f ca="1">IF(N98+SUM($C99:M99)&lt;0,-(N98+SUM($C99:M99)),0)</f>
        <v>0</v>
      </c>
      <c r="O99" s="8">
        <f ca="1">IF(O98+SUM($C99:N99)&lt;0,-(O98+SUM($C99:N99)),0)</f>
        <v>0</v>
      </c>
      <c r="P99" s="8">
        <f ca="1">IF(P98+SUM($C99:O99)&lt;0,-(P98+SUM($C99:O99)),0)</f>
        <v>0</v>
      </c>
      <c r="Q99" s="8">
        <f ca="1">IF(Q98+SUM($C99:P99)&lt;0,-(Q98+SUM($C99:P99)),0)</f>
        <v>0</v>
      </c>
      <c r="R99" s="8">
        <f ca="1">IF(R98+SUM($C99:Q99)&lt;0,-(R98+SUM($C99:Q99)),0)</f>
        <v>0</v>
      </c>
      <c r="S99" s="8">
        <f ca="1">IF(S98+SUM($C99:R99)&lt;0,-(S98+SUM($C99:R99)),0)</f>
        <v>0</v>
      </c>
      <c r="T99" s="8">
        <f ca="1">IF(T98+SUM($C99:S99)&lt;0,-(T98+SUM($C99:S99)),0)</f>
        <v>0</v>
      </c>
      <c r="U99" s="8">
        <f ca="1">IF(U98+SUM($C99:T99)&lt;0,-(U98+SUM($C99:T99)),0)</f>
        <v>0</v>
      </c>
      <c r="V99" s="8">
        <f ca="1">IF(V98+SUM($C99:U99)&lt;0,-(V98+SUM($C99:U99)),0)</f>
        <v>0</v>
      </c>
      <c r="W99" s="8">
        <f ca="1">IF(W98+SUM($C99:V99)&lt;0,-(W98+SUM($C99:V99)),0)</f>
        <v>0</v>
      </c>
      <c r="X99" s="8">
        <f ca="1">IF(X98+SUM($C99:W99)&lt;0,-(X98+SUM($C99:W99)),0)</f>
        <v>0</v>
      </c>
      <c r="Y99" s="8">
        <f ca="1">IF(Y98+SUM($C99:X99)&lt;0,-(Y98+SUM($C99:X99)),0)</f>
        <v>0</v>
      </c>
      <c r="Z99" s="8">
        <f ca="1">IF(Z98+SUM($C99:Y99)&lt;0,-(Z98+SUM($C99:Y99)),0)</f>
        <v>0</v>
      </c>
      <c r="AA99" s="8">
        <f ca="1">IF(AA98+SUM($C99:Z99)&lt;0,-(AA98+SUM($C99:Z99)),0)</f>
        <v>0</v>
      </c>
      <c r="AB99" s="8">
        <f ca="1">IF(AB98+SUM($C99:AA99)&lt;0,-(AB98+SUM($C99:AA99)),0)</f>
        <v>0</v>
      </c>
      <c r="AC99" s="8">
        <f ca="1">IF(AC98+SUM($C99:AB99)&lt;0,-(AC98+SUM($C99:AB99)),0)</f>
        <v>0</v>
      </c>
      <c r="AD99" s="8">
        <f ca="1">IF(AD98+SUM($C99:AC99)&lt;0,-(AD98+SUM($C99:AC99)),0)</f>
        <v>0</v>
      </c>
      <c r="AE99" s="8">
        <f ca="1">IF(AE98+SUM($C99:AD99)&lt;0,-(AE98+SUM($C99:AD99)),0)</f>
        <v>0</v>
      </c>
      <c r="AF99" s="8">
        <f ca="1">IF(AF98+SUM($C99:AE99)&lt;0,-(AF98+SUM($C99:AE99)),0)</f>
        <v>0</v>
      </c>
      <c r="AG99" s="8">
        <f ca="1">IF(AG98+SUM($C99:AF99)&lt;0,-(AG98+SUM($C99:AF99)),0)</f>
        <v>0</v>
      </c>
      <c r="AH99" s="8">
        <f ca="1">IF(AH98+SUM($C99:AG99)&lt;0,-(AH98+SUM($C99:AG99)),0)</f>
        <v>0</v>
      </c>
      <c r="AI99" s="8">
        <f ca="1">IF(AI98+SUM($C99:AH99)&lt;0,-(AI98+SUM($C99:AH99)),0)</f>
        <v>0</v>
      </c>
      <c r="AJ99" s="8">
        <f ca="1">IF(AJ98+SUM($C99:AI99)&lt;0,-(AJ98+SUM($C99:AI99)),0)</f>
        <v>0</v>
      </c>
      <c r="AK99" s="8">
        <f ca="1">IF(AK98+SUM($C99:AJ99)&lt;0,-(AK98+SUM($C99:AJ99)),0)</f>
        <v>0</v>
      </c>
      <c r="AL99" s="8">
        <f ca="1">IF(AL98+SUM($C99:AK99)&lt;0,-(AL98+SUM($C99:AK99)),0)</f>
        <v>0</v>
      </c>
      <c r="AM99" s="8">
        <f ca="1">IF(AM98+SUM($C99:AL99)&lt;0,-(AM98+SUM($C99:AL99)),0)</f>
        <v>0</v>
      </c>
    </row>
    <row r="100" spans="1:39" x14ac:dyDescent="0.2"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</row>
    <row r="101" spans="1:39" x14ac:dyDescent="0.2">
      <c r="A101" s="29" t="str">
        <f>IF(Inputs!$B$165=6,IFERROR(_xlfn.XLOOKUP($B101,Inputs!$B$166:$B$168,Inputs!$A$166:$A$168,,0,1),""),IFERROR(_xlfn.XLOOKUP($B101,Inputs!$C$166:$C$168,Inputs!$A$166:$A$168,,0,1),""))</f>
        <v>Qormi</v>
      </c>
      <c r="B101" s="31">
        <v>2</v>
      </c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</row>
    <row r="102" spans="1:39" x14ac:dyDescent="0.2">
      <c r="A102" s="4" t="s">
        <v>23</v>
      </c>
      <c r="C102" s="8">
        <f>IFERROR(VLOOKUP($A101,$A$52:$H$66,C$1+2,FALSE),0)</f>
        <v>226600</v>
      </c>
      <c r="D102" s="8">
        <f ca="1">C105</f>
        <v>226600</v>
      </c>
      <c r="E102" s="8">
        <f t="shared" ref="E102:AM102" ca="1" si="332">D105</f>
        <v>233398</v>
      </c>
      <c r="F102" s="8">
        <f t="shared" ca="1" si="332"/>
        <v>240399.94</v>
      </c>
      <c r="G102" s="8">
        <f t="shared" ca="1" si="332"/>
        <v>247611.9382</v>
      </c>
      <c r="H102" s="8">
        <f t="shared" ca="1" si="332"/>
        <v>255040.29634600002</v>
      </c>
      <c r="I102" s="8">
        <f t="shared" ref="I102" ca="1" si="333">H105</f>
        <v>262691.50523638004</v>
      </c>
      <c r="J102" s="8">
        <f t="shared" ref="J102" ca="1" si="334">I105</f>
        <v>270572.25039347145</v>
      </c>
      <c r="K102" s="8">
        <f t="shared" ref="K102" ca="1" si="335">J105</f>
        <v>278689.41790527559</v>
      </c>
      <c r="L102" s="8">
        <f t="shared" ref="L102" ca="1" si="336">K105</f>
        <v>287050.10044243385</v>
      </c>
      <c r="M102" s="8">
        <f t="shared" ref="M102" ca="1" si="337">L105</f>
        <v>295661.60345570685</v>
      </c>
      <c r="N102" s="8">
        <f t="shared" ref="N102" ca="1" si="338">M105</f>
        <v>304531.45155937807</v>
      </c>
      <c r="O102" s="8">
        <f t="shared" ref="O102" ca="1" si="339">N105</f>
        <v>313667.39510615938</v>
      </c>
      <c r="P102" s="8">
        <f t="shared" ref="P102" ca="1" si="340">O105</f>
        <v>323077.41695934418</v>
      </c>
      <c r="Q102" s="8">
        <f t="shared" ref="Q102" ca="1" si="341">P105</f>
        <v>332769.73946812452</v>
      </c>
      <c r="R102" s="8">
        <f t="shared" ref="R102" ca="1" si="342">Q105</f>
        <v>342752.83165216824</v>
      </c>
      <c r="S102" s="8">
        <f t="shared" ref="S102" ca="1" si="343">R105</f>
        <v>353035.4166017333</v>
      </c>
      <c r="T102" s="8">
        <f t="shared" ref="T102" ca="1" si="344">S105</f>
        <v>363626.47909978533</v>
      </c>
      <c r="U102" s="8">
        <f t="shared" ref="U102" ca="1" si="345">T105</f>
        <v>374535.27347277891</v>
      </c>
      <c r="V102" s="8">
        <f t="shared" ref="V102" ca="1" si="346">U105</f>
        <v>385771.33167696226</v>
      </c>
      <c r="W102" s="8">
        <f t="shared" ref="W102" ca="1" si="347">V105</f>
        <v>397344.47162727115</v>
      </c>
      <c r="X102" s="8">
        <f t="shared" ref="X102" ca="1" si="348">W105</f>
        <v>409264.80577608931</v>
      </c>
      <c r="Y102" s="8">
        <f t="shared" ref="Y102" ca="1" si="349">X105</f>
        <v>421542.74994937197</v>
      </c>
      <c r="Z102" s="8">
        <f t="shared" ref="Z102" ca="1" si="350">Y105</f>
        <v>434189.03244785313</v>
      </c>
      <c r="AA102" s="8">
        <f t="shared" ref="AA102" ca="1" si="351">Z105</f>
        <v>447214.70342128869</v>
      </c>
      <c r="AB102" s="8">
        <f t="shared" ref="AB102" ca="1" si="352">AA105</f>
        <v>460631.14452392736</v>
      </c>
      <c r="AC102" s="8">
        <f t="shared" ref="AC102" ca="1" si="353">AB105</f>
        <v>474450.07885964517</v>
      </c>
      <c r="AD102" s="8">
        <f t="shared" ref="AD102" ca="1" si="354">AC105</f>
        <v>488683.58122543455</v>
      </c>
      <c r="AE102" s="8">
        <f t="shared" ref="AE102" ca="1" si="355">AD105</f>
        <v>503344.08866219758</v>
      </c>
      <c r="AF102" s="8">
        <f t="shared" ref="AF102" ca="1" si="356">AE105</f>
        <v>518444.41132206353</v>
      </c>
      <c r="AG102" s="8">
        <f t="shared" ref="AG102" ca="1" si="357">AF105</f>
        <v>533997.74366172543</v>
      </c>
      <c r="AH102" s="8">
        <f t="shared" ref="AH102" ca="1" si="358">AG105</f>
        <v>550017.67597157718</v>
      </c>
      <c r="AI102" s="8">
        <f t="shared" ref="AI102" ca="1" si="359">AH105</f>
        <v>566518.2062507245</v>
      </c>
      <c r="AJ102" s="8">
        <f t="shared" ref="AJ102" ca="1" si="360">AI105</f>
        <v>583513.75243824627</v>
      </c>
      <c r="AK102" s="8">
        <f t="shared" ref="AK102" ca="1" si="361">AJ105</f>
        <v>601019.1650113936</v>
      </c>
      <c r="AL102" s="8">
        <f t="shared" ref="AL102" ca="1" si="362">AK105</f>
        <v>619049.73996173544</v>
      </c>
      <c r="AM102" s="8">
        <f t="shared" ref="AM102" ca="1" si="363">AL105</f>
        <v>637621.23216058745</v>
      </c>
    </row>
    <row r="103" spans="1:39" x14ac:dyDescent="0.2">
      <c r="A103" s="4" t="s">
        <v>24</v>
      </c>
      <c r="C103" s="8">
        <f ca="1">-IF(SUM(C99:D99)&gt;0,C102,0)</f>
        <v>0</v>
      </c>
      <c r="D103" s="8">
        <f ca="1">-IF(E99&gt;0,D102,0)</f>
        <v>0</v>
      </c>
      <c r="E103" s="8">
        <f ca="1">-IF(F99&gt;0,E102,0)</f>
        <v>0</v>
      </c>
      <c r="F103" s="8">
        <f ca="1">-IF(G99&gt;0,F102,0)</f>
        <v>0</v>
      </c>
      <c r="G103" s="8">
        <f t="shared" ref="G103:AL103" ca="1" si="364">-IF(H99&gt;0,G102,0)</f>
        <v>0</v>
      </c>
      <c r="H103" s="8">
        <f t="shared" ca="1" si="364"/>
        <v>0</v>
      </c>
      <c r="I103" s="8">
        <f t="shared" ref="I103" ca="1" si="365">-IF(J99&gt;0,I102,0)</f>
        <v>0</v>
      </c>
      <c r="J103" s="8">
        <f t="shared" ref="J103" ca="1" si="366">-IF(K99&gt;0,J102,0)</f>
        <v>0</v>
      </c>
      <c r="K103" s="8">
        <f t="shared" ref="K103" ca="1" si="367">-IF(L99&gt;0,K102,0)</f>
        <v>0</v>
      </c>
      <c r="L103" s="8">
        <f t="shared" ref="L103" ca="1" si="368">-IF(M99&gt;0,L102,0)</f>
        <v>0</v>
      </c>
      <c r="M103" s="8">
        <f t="shared" ref="M103" ca="1" si="369">-IF(N99&gt;0,M102,0)</f>
        <v>0</v>
      </c>
      <c r="N103" s="8">
        <f t="shared" ref="N103" ca="1" si="370">-IF(O99&gt;0,N102,0)</f>
        <v>0</v>
      </c>
      <c r="O103" s="8">
        <f t="shared" ref="O103" ca="1" si="371">-IF(P99&gt;0,O102,0)</f>
        <v>0</v>
      </c>
      <c r="P103" s="8">
        <f t="shared" ref="P103" ca="1" si="372">-IF(Q99&gt;0,P102,0)</f>
        <v>0</v>
      </c>
      <c r="Q103" s="8">
        <f t="shared" ref="Q103" ca="1" si="373">-IF(R99&gt;0,Q102,0)</f>
        <v>0</v>
      </c>
      <c r="R103" s="8">
        <f t="shared" ref="R103" ca="1" si="374">-IF(S99&gt;0,R102,0)</f>
        <v>0</v>
      </c>
      <c r="S103" s="8">
        <f t="shared" ref="S103" ca="1" si="375">-IF(T99&gt;0,S102,0)</f>
        <v>0</v>
      </c>
      <c r="T103" s="8">
        <f t="shared" ref="T103" ca="1" si="376">-IF(U99&gt;0,T102,0)</f>
        <v>0</v>
      </c>
      <c r="U103" s="8">
        <f t="shared" ref="U103" ca="1" si="377">-IF(V99&gt;0,U102,0)</f>
        <v>0</v>
      </c>
      <c r="V103" s="8">
        <f t="shared" ref="V103" ca="1" si="378">-IF(W99&gt;0,V102,0)</f>
        <v>0</v>
      </c>
      <c r="W103" s="8">
        <f t="shared" ref="W103" ca="1" si="379">-IF(X99&gt;0,W102,0)</f>
        <v>0</v>
      </c>
      <c r="X103" s="8">
        <f t="shared" ref="X103" ca="1" si="380">-IF(Y99&gt;0,X102,0)</f>
        <v>0</v>
      </c>
      <c r="Y103" s="8">
        <f t="shared" ref="Y103" ca="1" si="381">-IF(Z99&gt;0,Y102,0)</f>
        <v>0</v>
      </c>
      <c r="Z103" s="8">
        <f t="shared" ref="Z103" ca="1" si="382">-IF(AA99&gt;0,Z102,0)</f>
        <v>0</v>
      </c>
      <c r="AA103" s="8">
        <f t="shared" ref="AA103" ca="1" si="383">-IF(AB99&gt;0,AA102,0)</f>
        <v>0</v>
      </c>
      <c r="AB103" s="8">
        <f t="shared" ref="AB103" ca="1" si="384">-IF(AC99&gt;0,AB102,0)</f>
        <v>0</v>
      </c>
      <c r="AC103" s="8">
        <f t="shared" ref="AC103" ca="1" si="385">-IF(AD99&gt;0,AC102,0)</f>
        <v>0</v>
      </c>
      <c r="AD103" s="8">
        <f t="shared" ref="AD103" ca="1" si="386">-IF(AE99&gt;0,AD102,0)</f>
        <v>0</v>
      </c>
      <c r="AE103" s="8">
        <f t="shared" ref="AE103" ca="1" si="387">-IF(AF99&gt;0,AE102,0)</f>
        <v>0</v>
      </c>
      <c r="AF103" s="8">
        <f t="shared" ref="AF103" ca="1" si="388">-IF(AG99&gt;0,AF102,0)</f>
        <v>0</v>
      </c>
      <c r="AG103" s="8">
        <f t="shared" ref="AG103" ca="1" si="389">-IF(AH99&gt;0,AG102,0)</f>
        <v>0</v>
      </c>
      <c r="AH103" s="8">
        <f t="shared" ref="AH103" ca="1" si="390">-IF(AI99&gt;0,AH102,0)</f>
        <v>0</v>
      </c>
      <c r="AI103" s="8">
        <f t="shared" ref="AI103" ca="1" si="391">-IF(AJ99&gt;0,AI102,0)</f>
        <v>0</v>
      </c>
      <c r="AJ103" s="8">
        <f t="shared" ref="AJ103" ca="1" si="392">-IF(AK99&gt;0,AJ102,0)</f>
        <v>0</v>
      </c>
      <c r="AK103" s="8">
        <f t="shared" ref="AK103" ca="1" si="393">-IF(AL99&gt;0,AK102,0)</f>
        <v>0</v>
      </c>
      <c r="AL103" s="8">
        <f t="shared" ref="AL103" ca="1" si="394">-IF(AM99&gt;0,AL102,0)</f>
        <v>0</v>
      </c>
      <c r="AM103" s="8">
        <f t="shared" ref="AM103" si="395">-IF(AN99&gt;0,AM102,0)</f>
        <v>0</v>
      </c>
    </row>
    <row r="104" spans="1:39" x14ac:dyDescent="0.2">
      <c r="A104" s="4" t="s">
        <v>25</v>
      </c>
      <c r="C104" s="8">
        <v>0</v>
      </c>
      <c r="D104" s="8">
        <f t="shared" ref="D104:G104" ca="1" si="396">SUM(D102:D103)*princ</f>
        <v>6798</v>
      </c>
      <c r="E104" s="8">
        <f t="shared" ca="1" si="396"/>
        <v>7001.94</v>
      </c>
      <c r="F104" s="8">
        <f t="shared" ca="1" si="396"/>
        <v>7211.9982</v>
      </c>
      <c r="G104" s="8">
        <f t="shared" ca="1" si="396"/>
        <v>7428.3581459999996</v>
      </c>
      <c r="H104" s="8">
        <f t="shared" ref="H104:AM104" ca="1" si="397">SUM(H102:H103)*princ</f>
        <v>7651.2088903800004</v>
      </c>
      <c r="I104" s="8">
        <f t="shared" ref="I104:AM104" ca="1" si="398">SUM(I102:I103)*princ</f>
        <v>7880.7451570914009</v>
      </c>
      <c r="J104" s="8">
        <f t="shared" ca="1" si="398"/>
        <v>8117.167511804143</v>
      </c>
      <c r="K104" s="8">
        <f t="shared" ca="1" si="398"/>
        <v>8360.6825371582672</v>
      </c>
      <c r="L104" s="8">
        <f t="shared" ca="1" si="398"/>
        <v>8611.5030132730153</v>
      </c>
      <c r="M104" s="8">
        <f t="shared" ca="1" si="398"/>
        <v>8869.8481036712055</v>
      </c>
      <c r="N104" s="8">
        <f t="shared" ca="1" si="398"/>
        <v>9135.9435467813419</v>
      </c>
      <c r="O104" s="8">
        <f t="shared" ca="1" si="398"/>
        <v>9410.0218531847804</v>
      </c>
      <c r="P104" s="8">
        <f t="shared" ca="1" si="398"/>
        <v>9692.3225087803257</v>
      </c>
      <c r="Q104" s="8">
        <f t="shared" ca="1" si="398"/>
        <v>9983.092184043735</v>
      </c>
      <c r="R104" s="8">
        <f t="shared" ca="1" si="398"/>
        <v>10282.584949565047</v>
      </c>
      <c r="S104" s="8">
        <f t="shared" ca="1" si="398"/>
        <v>10591.062498051999</v>
      </c>
      <c r="T104" s="8">
        <f t="shared" ca="1" si="398"/>
        <v>10908.79437299356</v>
      </c>
      <c r="U104" s="8">
        <f t="shared" ca="1" si="398"/>
        <v>11236.058204183366</v>
      </c>
      <c r="V104" s="8">
        <f t="shared" ca="1" si="398"/>
        <v>11573.139950308867</v>
      </c>
      <c r="W104" s="8">
        <f t="shared" ca="1" si="398"/>
        <v>11920.334148818134</v>
      </c>
      <c r="X104" s="8">
        <f t="shared" ca="1" si="398"/>
        <v>12277.944173282678</v>
      </c>
      <c r="Y104" s="8">
        <f t="shared" ca="1" si="398"/>
        <v>12646.282498481158</v>
      </c>
      <c r="Z104" s="8">
        <f t="shared" ca="1" si="398"/>
        <v>13025.670973435594</v>
      </c>
      <c r="AA104" s="8">
        <f t="shared" ca="1" si="398"/>
        <v>13416.441102638661</v>
      </c>
      <c r="AB104" s="8">
        <f t="shared" ca="1" si="398"/>
        <v>13818.93433571782</v>
      </c>
      <c r="AC104" s="8">
        <f t="shared" ca="1" si="398"/>
        <v>14233.502365789354</v>
      </c>
      <c r="AD104" s="8">
        <f t="shared" ca="1" si="398"/>
        <v>14660.507436763037</v>
      </c>
      <c r="AE104" s="8">
        <f t="shared" ca="1" si="398"/>
        <v>15100.322659865928</v>
      </c>
      <c r="AF104" s="8">
        <f t="shared" ca="1" si="398"/>
        <v>15553.332339661905</v>
      </c>
      <c r="AG104" s="8">
        <f t="shared" ca="1" si="398"/>
        <v>16019.932309851762</v>
      </c>
      <c r="AH104" s="8">
        <f t="shared" ca="1" si="398"/>
        <v>16500.530279147315</v>
      </c>
      <c r="AI104" s="8">
        <f t="shared" ca="1" si="398"/>
        <v>16995.546187521733</v>
      </c>
      <c r="AJ104" s="8">
        <f t="shared" ca="1" si="398"/>
        <v>17505.412573147387</v>
      </c>
      <c r="AK104" s="8">
        <f t="shared" ca="1" si="398"/>
        <v>18030.574950341808</v>
      </c>
      <c r="AL104" s="8">
        <f t="shared" ca="1" si="398"/>
        <v>18571.492198852062</v>
      </c>
      <c r="AM104" s="8">
        <f t="shared" ca="1" si="398"/>
        <v>19128.636964817622</v>
      </c>
    </row>
    <row r="105" spans="1:39" x14ac:dyDescent="0.2">
      <c r="A105" s="4" t="s">
        <v>26</v>
      </c>
      <c r="C105" s="8">
        <f ca="1">SUM(C102:C104)</f>
        <v>226600</v>
      </c>
      <c r="D105" s="8">
        <f t="shared" ref="D105:G105" ca="1" si="399">SUM(D102:D104)</f>
        <v>233398</v>
      </c>
      <c r="E105" s="8">
        <f t="shared" ca="1" si="399"/>
        <v>240399.94</v>
      </c>
      <c r="F105" s="8">
        <f t="shared" ca="1" si="399"/>
        <v>247611.9382</v>
      </c>
      <c r="G105" s="8">
        <f t="shared" ca="1" si="399"/>
        <v>255040.29634600002</v>
      </c>
      <c r="H105" s="8">
        <f t="shared" ref="H105:AM105" ca="1" si="400">SUM(H102:H104)</f>
        <v>262691.50523638004</v>
      </c>
      <c r="I105" s="8">
        <f t="shared" ref="I105:AM105" ca="1" si="401">SUM(I102:I104)</f>
        <v>270572.25039347145</v>
      </c>
      <c r="J105" s="8">
        <f t="shared" ca="1" si="401"/>
        <v>278689.41790527559</v>
      </c>
      <c r="K105" s="8">
        <f t="shared" ca="1" si="401"/>
        <v>287050.10044243385</v>
      </c>
      <c r="L105" s="8">
        <f t="shared" ca="1" si="401"/>
        <v>295661.60345570685</v>
      </c>
      <c r="M105" s="8">
        <f t="shared" ca="1" si="401"/>
        <v>304531.45155937807</v>
      </c>
      <c r="N105" s="8">
        <f t="shared" ca="1" si="401"/>
        <v>313667.39510615938</v>
      </c>
      <c r="O105" s="8">
        <f t="shared" ca="1" si="401"/>
        <v>323077.41695934418</v>
      </c>
      <c r="P105" s="8">
        <f t="shared" ca="1" si="401"/>
        <v>332769.73946812452</v>
      </c>
      <c r="Q105" s="8">
        <f t="shared" ca="1" si="401"/>
        <v>342752.83165216824</v>
      </c>
      <c r="R105" s="8">
        <f t="shared" ca="1" si="401"/>
        <v>353035.4166017333</v>
      </c>
      <c r="S105" s="8">
        <f t="shared" ca="1" si="401"/>
        <v>363626.47909978533</v>
      </c>
      <c r="T105" s="8">
        <f t="shared" ca="1" si="401"/>
        <v>374535.27347277891</v>
      </c>
      <c r="U105" s="8">
        <f t="shared" ca="1" si="401"/>
        <v>385771.33167696226</v>
      </c>
      <c r="V105" s="8">
        <f t="shared" ca="1" si="401"/>
        <v>397344.47162727115</v>
      </c>
      <c r="W105" s="8">
        <f t="shared" ca="1" si="401"/>
        <v>409264.80577608931</v>
      </c>
      <c r="X105" s="8">
        <f t="shared" ca="1" si="401"/>
        <v>421542.74994937197</v>
      </c>
      <c r="Y105" s="8">
        <f t="shared" ca="1" si="401"/>
        <v>434189.03244785313</v>
      </c>
      <c r="Z105" s="8">
        <f t="shared" ca="1" si="401"/>
        <v>447214.70342128869</v>
      </c>
      <c r="AA105" s="8">
        <f t="shared" ca="1" si="401"/>
        <v>460631.14452392736</v>
      </c>
      <c r="AB105" s="8">
        <f t="shared" ca="1" si="401"/>
        <v>474450.07885964517</v>
      </c>
      <c r="AC105" s="8">
        <f t="shared" ca="1" si="401"/>
        <v>488683.58122543455</v>
      </c>
      <c r="AD105" s="8">
        <f t="shared" ca="1" si="401"/>
        <v>503344.08866219758</v>
      </c>
      <c r="AE105" s="8">
        <f t="shared" ca="1" si="401"/>
        <v>518444.41132206353</v>
      </c>
      <c r="AF105" s="8">
        <f t="shared" ca="1" si="401"/>
        <v>533997.74366172543</v>
      </c>
      <c r="AG105" s="8">
        <f t="shared" ca="1" si="401"/>
        <v>550017.67597157718</v>
      </c>
      <c r="AH105" s="8">
        <f t="shared" ca="1" si="401"/>
        <v>566518.2062507245</v>
      </c>
      <c r="AI105" s="8">
        <f t="shared" ca="1" si="401"/>
        <v>583513.75243824627</v>
      </c>
      <c r="AJ105" s="8">
        <f t="shared" ca="1" si="401"/>
        <v>601019.1650113936</v>
      </c>
      <c r="AK105" s="8">
        <f t="shared" ca="1" si="401"/>
        <v>619049.73996173544</v>
      </c>
      <c r="AL105" s="8">
        <f t="shared" ca="1" si="401"/>
        <v>637621.23216058745</v>
      </c>
      <c r="AM105" s="8">
        <f t="shared" ca="1" si="401"/>
        <v>656749.86912540509</v>
      </c>
    </row>
    <row r="106" spans="1:39" x14ac:dyDescent="0.2">
      <c r="A106" s="4" t="s">
        <v>27</v>
      </c>
      <c r="C106" s="8">
        <f ca="1">C103*Inputs!$B$163</f>
        <v>0</v>
      </c>
      <c r="D106" s="8">
        <f ca="1">D103*Inputs!$B$163</f>
        <v>0</v>
      </c>
      <c r="E106" s="8">
        <f ca="1">E103*Inputs!$B$163</f>
        <v>0</v>
      </c>
      <c r="F106" s="8">
        <f ca="1">F103*Inputs!$B$163</f>
        <v>0</v>
      </c>
      <c r="G106" s="8">
        <f ca="1">G103*Inputs!$B$163</f>
        <v>0</v>
      </c>
      <c r="H106" s="8">
        <f ca="1">H103*Inputs!$B$163</f>
        <v>0</v>
      </c>
      <c r="I106" s="8">
        <f ca="1">I103*Inputs!$B$163</f>
        <v>0</v>
      </c>
      <c r="J106" s="8">
        <f ca="1">J103*Inputs!$B$163</f>
        <v>0</v>
      </c>
      <c r="K106" s="8">
        <f ca="1">K103*Inputs!$B$163</f>
        <v>0</v>
      </c>
      <c r="L106" s="8">
        <f ca="1">L103*Inputs!$B$163</f>
        <v>0</v>
      </c>
      <c r="M106" s="8">
        <f ca="1">M103*Inputs!$B$163</f>
        <v>0</v>
      </c>
      <c r="N106" s="8">
        <f ca="1">N103*Inputs!$B$163</f>
        <v>0</v>
      </c>
      <c r="O106" s="8">
        <f ca="1">O103*Inputs!$B$163</f>
        <v>0</v>
      </c>
      <c r="P106" s="8">
        <f ca="1">P103*Inputs!$B$163</f>
        <v>0</v>
      </c>
      <c r="Q106" s="8">
        <f ca="1">Q103*Inputs!$B$163</f>
        <v>0</v>
      </c>
      <c r="R106" s="8">
        <f ca="1">R103*Inputs!$B$163</f>
        <v>0</v>
      </c>
      <c r="S106" s="8">
        <f ca="1">S103*Inputs!$B$163</f>
        <v>0</v>
      </c>
      <c r="T106" s="8">
        <f ca="1">T103*Inputs!$B$163</f>
        <v>0</v>
      </c>
      <c r="U106" s="8">
        <f ca="1">U103*Inputs!$B$163</f>
        <v>0</v>
      </c>
      <c r="V106" s="8">
        <f ca="1">V103*Inputs!$B$163</f>
        <v>0</v>
      </c>
      <c r="W106" s="8">
        <f ca="1">W103*Inputs!$B$163</f>
        <v>0</v>
      </c>
      <c r="X106" s="8">
        <f ca="1">X103*Inputs!$B$163</f>
        <v>0</v>
      </c>
      <c r="Y106" s="8">
        <f ca="1">Y103*Inputs!$B$163</f>
        <v>0</v>
      </c>
      <c r="Z106" s="8">
        <f ca="1">Z103*Inputs!$B$163</f>
        <v>0</v>
      </c>
      <c r="AA106" s="8">
        <f ca="1">AA103*Inputs!$B$163</f>
        <v>0</v>
      </c>
      <c r="AB106" s="8">
        <f ca="1">AB103*Inputs!$B$163</f>
        <v>0</v>
      </c>
      <c r="AC106" s="8">
        <f ca="1">AC103*Inputs!$B$163</f>
        <v>0</v>
      </c>
      <c r="AD106" s="8">
        <f ca="1">AD103*Inputs!$B$163</f>
        <v>0</v>
      </c>
      <c r="AE106" s="8">
        <f ca="1">AE103*Inputs!$B$163</f>
        <v>0</v>
      </c>
      <c r="AF106" s="8">
        <f ca="1">AF103*Inputs!$B$163</f>
        <v>0</v>
      </c>
      <c r="AG106" s="8">
        <f ca="1">AG103*Inputs!$B$163</f>
        <v>0</v>
      </c>
      <c r="AH106" s="8">
        <f ca="1">AH103*Inputs!$B$163</f>
        <v>0</v>
      </c>
      <c r="AI106" s="8">
        <f ca="1">AI103*Inputs!$B$163</f>
        <v>0</v>
      </c>
      <c r="AJ106" s="8">
        <f ca="1">AJ103*Inputs!$B$163</f>
        <v>0</v>
      </c>
      <c r="AK106" s="8">
        <f ca="1">AK103*Inputs!$B$163</f>
        <v>0</v>
      </c>
      <c r="AL106" s="8">
        <f ca="1">AL103*Inputs!$B$163</f>
        <v>0</v>
      </c>
      <c r="AM106" s="8">
        <f>AM103*Inputs!$B$163</f>
        <v>0</v>
      </c>
    </row>
    <row r="107" spans="1:39" x14ac:dyDescent="0.2">
      <c r="A107" s="4" t="s">
        <v>34</v>
      </c>
      <c r="C107" s="8">
        <f>IFERROR(-IF(C102=0,VLOOKUP($A101,$7:$10,C$1+2,FALSE),0),0)</f>
        <v>0</v>
      </c>
      <c r="D107" s="8">
        <f ca="1">IFERROR(-IF(D102=0,VLOOKUP($A101,$7:$10,D$1+2,FALSE),0),0)</f>
        <v>0</v>
      </c>
      <c r="E107" s="8">
        <f ca="1">IFERROR(-IF(E102=0,VLOOKUP($A101,$7:$10,E$1+2,FALSE),0),0)</f>
        <v>0</v>
      </c>
      <c r="F107" s="8">
        <f ca="1">IFERROR(-IF(F102=0,VLOOKUP($A101,$7:$10,F$1+2,FALSE),0),0)</f>
        <v>0</v>
      </c>
      <c r="G107" s="8">
        <f ca="1">IFERROR(-IF(G102=0,VLOOKUP($A101,$7:$10,G$1+2,FALSE),0),0)</f>
        <v>0</v>
      </c>
      <c r="H107" s="8">
        <f ca="1">IFERROR(-IF(H102=0,VLOOKUP($A101,$7:$10,H$1+2,FALSE),0),0)</f>
        <v>0</v>
      </c>
      <c r="I107" s="8">
        <f t="shared" ref="I107:AM107" ca="1" si="402">IFERROR(-IF(I102=0,VLOOKUP($A101,$7:$10,I$1+2,FALSE),0),0)</f>
        <v>0</v>
      </c>
      <c r="J107" s="8">
        <f t="shared" ca="1" si="402"/>
        <v>0</v>
      </c>
      <c r="K107" s="8">
        <f t="shared" ca="1" si="402"/>
        <v>0</v>
      </c>
      <c r="L107" s="8">
        <f t="shared" ca="1" si="402"/>
        <v>0</v>
      </c>
      <c r="M107" s="8">
        <f t="shared" ca="1" si="402"/>
        <v>0</v>
      </c>
      <c r="N107" s="8">
        <f t="shared" ca="1" si="402"/>
        <v>0</v>
      </c>
      <c r="O107" s="8">
        <f t="shared" ca="1" si="402"/>
        <v>0</v>
      </c>
      <c r="P107" s="8">
        <f t="shared" ca="1" si="402"/>
        <v>0</v>
      </c>
      <c r="Q107" s="8">
        <f t="shared" ca="1" si="402"/>
        <v>0</v>
      </c>
      <c r="R107" s="8">
        <f t="shared" ca="1" si="402"/>
        <v>0</v>
      </c>
      <c r="S107" s="8">
        <f t="shared" ca="1" si="402"/>
        <v>0</v>
      </c>
      <c r="T107" s="8">
        <f t="shared" ca="1" si="402"/>
        <v>0</v>
      </c>
      <c r="U107" s="8">
        <f t="shared" ca="1" si="402"/>
        <v>0</v>
      </c>
      <c r="V107" s="8">
        <f t="shared" ca="1" si="402"/>
        <v>0</v>
      </c>
      <c r="W107" s="8">
        <f t="shared" ca="1" si="402"/>
        <v>0</v>
      </c>
      <c r="X107" s="8">
        <f t="shared" ca="1" si="402"/>
        <v>0</v>
      </c>
      <c r="Y107" s="8">
        <f t="shared" ca="1" si="402"/>
        <v>0</v>
      </c>
      <c r="Z107" s="8">
        <f t="shared" ca="1" si="402"/>
        <v>0</v>
      </c>
      <c r="AA107" s="8">
        <f t="shared" ca="1" si="402"/>
        <v>0</v>
      </c>
      <c r="AB107" s="8">
        <f t="shared" ca="1" si="402"/>
        <v>0</v>
      </c>
      <c r="AC107" s="8">
        <f t="shared" ca="1" si="402"/>
        <v>0</v>
      </c>
      <c r="AD107" s="8">
        <f t="shared" ca="1" si="402"/>
        <v>0</v>
      </c>
      <c r="AE107" s="8">
        <f t="shared" ca="1" si="402"/>
        <v>0</v>
      </c>
      <c r="AF107" s="8">
        <f t="shared" ca="1" si="402"/>
        <v>0</v>
      </c>
      <c r="AG107" s="8">
        <f t="shared" ca="1" si="402"/>
        <v>0</v>
      </c>
      <c r="AH107" s="8">
        <f t="shared" ca="1" si="402"/>
        <v>0</v>
      </c>
      <c r="AI107" s="8">
        <f t="shared" ca="1" si="402"/>
        <v>0</v>
      </c>
      <c r="AJ107" s="8">
        <f t="shared" ca="1" si="402"/>
        <v>0</v>
      </c>
      <c r="AK107" s="8">
        <f t="shared" ca="1" si="402"/>
        <v>0</v>
      </c>
      <c r="AL107" s="8">
        <f t="shared" ca="1" si="402"/>
        <v>0</v>
      </c>
      <c r="AM107" s="8">
        <f t="shared" ca="1" si="402"/>
        <v>0</v>
      </c>
    </row>
    <row r="108" spans="1:39" x14ac:dyDescent="0.2">
      <c r="A108" s="4" t="s">
        <v>54</v>
      </c>
      <c r="C108" s="8">
        <f>IFERROR(IF(C102=0,VLOOKUP($A101,$33:$36,C$1+2,FALSE),0),0)</f>
        <v>0</v>
      </c>
      <c r="D108" s="8">
        <f ca="1">IFERROR(IF(D102=0,VLOOKUP($A101,$33:$36,D$1+2,FALSE),0),0)</f>
        <v>0</v>
      </c>
      <c r="E108" s="8">
        <f ca="1">IFERROR(IF(E102=0,VLOOKUP($A101,$33:$36,E$1+2,FALSE),0),0)</f>
        <v>0</v>
      </c>
      <c r="F108" s="8">
        <f ca="1">IFERROR(IF(F102=0,VLOOKUP($A101,$33:$36,F$1+2,FALSE),0),0)</f>
        <v>0</v>
      </c>
      <c r="G108" s="8">
        <f ca="1">IFERROR(IF(G102=0,VLOOKUP($A101,$33:$36,G$1+2,FALSE),0),0)</f>
        <v>0</v>
      </c>
      <c r="H108" s="8">
        <f ca="1">IFERROR(IF(H102=0,VLOOKUP($A101,$33:$36,H$1+2,FALSE),0),0)</f>
        <v>0</v>
      </c>
      <c r="I108" s="8">
        <f t="shared" ref="I108:AM108" ca="1" si="403">IFERROR(IF(I102=0,VLOOKUP($A101,$33:$36,I$1+2,FALSE),0),0)</f>
        <v>0</v>
      </c>
      <c r="J108" s="8">
        <f t="shared" ca="1" si="403"/>
        <v>0</v>
      </c>
      <c r="K108" s="8">
        <f t="shared" ca="1" si="403"/>
        <v>0</v>
      </c>
      <c r="L108" s="8">
        <f t="shared" ca="1" si="403"/>
        <v>0</v>
      </c>
      <c r="M108" s="8">
        <f t="shared" ca="1" si="403"/>
        <v>0</v>
      </c>
      <c r="N108" s="8">
        <f t="shared" ca="1" si="403"/>
        <v>0</v>
      </c>
      <c r="O108" s="8">
        <f t="shared" ca="1" si="403"/>
        <v>0</v>
      </c>
      <c r="P108" s="8">
        <f t="shared" ca="1" si="403"/>
        <v>0</v>
      </c>
      <c r="Q108" s="8">
        <f t="shared" ca="1" si="403"/>
        <v>0</v>
      </c>
      <c r="R108" s="8">
        <f t="shared" ca="1" si="403"/>
        <v>0</v>
      </c>
      <c r="S108" s="8">
        <f t="shared" ca="1" si="403"/>
        <v>0</v>
      </c>
      <c r="T108" s="8">
        <f t="shared" ca="1" si="403"/>
        <v>0</v>
      </c>
      <c r="U108" s="8">
        <f t="shared" ca="1" si="403"/>
        <v>0</v>
      </c>
      <c r="V108" s="8">
        <f t="shared" ca="1" si="403"/>
        <v>0</v>
      </c>
      <c r="W108" s="8">
        <f t="shared" ca="1" si="403"/>
        <v>0</v>
      </c>
      <c r="X108" s="8">
        <f t="shared" ca="1" si="403"/>
        <v>0</v>
      </c>
      <c r="Y108" s="8">
        <f t="shared" ca="1" si="403"/>
        <v>0</v>
      </c>
      <c r="Z108" s="8">
        <f t="shared" ca="1" si="403"/>
        <v>0</v>
      </c>
      <c r="AA108" s="8">
        <f t="shared" ca="1" si="403"/>
        <v>0</v>
      </c>
      <c r="AB108" s="8">
        <f t="shared" ca="1" si="403"/>
        <v>0</v>
      </c>
      <c r="AC108" s="8">
        <f t="shared" ca="1" si="403"/>
        <v>0</v>
      </c>
      <c r="AD108" s="8">
        <f t="shared" ca="1" si="403"/>
        <v>0</v>
      </c>
      <c r="AE108" s="8">
        <f t="shared" ca="1" si="403"/>
        <v>0</v>
      </c>
      <c r="AF108" s="8">
        <f t="shared" ca="1" si="403"/>
        <v>0</v>
      </c>
      <c r="AG108" s="8">
        <f t="shared" ca="1" si="403"/>
        <v>0</v>
      </c>
      <c r="AH108" s="8">
        <f t="shared" ca="1" si="403"/>
        <v>0</v>
      </c>
      <c r="AI108" s="8">
        <f t="shared" ca="1" si="403"/>
        <v>0</v>
      </c>
      <c r="AJ108" s="8">
        <f t="shared" ca="1" si="403"/>
        <v>0</v>
      </c>
      <c r="AK108" s="8">
        <f t="shared" ca="1" si="403"/>
        <v>0</v>
      </c>
      <c r="AL108" s="8">
        <f t="shared" ca="1" si="403"/>
        <v>0</v>
      </c>
      <c r="AM108" s="8">
        <f t="shared" ca="1" si="403"/>
        <v>0</v>
      </c>
    </row>
    <row r="109" spans="1:39" x14ac:dyDescent="0.2">
      <c r="A109" s="4" t="s">
        <v>40</v>
      </c>
      <c r="B109" s="16" t="str">
        <f>A101</f>
        <v>Qormi</v>
      </c>
      <c r="C109" s="8">
        <f ca="1">IF(AND(C102&gt;0,C105=0),VLOOKUP($A101,$61:$64,C$1+2,FALSE),0)</f>
        <v>0</v>
      </c>
      <c r="D109" s="8">
        <f ca="1">IF(AND(D102&gt;0,D105=0),VLOOKUP($A101,$61:$64,D$1+2,FALSE),0)</f>
        <v>0</v>
      </c>
      <c r="E109" s="8">
        <f ca="1">IF(AND(E102&gt;0,E105=0),VLOOKUP($A101,$61:$64,E$1+2,FALSE),0)</f>
        <v>0</v>
      </c>
      <c r="F109" s="8">
        <f ca="1">IF(AND(F102&gt;0,F105=0),VLOOKUP($A101,$61:$64,F$1+2,FALSE),0)</f>
        <v>0</v>
      </c>
      <c r="G109" s="8">
        <f ca="1">IF(AND(G102&gt;0,G105=0),VLOOKUP($A101,$61:$64,G$1+2,FALSE),0)</f>
        <v>0</v>
      </c>
      <c r="H109" s="8">
        <f ca="1">IF(AND(H102&gt;0,H105=0),VLOOKUP($A101,$61:$64,H$1+2,FALSE),0)</f>
        <v>0</v>
      </c>
      <c r="I109" s="8">
        <f t="shared" ref="I109:AM109" ca="1" si="404">IF(AND(I102&gt;0,I105=0),VLOOKUP($A101,$61:$64,I$1+2,FALSE),0)</f>
        <v>0</v>
      </c>
      <c r="J109" s="8">
        <f t="shared" ca="1" si="404"/>
        <v>0</v>
      </c>
      <c r="K109" s="8">
        <f t="shared" ca="1" si="404"/>
        <v>0</v>
      </c>
      <c r="L109" s="8">
        <f t="shared" ca="1" si="404"/>
        <v>0</v>
      </c>
      <c r="M109" s="8">
        <f t="shared" ca="1" si="404"/>
        <v>0</v>
      </c>
      <c r="N109" s="8">
        <f t="shared" ca="1" si="404"/>
        <v>0</v>
      </c>
      <c r="O109" s="8">
        <f t="shared" ca="1" si="404"/>
        <v>0</v>
      </c>
      <c r="P109" s="8">
        <f t="shared" ca="1" si="404"/>
        <v>0</v>
      </c>
      <c r="Q109" s="8">
        <f t="shared" ca="1" si="404"/>
        <v>0</v>
      </c>
      <c r="R109" s="8">
        <f t="shared" ca="1" si="404"/>
        <v>0</v>
      </c>
      <c r="S109" s="8">
        <f t="shared" ca="1" si="404"/>
        <v>0</v>
      </c>
      <c r="T109" s="8">
        <f t="shared" ca="1" si="404"/>
        <v>0</v>
      </c>
      <c r="U109" s="8">
        <f t="shared" ca="1" si="404"/>
        <v>0</v>
      </c>
      <c r="V109" s="8">
        <f t="shared" ca="1" si="404"/>
        <v>0</v>
      </c>
      <c r="W109" s="8">
        <f t="shared" ca="1" si="404"/>
        <v>0</v>
      </c>
      <c r="X109" s="8">
        <f t="shared" ca="1" si="404"/>
        <v>0</v>
      </c>
      <c r="Y109" s="8">
        <f t="shared" ca="1" si="404"/>
        <v>0</v>
      </c>
      <c r="Z109" s="8">
        <f t="shared" ca="1" si="404"/>
        <v>0</v>
      </c>
      <c r="AA109" s="8">
        <f t="shared" ca="1" si="404"/>
        <v>0</v>
      </c>
      <c r="AB109" s="8">
        <f t="shared" ca="1" si="404"/>
        <v>0</v>
      </c>
      <c r="AC109" s="8">
        <f t="shared" ca="1" si="404"/>
        <v>0</v>
      </c>
      <c r="AD109" s="8">
        <f t="shared" ca="1" si="404"/>
        <v>0</v>
      </c>
      <c r="AE109" s="8">
        <f t="shared" ca="1" si="404"/>
        <v>0</v>
      </c>
      <c r="AF109" s="8">
        <f t="shared" ca="1" si="404"/>
        <v>0</v>
      </c>
      <c r="AG109" s="8">
        <f t="shared" ca="1" si="404"/>
        <v>0</v>
      </c>
      <c r="AH109" s="8">
        <f t="shared" ca="1" si="404"/>
        <v>0</v>
      </c>
      <c r="AI109" s="8">
        <f t="shared" ca="1" si="404"/>
        <v>0</v>
      </c>
      <c r="AJ109" s="8">
        <f t="shared" ca="1" si="404"/>
        <v>0</v>
      </c>
      <c r="AK109" s="8">
        <f t="shared" ca="1" si="404"/>
        <v>0</v>
      </c>
      <c r="AL109" s="8">
        <f t="shared" ca="1" si="404"/>
        <v>0</v>
      </c>
      <c r="AM109" s="8">
        <f t="shared" ca="1" si="404"/>
        <v>0</v>
      </c>
    </row>
    <row r="110" spans="1:39" x14ac:dyDescent="0.2">
      <c r="A110" s="4" t="s">
        <v>41</v>
      </c>
      <c r="C110" s="8">
        <f ca="1">-C103+SUM(C106:C109)</f>
        <v>0</v>
      </c>
      <c r="D110" s="8">
        <f t="shared" ref="D110" ca="1" si="405">-D103+SUM(D106:D109)</f>
        <v>0</v>
      </c>
      <c r="E110" s="8">
        <f t="shared" ref="E110:G110" ca="1" si="406">-E103+SUM(E106:E109)</f>
        <v>0</v>
      </c>
      <c r="F110" s="8">
        <f t="shared" ca="1" si="406"/>
        <v>0</v>
      </c>
      <c r="G110" s="8">
        <f t="shared" ca="1" si="406"/>
        <v>0</v>
      </c>
      <c r="H110" s="8">
        <f t="shared" ref="H110:AM110" ca="1" si="407">-H103+SUM(H106:H109)</f>
        <v>0</v>
      </c>
      <c r="I110" s="8">
        <f t="shared" ref="I110:AM110" ca="1" si="408">-I103+SUM(I106:I109)</f>
        <v>0</v>
      </c>
      <c r="J110" s="8">
        <f t="shared" ca="1" si="408"/>
        <v>0</v>
      </c>
      <c r="K110" s="8">
        <f t="shared" ca="1" si="408"/>
        <v>0</v>
      </c>
      <c r="L110" s="8">
        <f t="shared" ca="1" si="408"/>
        <v>0</v>
      </c>
      <c r="M110" s="8">
        <f t="shared" ca="1" si="408"/>
        <v>0</v>
      </c>
      <c r="N110" s="8">
        <f t="shared" ca="1" si="408"/>
        <v>0</v>
      </c>
      <c r="O110" s="8">
        <f t="shared" ca="1" si="408"/>
        <v>0</v>
      </c>
      <c r="P110" s="8">
        <f t="shared" ca="1" si="408"/>
        <v>0</v>
      </c>
      <c r="Q110" s="8">
        <f t="shared" ca="1" si="408"/>
        <v>0</v>
      </c>
      <c r="R110" s="8">
        <f t="shared" ca="1" si="408"/>
        <v>0</v>
      </c>
      <c r="S110" s="8">
        <f t="shared" ca="1" si="408"/>
        <v>0</v>
      </c>
      <c r="T110" s="8">
        <f t="shared" ca="1" si="408"/>
        <v>0</v>
      </c>
      <c r="U110" s="8">
        <f t="shared" ca="1" si="408"/>
        <v>0</v>
      </c>
      <c r="V110" s="8">
        <f t="shared" ca="1" si="408"/>
        <v>0</v>
      </c>
      <c r="W110" s="8">
        <f t="shared" ca="1" si="408"/>
        <v>0</v>
      </c>
      <c r="X110" s="8">
        <f t="shared" ca="1" si="408"/>
        <v>0</v>
      </c>
      <c r="Y110" s="8">
        <f t="shared" ca="1" si="408"/>
        <v>0</v>
      </c>
      <c r="Z110" s="8">
        <f t="shared" ca="1" si="408"/>
        <v>0</v>
      </c>
      <c r="AA110" s="8">
        <f t="shared" ca="1" si="408"/>
        <v>0</v>
      </c>
      <c r="AB110" s="8">
        <f t="shared" ca="1" si="408"/>
        <v>0</v>
      </c>
      <c r="AC110" s="8">
        <f t="shared" ca="1" si="408"/>
        <v>0</v>
      </c>
      <c r="AD110" s="8">
        <f t="shared" ca="1" si="408"/>
        <v>0</v>
      </c>
      <c r="AE110" s="8">
        <f t="shared" ca="1" si="408"/>
        <v>0</v>
      </c>
      <c r="AF110" s="8">
        <f t="shared" ca="1" si="408"/>
        <v>0</v>
      </c>
      <c r="AG110" s="8">
        <f t="shared" ca="1" si="408"/>
        <v>0</v>
      </c>
      <c r="AH110" s="8">
        <f t="shared" ca="1" si="408"/>
        <v>0</v>
      </c>
      <c r="AI110" s="8">
        <f t="shared" ca="1" si="408"/>
        <v>0</v>
      </c>
      <c r="AJ110" s="8">
        <f t="shared" ca="1" si="408"/>
        <v>0</v>
      </c>
      <c r="AK110" s="8">
        <f t="shared" ca="1" si="408"/>
        <v>0</v>
      </c>
      <c r="AL110" s="8">
        <f t="shared" ca="1" si="408"/>
        <v>0</v>
      </c>
      <c r="AM110" s="8">
        <f t="shared" ca="1" si="408"/>
        <v>0</v>
      </c>
    </row>
    <row r="111" spans="1:39" x14ac:dyDescent="0.2">
      <c r="A111" s="4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</row>
    <row r="112" spans="1:39" x14ac:dyDescent="0.2">
      <c r="A112" s="4" t="s">
        <v>87</v>
      </c>
      <c r="C112" s="8">
        <f ca="1">C98+SUM($C110:C110)</f>
        <v>35752.5</v>
      </c>
      <c r="D112" s="8">
        <f ca="1">D98+SUM($C110:D110)</f>
        <v>64902.8125</v>
      </c>
      <c r="E112" s="8">
        <f ca="1">E98+SUM($C110:E110)</f>
        <v>74244.712499999994</v>
      </c>
      <c r="F112" s="8">
        <f ca="1">F98+SUM($C110:F110)</f>
        <v>115351.48395239323</v>
      </c>
      <c r="G112" s="8">
        <f ca="1">G98+SUM($C110:G110)</f>
        <v>161221.49120440619</v>
      </c>
      <c r="H112" s="8">
        <f ca="1">H98+SUM($C110:H110)</f>
        <v>221189.83792477695</v>
      </c>
      <c r="I112" s="8">
        <f ca="1">I98+SUM($C110:I110)</f>
        <v>191316.96765010577</v>
      </c>
      <c r="J112" s="8">
        <f ca="1">J98+SUM($C110:J110)</f>
        <v>142082.45452169742</v>
      </c>
      <c r="K112" s="8">
        <f ca="1">K98+SUM($C110:K110)</f>
        <v>171064.10395191278</v>
      </c>
      <c r="L112" s="8">
        <f ca="1">L98+SUM($C110:L110)</f>
        <v>105851.09277158603</v>
      </c>
      <c r="M112" s="8">
        <f ca="1">M98+SUM($C110:M110)</f>
        <v>90439.675347308294</v>
      </c>
      <c r="N112" s="8">
        <f ca="1">N98+SUM($C110:N110)</f>
        <v>74370.637418947314</v>
      </c>
      <c r="O112" s="8">
        <f ca="1">O98+SUM($C110:O110)</f>
        <v>57626.853316192486</v>
      </c>
      <c r="P112" s="8">
        <f ca="1">P98+SUM($C110:P110)</f>
        <v>40190.935794602876</v>
      </c>
      <c r="Q112" s="8">
        <f ca="1">Q98+SUM($C110:Q110)</f>
        <v>22045.239171341629</v>
      </c>
      <c r="R112" s="8">
        <f ca="1">R98+SUM($C110:R110)</f>
        <v>3171.8629465080521</v>
      </c>
      <c r="S112" s="8">
        <f ca="1">S98+SUM($C110:S110)</f>
        <v>3092.4611692916151</v>
      </c>
      <c r="T112" s="8">
        <f ca="1">T98+SUM($C110:T110)</f>
        <v>10929.014126519869</v>
      </c>
      <c r="U112" s="8">
        <f ca="1">U98+SUM($C110:U110)</f>
        <v>19381.488177530009</v>
      </c>
      <c r="V112" s="8">
        <f ca="1">V98+SUM($C110:V110)</f>
        <v>28483.312318437413</v>
      </c>
      <c r="W112" s="8">
        <f ca="1">W98+SUM($C110:W110)</f>
        <v>38269.427968090327</v>
      </c>
      <c r="X112" s="8">
        <f ca="1">X98+SUM($C110:X110)</f>
        <v>28369.430980525751</v>
      </c>
      <c r="Y112" s="8">
        <f ca="1">Y98+SUM($C110:Y110)</f>
        <v>18208.047989181272</v>
      </c>
      <c r="Z112" s="8">
        <f ca="1">Z98+SUM($C110:Z110)</f>
        <v>7786.87315912747</v>
      </c>
      <c r="AA112" s="8">
        <f ca="1">AA98+SUM($C110:AA110)</f>
        <v>0</v>
      </c>
      <c r="AB112" s="8">
        <f ca="1">AB98+SUM($C110:AB110)</f>
        <v>0</v>
      </c>
      <c r="AC112" s="8">
        <f ca="1">AC98+SUM($C110:AC110)</f>
        <v>0</v>
      </c>
      <c r="AD112" s="8">
        <f ca="1">AD98+SUM($C110:AD110)</f>
        <v>0</v>
      </c>
      <c r="AE112" s="8">
        <f ca="1">AE98+SUM($C110:AE110)</f>
        <v>0</v>
      </c>
      <c r="AF112" s="8">
        <f ca="1">AF98+SUM($C110:AF110)</f>
        <v>0</v>
      </c>
      <c r="AG112" s="8">
        <f ca="1">AG98+SUM($C110:AG110)</f>
        <v>0</v>
      </c>
      <c r="AH112" s="8">
        <f ca="1">AH98+SUM($C110:AH110)</f>
        <v>0</v>
      </c>
      <c r="AI112" s="8">
        <f ca="1">AI98+SUM($C110:AI110)</f>
        <v>0</v>
      </c>
      <c r="AJ112" s="8">
        <f ca="1">AJ98+SUM($C110:AJ110)</f>
        <v>303.74788620701293</v>
      </c>
      <c r="AK112" s="8">
        <f ca="1">AK98+SUM($C110:AK110)</f>
        <v>1019.3938381763583</v>
      </c>
      <c r="AL112" s="8">
        <f ca="1">AL98+SUM($C110:AL110)</f>
        <v>2179.4276191970421</v>
      </c>
      <c r="AM112" s="8">
        <f ca="1">AM98+SUM($C110:AM110)</f>
        <v>3818.0685855042539</v>
      </c>
    </row>
    <row r="113" spans="1:39" x14ac:dyDescent="0.2">
      <c r="A113" s="4" t="s">
        <v>84</v>
      </c>
      <c r="C113" s="8">
        <f t="shared" ref="C113:AM113" ca="1" si="409">MAX(C112+buffer,0)-MAX(C98+buffer,0)</f>
        <v>0</v>
      </c>
      <c r="D113" s="8">
        <f t="shared" ca="1" si="409"/>
        <v>0</v>
      </c>
      <c r="E113" s="8">
        <f t="shared" ca="1" si="409"/>
        <v>0</v>
      </c>
      <c r="F113" s="8">
        <f t="shared" ca="1" si="409"/>
        <v>0</v>
      </c>
      <c r="G113" s="8">
        <f t="shared" ca="1" si="409"/>
        <v>0</v>
      </c>
      <c r="H113" s="8">
        <f t="shared" ca="1" si="409"/>
        <v>0</v>
      </c>
      <c r="I113" s="8">
        <f t="shared" ref="I113:AM113" ca="1" si="410">MAX(I112+buffer,0)-MAX(I98+buffer,0)</f>
        <v>0</v>
      </c>
      <c r="J113" s="8">
        <f t="shared" ca="1" si="410"/>
        <v>0</v>
      </c>
      <c r="K113" s="8">
        <f t="shared" ca="1" si="410"/>
        <v>0</v>
      </c>
      <c r="L113" s="8">
        <f t="shared" ca="1" si="410"/>
        <v>0</v>
      </c>
      <c r="M113" s="8">
        <f t="shared" ca="1" si="410"/>
        <v>0</v>
      </c>
      <c r="N113" s="8">
        <f t="shared" ca="1" si="410"/>
        <v>0</v>
      </c>
      <c r="O113" s="8">
        <f t="shared" ca="1" si="410"/>
        <v>0</v>
      </c>
      <c r="P113" s="8">
        <f t="shared" ca="1" si="410"/>
        <v>0</v>
      </c>
      <c r="Q113" s="8">
        <f t="shared" ca="1" si="410"/>
        <v>0</v>
      </c>
      <c r="R113" s="8">
        <f t="shared" ca="1" si="410"/>
        <v>0</v>
      </c>
      <c r="S113" s="8">
        <f t="shared" ca="1" si="410"/>
        <v>0</v>
      </c>
      <c r="T113" s="8">
        <f t="shared" ca="1" si="410"/>
        <v>0</v>
      </c>
      <c r="U113" s="8">
        <f t="shared" ca="1" si="410"/>
        <v>0</v>
      </c>
      <c r="V113" s="8">
        <f t="shared" ca="1" si="410"/>
        <v>0</v>
      </c>
      <c r="W113" s="8">
        <f t="shared" ca="1" si="410"/>
        <v>0</v>
      </c>
      <c r="X113" s="8">
        <f t="shared" ca="1" si="410"/>
        <v>0</v>
      </c>
      <c r="Y113" s="8">
        <f t="shared" ca="1" si="410"/>
        <v>0</v>
      </c>
      <c r="Z113" s="8">
        <f t="shared" ca="1" si="410"/>
        <v>0</v>
      </c>
      <c r="AA113" s="8">
        <f t="shared" ca="1" si="410"/>
        <v>0</v>
      </c>
      <c r="AB113" s="8">
        <f t="shared" ca="1" si="410"/>
        <v>0</v>
      </c>
      <c r="AC113" s="8">
        <f t="shared" ca="1" si="410"/>
        <v>0</v>
      </c>
      <c r="AD113" s="8">
        <f t="shared" ca="1" si="410"/>
        <v>0</v>
      </c>
      <c r="AE113" s="8">
        <f t="shared" ca="1" si="410"/>
        <v>0</v>
      </c>
      <c r="AF113" s="8">
        <f t="shared" ca="1" si="410"/>
        <v>0</v>
      </c>
      <c r="AG113" s="8">
        <f t="shared" ca="1" si="410"/>
        <v>0</v>
      </c>
      <c r="AH113" s="8">
        <f t="shared" ca="1" si="410"/>
        <v>0</v>
      </c>
      <c r="AI113" s="8">
        <f t="shared" ca="1" si="410"/>
        <v>0</v>
      </c>
      <c r="AJ113" s="8">
        <f t="shared" ca="1" si="410"/>
        <v>0</v>
      </c>
      <c r="AK113" s="8">
        <f t="shared" ca="1" si="410"/>
        <v>0</v>
      </c>
      <c r="AL113" s="8">
        <f t="shared" ca="1" si="410"/>
        <v>0</v>
      </c>
      <c r="AM113" s="8">
        <f t="shared" ca="1" si="410"/>
        <v>0</v>
      </c>
    </row>
    <row r="114" spans="1:39" x14ac:dyDescent="0.2">
      <c r="A114" s="4" t="s">
        <v>85</v>
      </c>
      <c r="C114" s="8">
        <f ca="1">C113*Inputs!$B$149</f>
        <v>0</v>
      </c>
      <c r="D114" s="8">
        <f ca="1">D113*Inputs!$B$149</f>
        <v>0</v>
      </c>
      <c r="E114" s="8">
        <f ca="1">E113*Inputs!$B$149</f>
        <v>0</v>
      </c>
      <c r="F114" s="8">
        <f ca="1">F113*Inputs!$B$149</f>
        <v>0</v>
      </c>
      <c r="G114" s="8">
        <f ca="1">G113*Inputs!$B$149</f>
        <v>0</v>
      </c>
      <c r="H114" s="8">
        <f ca="1">H113*Inputs!$B$149</f>
        <v>0</v>
      </c>
      <c r="I114" s="8">
        <f ca="1">I113*Inputs!$B$149</f>
        <v>0</v>
      </c>
      <c r="J114" s="8">
        <f ca="1">J113*Inputs!$B$149</f>
        <v>0</v>
      </c>
      <c r="K114" s="8">
        <f ca="1">K113*Inputs!$B$149</f>
        <v>0</v>
      </c>
      <c r="L114" s="8">
        <f ca="1">L113*Inputs!$B$149</f>
        <v>0</v>
      </c>
      <c r="M114" s="8">
        <f ca="1">M113*Inputs!$B$149</f>
        <v>0</v>
      </c>
      <c r="N114" s="8">
        <f ca="1">N113*Inputs!$B$149</f>
        <v>0</v>
      </c>
      <c r="O114" s="8">
        <f ca="1">O113*Inputs!$B$149</f>
        <v>0</v>
      </c>
      <c r="P114" s="8">
        <f ca="1">P113*Inputs!$B$149</f>
        <v>0</v>
      </c>
      <c r="Q114" s="8">
        <f ca="1">Q113*Inputs!$B$149</f>
        <v>0</v>
      </c>
      <c r="R114" s="8">
        <f ca="1">R113*Inputs!$B$149</f>
        <v>0</v>
      </c>
      <c r="S114" s="8">
        <f ca="1">S113*Inputs!$B$149</f>
        <v>0</v>
      </c>
      <c r="T114" s="8">
        <f ca="1">T113*Inputs!$B$149</f>
        <v>0</v>
      </c>
      <c r="U114" s="8">
        <f ca="1">U113*Inputs!$B$149</f>
        <v>0</v>
      </c>
      <c r="V114" s="8">
        <f ca="1">V113*Inputs!$B$149</f>
        <v>0</v>
      </c>
      <c r="W114" s="8">
        <f ca="1">W113*Inputs!$B$149</f>
        <v>0</v>
      </c>
      <c r="X114" s="8">
        <f ca="1">X113*Inputs!$B$149</f>
        <v>0</v>
      </c>
      <c r="Y114" s="8">
        <f ca="1">Y113*Inputs!$B$149</f>
        <v>0</v>
      </c>
      <c r="Z114" s="8">
        <f ca="1">Z113*Inputs!$B$149</f>
        <v>0</v>
      </c>
      <c r="AA114" s="8">
        <f ca="1">AA113*Inputs!$B$149</f>
        <v>0</v>
      </c>
      <c r="AB114" s="8">
        <f ca="1">AB113*Inputs!$B$149</f>
        <v>0</v>
      </c>
      <c r="AC114" s="8">
        <f ca="1">AC113*Inputs!$B$149</f>
        <v>0</v>
      </c>
      <c r="AD114" s="8">
        <f ca="1">AD113*Inputs!$B$149</f>
        <v>0</v>
      </c>
      <c r="AE114" s="8">
        <f ca="1">AE113*Inputs!$B$149</f>
        <v>0</v>
      </c>
      <c r="AF114" s="8">
        <f ca="1">AF113*Inputs!$B$149</f>
        <v>0</v>
      </c>
      <c r="AG114" s="8">
        <f ca="1">AG113*Inputs!$B$149</f>
        <v>0</v>
      </c>
      <c r="AH114" s="8">
        <f ca="1">AH113*Inputs!$B$149</f>
        <v>0</v>
      </c>
      <c r="AI114" s="8">
        <f ca="1">AI113*Inputs!$B$149</f>
        <v>0</v>
      </c>
      <c r="AJ114" s="8">
        <f ca="1">AJ113*Inputs!$B$149</f>
        <v>0</v>
      </c>
      <c r="AK114" s="8">
        <f ca="1">AK113*Inputs!$B$149</f>
        <v>0</v>
      </c>
      <c r="AL114" s="8">
        <f ca="1">AL113*Inputs!$B$149</f>
        <v>0</v>
      </c>
      <c r="AM114" s="8">
        <f ca="1">AM113*Inputs!$B$149</f>
        <v>0</v>
      </c>
    </row>
    <row r="115" spans="1:39" x14ac:dyDescent="0.2">
      <c r="A115" s="4" t="s">
        <v>168</v>
      </c>
      <c r="C115" s="8">
        <f ca="1">C112+SUM($C114:C114)</f>
        <v>35752.5</v>
      </c>
      <c r="D115" s="8">
        <f ca="1">D112+SUM($C114:D114)</f>
        <v>64902.8125</v>
      </c>
      <c r="E115" s="8">
        <f ca="1">E112+SUM($C114:E114)</f>
        <v>74244.712499999994</v>
      </c>
      <c r="F115" s="8">
        <f ca="1">F112+SUM($C114:F114)</f>
        <v>115351.48395239323</v>
      </c>
      <c r="G115" s="8">
        <f ca="1">G112+SUM($C114:G114)</f>
        <v>161221.49120440619</v>
      </c>
      <c r="H115" s="8">
        <f ca="1">H112+SUM($C114:H114)</f>
        <v>221189.83792477695</v>
      </c>
      <c r="I115" s="8">
        <f ca="1">I112+SUM($C114:I114)</f>
        <v>191316.96765010577</v>
      </c>
      <c r="J115" s="8">
        <f ca="1">J112+SUM($C114:J114)</f>
        <v>142082.45452169742</v>
      </c>
      <c r="K115" s="8">
        <f ca="1">K112+SUM($C114:K114)</f>
        <v>171064.10395191278</v>
      </c>
      <c r="L115" s="8">
        <f ca="1">L112+SUM($C114:L114)</f>
        <v>105851.09277158603</v>
      </c>
      <c r="M115" s="8">
        <f ca="1">M112+SUM($C114:M114)</f>
        <v>90439.675347308294</v>
      </c>
      <c r="N115" s="8">
        <f ca="1">N112+SUM($C114:N114)</f>
        <v>74370.637418947314</v>
      </c>
      <c r="O115" s="8">
        <f ca="1">O112+SUM($C114:O114)</f>
        <v>57626.853316192486</v>
      </c>
      <c r="P115" s="8">
        <f ca="1">P112+SUM($C114:P114)</f>
        <v>40190.935794602876</v>
      </c>
      <c r="Q115" s="8">
        <f ca="1">Q112+SUM($C114:Q114)</f>
        <v>22045.239171341629</v>
      </c>
      <c r="R115" s="8">
        <f ca="1">R112+SUM($C114:R114)</f>
        <v>3171.8629465080521</v>
      </c>
      <c r="S115" s="8">
        <f ca="1">S112+SUM($C114:S114)</f>
        <v>3092.4611692916151</v>
      </c>
      <c r="T115" s="8">
        <f ca="1">T112+SUM($C114:T114)</f>
        <v>10929.014126519869</v>
      </c>
      <c r="U115" s="8">
        <f ca="1">U112+SUM($C114:U114)</f>
        <v>19381.488177530009</v>
      </c>
      <c r="V115" s="8">
        <f ca="1">V112+SUM($C114:V114)</f>
        <v>28483.312318437413</v>
      </c>
      <c r="W115" s="8">
        <f ca="1">W112+SUM($C114:W114)</f>
        <v>38269.427968090327</v>
      </c>
      <c r="X115" s="8">
        <f ca="1">X112+SUM($C114:X114)</f>
        <v>28369.430980525751</v>
      </c>
      <c r="Y115" s="8">
        <f ca="1">Y112+SUM($C114:Y114)</f>
        <v>18208.047989181272</v>
      </c>
      <c r="Z115" s="8">
        <f ca="1">Z112+SUM($C114:Z114)</f>
        <v>7786.87315912747</v>
      </c>
      <c r="AA115" s="8">
        <f ca="1">AA112+SUM($C114:AA114)</f>
        <v>0</v>
      </c>
      <c r="AB115" s="8">
        <f ca="1">AB112+SUM($C114:AB114)</f>
        <v>0</v>
      </c>
      <c r="AC115" s="8">
        <f ca="1">AC112+SUM($C114:AC114)</f>
        <v>0</v>
      </c>
      <c r="AD115" s="8">
        <f ca="1">AD112+SUM($C114:AD114)</f>
        <v>0</v>
      </c>
      <c r="AE115" s="8">
        <f ca="1">AE112+SUM($C114:AE114)</f>
        <v>0</v>
      </c>
      <c r="AF115" s="8">
        <f ca="1">AF112+SUM($C114:AF114)</f>
        <v>0</v>
      </c>
      <c r="AG115" s="8">
        <f ca="1">AG112+SUM($C114:AG114)</f>
        <v>0</v>
      </c>
      <c r="AH115" s="8">
        <f ca="1">AH112+SUM($C114:AH114)</f>
        <v>0</v>
      </c>
      <c r="AI115" s="8">
        <f ca="1">AI112+SUM($C114:AI114)</f>
        <v>0</v>
      </c>
      <c r="AJ115" s="8">
        <f ca="1">AJ112+SUM($C114:AJ114)</f>
        <v>303.74788620701293</v>
      </c>
      <c r="AK115" s="8">
        <f ca="1">AK112+SUM($C114:AK114)</f>
        <v>1019.3938381763583</v>
      </c>
      <c r="AL115" s="8">
        <f ca="1">AL112+SUM($C114:AL114)</f>
        <v>2179.4276191970421</v>
      </c>
      <c r="AM115" s="8">
        <f ca="1">AM112+SUM($C114:AM114)</f>
        <v>3818.0685855042539</v>
      </c>
    </row>
    <row r="116" spans="1:39" x14ac:dyDescent="0.2">
      <c r="A116" s="4" t="s">
        <v>21</v>
      </c>
      <c r="C116" s="8">
        <f ca="1">IF(C115&lt;0,C115,0)</f>
        <v>0</v>
      </c>
      <c r="D116" s="8">
        <f ca="1">IF(D115+SUM($C116:C116)&lt;0,-(D115+SUM($C116:C116)),0)</f>
        <v>0</v>
      </c>
      <c r="E116" s="8">
        <f ca="1">IF(E115+SUM($C116:D116)&lt;0,-(E115+SUM($C116:D116)),0)</f>
        <v>0</v>
      </c>
      <c r="F116" s="8">
        <f ca="1">IF(F115+SUM($C116:E116)&lt;0,-(F115+SUM($C116:E116)),0)</f>
        <v>0</v>
      </c>
      <c r="G116" s="8">
        <f ca="1">IF(G115+SUM($C116:F116)&lt;0,-(G115+SUM($C116:F116)),0)</f>
        <v>0</v>
      </c>
      <c r="H116" s="8">
        <f ca="1">IF(H115+SUM($C116:G116)&lt;0,-(H115+SUM($C116:G116)),0)</f>
        <v>0</v>
      </c>
      <c r="I116" s="8">
        <f ca="1">IF(I115+SUM($C116:H116)&lt;0,-(I115+SUM($C116:H116)),0)</f>
        <v>0</v>
      </c>
      <c r="J116" s="8">
        <f ca="1">IF(J115+SUM($C116:I116)&lt;0,-(J115+SUM($C116:I116)),0)</f>
        <v>0</v>
      </c>
      <c r="K116" s="8">
        <f ca="1">IF(K115+SUM($C116:J116)&lt;0,-(K115+SUM($C116:J116)),0)</f>
        <v>0</v>
      </c>
      <c r="L116" s="8">
        <f ca="1">IF(L115+SUM($C116:K116)&lt;0,-(L115+SUM($C116:K116)),0)</f>
        <v>0</v>
      </c>
      <c r="M116" s="8">
        <f ca="1">IF(M115+SUM($C116:L116)&lt;0,-(M115+SUM($C116:L116)),0)</f>
        <v>0</v>
      </c>
      <c r="N116" s="8">
        <f ca="1">IF(N115+SUM($C116:M116)&lt;0,-(N115+SUM($C116:M116)),0)</f>
        <v>0</v>
      </c>
      <c r="O116" s="8">
        <f ca="1">IF(O115+SUM($C116:N116)&lt;0,-(O115+SUM($C116:N116)),0)</f>
        <v>0</v>
      </c>
      <c r="P116" s="8">
        <f ca="1">IF(P115+SUM($C116:O116)&lt;0,-(P115+SUM($C116:O116)),0)</f>
        <v>0</v>
      </c>
      <c r="Q116" s="8">
        <f ca="1">IF(Q115+SUM($C116:P116)&lt;0,-(Q115+SUM($C116:P116)),0)</f>
        <v>0</v>
      </c>
      <c r="R116" s="8">
        <f ca="1">IF(R115+SUM($C116:Q116)&lt;0,-(R115+SUM($C116:Q116)),0)</f>
        <v>0</v>
      </c>
      <c r="S116" s="8">
        <f ca="1">IF(S115+SUM($C116:R116)&lt;0,-(S115+SUM($C116:R116)),0)</f>
        <v>0</v>
      </c>
      <c r="T116" s="8">
        <f ca="1">IF(T115+SUM($C116:S116)&lt;0,-(T115+SUM($C116:S116)),0)</f>
        <v>0</v>
      </c>
      <c r="U116" s="8">
        <f ca="1">IF(U115+SUM($C116:T116)&lt;0,-(U115+SUM($C116:T116)),0)</f>
        <v>0</v>
      </c>
      <c r="V116" s="8">
        <f ca="1">IF(V115+SUM($C116:U116)&lt;0,-(V115+SUM($C116:U116)),0)</f>
        <v>0</v>
      </c>
      <c r="W116" s="8">
        <f ca="1">IF(W115+SUM($C116:V116)&lt;0,-(W115+SUM($C116:V116)),0)</f>
        <v>0</v>
      </c>
      <c r="X116" s="8">
        <f ca="1">IF(X115+SUM($C116:W116)&lt;0,-(X115+SUM($C116:W116)),0)</f>
        <v>0</v>
      </c>
      <c r="Y116" s="8">
        <f ca="1">IF(Y115+SUM($C116:X116)&lt;0,-(Y115+SUM($C116:X116)),0)</f>
        <v>0</v>
      </c>
      <c r="Z116" s="8">
        <f ca="1">IF(Z115+SUM($C116:Y116)&lt;0,-(Z115+SUM($C116:Y116)),0)</f>
        <v>0</v>
      </c>
      <c r="AA116" s="8">
        <f ca="1">IF(AA115+SUM($C116:Z116)&lt;0,-(AA115+SUM($C116:Z116)),0)</f>
        <v>0</v>
      </c>
      <c r="AB116" s="8">
        <f ca="1">IF(AB115+SUM($C116:AA116)&lt;0,-(AB115+SUM($C116:AA116)),0)</f>
        <v>0</v>
      </c>
      <c r="AC116" s="8">
        <f ca="1">IF(AC115+SUM($C116:AB116)&lt;0,-(AC115+SUM($C116:AB116)),0)</f>
        <v>0</v>
      </c>
      <c r="AD116" s="8">
        <f ca="1">IF(AD115+SUM($C116:AC116)&lt;0,-(AD115+SUM($C116:AC116)),0)</f>
        <v>0</v>
      </c>
      <c r="AE116" s="8">
        <f ca="1">IF(AE115+SUM($C116:AD116)&lt;0,-(AE115+SUM($C116:AD116)),0)</f>
        <v>0</v>
      </c>
      <c r="AF116" s="8">
        <f ca="1">IF(AF115+SUM($C116:AE116)&lt;0,-(AF115+SUM($C116:AE116)),0)</f>
        <v>0</v>
      </c>
      <c r="AG116" s="8">
        <f ca="1">IF(AG115+SUM($C116:AF116)&lt;0,-(AG115+SUM($C116:AF116)),0)</f>
        <v>0</v>
      </c>
      <c r="AH116" s="8">
        <f ca="1">IF(AH115+SUM($C116:AG116)&lt;0,-(AH115+SUM($C116:AG116)),0)</f>
        <v>0</v>
      </c>
      <c r="AI116" s="8">
        <f ca="1">IF(AI115+SUM($C116:AH116)&lt;0,-(AI115+SUM($C116:AH116)),0)</f>
        <v>0</v>
      </c>
      <c r="AJ116" s="8">
        <f ca="1">IF(AJ115+SUM($C116:AI116)&lt;0,-(AJ115+SUM($C116:AI116)),0)</f>
        <v>0</v>
      </c>
      <c r="AK116" s="8">
        <f ca="1">IF(AK115+SUM($C116:AJ116)&lt;0,-(AK115+SUM($C116:AJ116)),0)</f>
        <v>0</v>
      </c>
      <c r="AL116" s="8">
        <f ca="1">IF(AL115+SUM($C116:AK116)&lt;0,-(AL115+SUM($C116:AK116)),0)</f>
        <v>0</v>
      </c>
      <c r="AM116" s="8">
        <f ca="1">IF(AM115+SUM($C116:AL116)&lt;0,-(AM115+SUM($C116:AL116)),0)</f>
        <v>0</v>
      </c>
    </row>
    <row r="117" spans="1:39" x14ac:dyDescent="0.2"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</row>
    <row r="118" spans="1:39" x14ac:dyDescent="0.2">
      <c r="A118" s="29" t="str">
        <f>IF(Inputs!$B$165=6,IFERROR(_xlfn.XLOOKUP($B118,Inputs!$B$166:$B$168,Inputs!$A$166:$A$168,,0,1),""),IFERROR(_xlfn.XLOOKUP($B118,Inputs!$C$166:$C$168,Inputs!$A$166:$A$168,,0,1),""))</f>
        <v>Sliema</v>
      </c>
      <c r="B118" s="31">
        <v>3</v>
      </c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</row>
    <row r="119" spans="1:39" x14ac:dyDescent="0.2">
      <c r="A119" s="4" t="s">
        <v>23</v>
      </c>
      <c r="C119" s="8">
        <f>IFERROR(VLOOKUP($A118,$A$52:$H$66,C$1+2,FALSE),0)</f>
        <v>309000</v>
      </c>
      <c r="D119" s="8">
        <f ca="1">C122</f>
        <v>309000</v>
      </c>
      <c r="E119" s="8">
        <f t="shared" ref="E119:AM119" ca="1" si="411">D122</f>
        <v>318270</v>
      </c>
      <c r="F119" s="8">
        <f t="shared" ca="1" si="411"/>
        <v>327818.09999999998</v>
      </c>
      <c r="G119" s="8">
        <f t="shared" ca="1" si="411"/>
        <v>337652.64299999998</v>
      </c>
      <c r="H119" s="8">
        <f t="shared" ca="1" si="411"/>
        <v>347782.22229000001</v>
      </c>
      <c r="I119" s="8">
        <f t="shared" ref="I119" ca="1" si="412">H122</f>
        <v>358215.68895869999</v>
      </c>
      <c r="J119" s="8">
        <f t="shared" ref="J119" ca="1" si="413">I122</f>
        <v>368962.15962746099</v>
      </c>
      <c r="K119" s="8">
        <f t="shared" ref="K119" ca="1" si="414">J122</f>
        <v>380031.02441628481</v>
      </c>
      <c r="L119" s="8">
        <f t="shared" ref="L119" ca="1" si="415">K122</f>
        <v>391431.95514877333</v>
      </c>
      <c r="M119" s="8">
        <f t="shared" ref="M119" ca="1" si="416">L122</f>
        <v>403174.9138032365</v>
      </c>
      <c r="N119" s="8">
        <f t="shared" ref="N119" ca="1" si="417">M122</f>
        <v>415270.16121733357</v>
      </c>
      <c r="O119" s="8">
        <f t="shared" ref="O119" ca="1" si="418">N122</f>
        <v>427728.26605385356</v>
      </c>
      <c r="P119" s="8">
        <f t="shared" ref="P119" ca="1" si="419">O122</f>
        <v>440560.11403546919</v>
      </c>
      <c r="Q119" s="8">
        <f t="shared" ref="Q119" ca="1" si="420">P122</f>
        <v>453776.91745653324</v>
      </c>
      <c r="R119" s="8">
        <f t="shared" ref="R119" ca="1" si="421">Q122</f>
        <v>467390.22498022922</v>
      </c>
      <c r="S119" s="8">
        <f t="shared" ref="S119" ca="1" si="422">R122</f>
        <v>481411.9317296361</v>
      </c>
      <c r="T119" s="8">
        <f t="shared" ref="T119" ca="1" si="423">S122</f>
        <v>495854.2896815252</v>
      </c>
      <c r="U119" s="8">
        <f t="shared" ref="U119" ca="1" si="424">T122</f>
        <v>510729.91837197094</v>
      </c>
      <c r="V119" s="8">
        <f t="shared" ref="V119" ca="1" si="425">U122</f>
        <v>526051.81592313002</v>
      </c>
      <c r="W119" s="8">
        <f t="shared" ref="W119" ca="1" si="426">V122</f>
        <v>541833.37040082389</v>
      </c>
      <c r="X119" s="8">
        <f t="shared" ref="X119" ca="1" si="427">W122</f>
        <v>558088.37151284865</v>
      </c>
      <c r="Y119" s="8">
        <f t="shared" ref="Y119" ca="1" si="428">X122</f>
        <v>574831.02265823411</v>
      </c>
      <c r="Z119" s="8">
        <f t="shared" ref="Z119" ca="1" si="429">Y122</f>
        <v>592075.95333798113</v>
      </c>
      <c r="AA119" s="8">
        <f t="shared" ref="AA119" ca="1" si="430">Z122</f>
        <v>609838.23193812056</v>
      </c>
      <c r="AB119" s="8">
        <f t="shared" ref="AB119" ca="1" si="431">AA122</f>
        <v>628133.37889626413</v>
      </c>
      <c r="AC119" s="8">
        <f t="shared" ref="AC119" ca="1" si="432">AB122</f>
        <v>646977.38026315207</v>
      </c>
      <c r="AD119" s="8">
        <f t="shared" ref="AD119" ca="1" si="433">AC122</f>
        <v>666386.70167104667</v>
      </c>
      <c r="AE119" s="8">
        <f t="shared" ref="AE119" ca="1" si="434">AD122</f>
        <v>686378.30272117804</v>
      </c>
      <c r="AF119" s="8">
        <f t="shared" ref="AF119" ca="1" si="435">AE122</f>
        <v>706969.6518028134</v>
      </c>
      <c r="AG119" s="8">
        <f t="shared" ref="AG119" ca="1" si="436">AF122</f>
        <v>728178.74135689775</v>
      </c>
      <c r="AH119" s="8">
        <f t="shared" ref="AH119" ca="1" si="437">AG122</f>
        <v>750024.10359760467</v>
      </c>
      <c r="AI119" s="8">
        <f t="shared" ref="AI119" ca="1" si="438">AH122</f>
        <v>772524.82670553285</v>
      </c>
      <c r="AJ119" s="8">
        <f t="shared" ref="AJ119" ca="1" si="439">AI122</f>
        <v>795700.57150669885</v>
      </c>
      <c r="AK119" s="8">
        <f t="shared" ref="AK119" ca="1" si="440">AJ122</f>
        <v>819571.58865189983</v>
      </c>
      <c r="AL119" s="8">
        <f t="shared" ref="AL119" ca="1" si="441">AK122</f>
        <v>844158.73631145677</v>
      </c>
      <c r="AM119" s="8">
        <f t="shared" ref="AM119" ca="1" si="442">AL122</f>
        <v>869483.49840080051</v>
      </c>
    </row>
    <row r="120" spans="1:39" x14ac:dyDescent="0.2">
      <c r="A120" s="4" t="s">
        <v>24</v>
      </c>
      <c r="C120" s="8">
        <f ca="1">-IF(SUM(C116:D116)&gt;0,C119,0)</f>
        <v>0</v>
      </c>
      <c r="D120" s="8">
        <f ca="1">-IF(E116&gt;0,D119,0)</f>
        <v>0</v>
      </c>
      <c r="E120" s="8">
        <f ca="1">-IF(F116&gt;0,E119,0)</f>
        <v>0</v>
      </c>
      <c r="F120" s="8">
        <f ca="1">-IF(G116&gt;0,F119,0)</f>
        <v>0</v>
      </c>
      <c r="G120" s="8">
        <f t="shared" ref="G120:AL120" ca="1" si="443">-IF(H116&gt;0,G119,0)</f>
        <v>0</v>
      </c>
      <c r="H120" s="8">
        <f t="shared" ca="1" si="443"/>
        <v>0</v>
      </c>
      <c r="I120" s="8">
        <f t="shared" ref="I120" ca="1" si="444">-IF(J116&gt;0,I119,0)</f>
        <v>0</v>
      </c>
      <c r="J120" s="8">
        <f t="shared" ref="J120" ca="1" si="445">-IF(K116&gt;0,J119,0)</f>
        <v>0</v>
      </c>
      <c r="K120" s="8">
        <f t="shared" ref="K120" ca="1" si="446">-IF(L116&gt;0,K119,0)</f>
        <v>0</v>
      </c>
      <c r="L120" s="8">
        <f t="shared" ref="L120" ca="1" si="447">-IF(M116&gt;0,L119,0)</f>
        <v>0</v>
      </c>
      <c r="M120" s="8">
        <f t="shared" ref="M120" ca="1" si="448">-IF(N116&gt;0,M119,0)</f>
        <v>0</v>
      </c>
      <c r="N120" s="8">
        <f t="shared" ref="N120" ca="1" si="449">-IF(O116&gt;0,N119,0)</f>
        <v>0</v>
      </c>
      <c r="O120" s="8">
        <f t="shared" ref="O120" ca="1" si="450">-IF(P116&gt;0,O119,0)</f>
        <v>0</v>
      </c>
      <c r="P120" s="8">
        <f t="shared" ref="P120" ca="1" si="451">-IF(Q116&gt;0,P119,0)</f>
        <v>0</v>
      </c>
      <c r="Q120" s="8">
        <f t="shared" ref="Q120" ca="1" si="452">-IF(R116&gt;0,Q119,0)</f>
        <v>0</v>
      </c>
      <c r="R120" s="8">
        <f t="shared" ref="R120" ca="1" si="453">-IF(S116&gt;0,R119,0)</f>
        <v>0</v>
      </c>
      <c r="S120" s="8">
        <f t="shared" ref="S120" ca="1" si="454">-IF(T116&gt;0,S119,0)</f>
        <v>0</v>
      </c>
      <c r="T120" s="8">
        <f t="shared" ref="T120" ca="1" si="455">-IF(U116&gt;0,T119,0)</f>
        <v>0</v>
      </c>
      <c r="U120" s="8">
        <f t="shared" ref="U120" ca="1" si="456">-IF(V116&gt;0,U119,0)</f>
        <v>0</v>
      </c>
      <c r="V120" s="8">
        <f t="shared" ref="V120" ca="1" si="457">-IF(W116&gt;0,V119,0)</f>
        <v>0</v>
      </c>
      <c r="W120" s="8">
        <f t="shared" ref="W120" ca="1" si="458">-IF(X116&gt;0,W119,0)</f>
        <v>0</v>
      </c>
      <c r="X120" s="8">
        <f t="shared" ref="X120" ca="1" si="459">-IF(Y116&gt;0,X119,0)</f>
        <v>0</v>
      </c>
      <c r="Y120" s="8">
        <f t="shared" ref="Y120" ca="1" si="460">-IF(Z116&gt;0,Y119,0)</f>
        <v>0</v>
      </c>
      <c r="Z120" s="8">
        <f t="shared" ref="Z120" ca="1" si="461">-IF(AA116&gt;0,Z119,0)</f>
        <v>0</v>
      </c>
      <c r="AA120" s="8">
        <f t="shared" ref="AA120" ca="1" si="462">-IF(AB116&gt;0,AA119,0)</f>
        <v>0</v>
      </c>
      <c r="AB120" s="8">
        <f t="shared" ref="AB120" ca="1" si="463">-IF(AC116&gt;0,AB119,0)</f>
        <v>0</v>
      </c>
      <c r="AC120" s="8">
        <f t="shared" ref="AC120" ca="1" si="464">-IF(AD116&gt;0,AC119,0)</f>
        <v>0</v>
      </c>
      <c r="AD120" s="8">
        <f t="shared" ref="AD120" ca="1" si="465">-IF(AE116&gt;0,AD119,0)</f>
        <v>0</v>
      </c>
      <c r="AE120" s="8">
        <f t="shared" ref="AE120" ca="1" si="466">-IF(AF116&gt;0,AE119,0)</f>
        <v>0</v>
      </c>
      <c r="AF120" s="8">
        <f t="shared" ref="AF120" ca="1" si="467">-IF(AG116&gt;0,AF119,0)</f>
        <v>0</v>
      </c>
      <c r="AG120" s="8">
        <f t="shared" ref="AG120" ca="1" si="468">-IF(AH116&gt;0,AG119,0)</f>
        <v>0</v>
      </c>
      <c r="AH120" s="8">
        <f t="shared" ref="AH120" ca="1" si="469">-IF(AI116&gt;0,AH119,0)</f>
        <v>0</v>
      </c>
      <c r="AI120" s="8">
        <f t="shared" ref="AI120" ca="1" si="470">-IF(AJ116&gt;0,AI119,0)</f>
        <v>0</v>
      </c>
      <c r="AJ120" s="8">
        <f t="shared" ref="AJ120" ca="1" si="471">-IF(AK116&gt;0,AJ119,0)</f>
        <v>0</v>
      </c>
      <c r="AK120" s="8">
        <f t="shared" ref="AK120" ca="1" si="472">-IF(AL116&gt;0,AK119,0)</f>
        <v>0</v>
      </c>
      <c r="AL120" s="8">
        <f t="shared" ref="AL120" ca="1" si="473">-IF(AM116&gt;0,AL119,0)</f>
        <v>0</v>
      </c>
      <c r="AM120" s="8">
        <f t="shared" ref="AM120" si="474">-IF(AN116&gt;0,AM119,0)</f>
        <v>0</v>
      </c>
    </row>
    <row r="121" spans="1:39" x14ac:dyDescent="0.2">
      <c r="A121" s="4" t="s">
        <v>25</v>
      </c>
      <c r="C121" s="8">
        <v>0</v>
      </c>
      <c r="D121" s="8">
        <f t="shared" ref="D121:G121" ca="1" si="475">SUM(D119:D120)*princ</f>
        <v>9270</v>
      </c>
      <c r="E121" s="8">
        <f t="shared" ca="1" si="475"/>
        <v>9548.1</v>
      </c>
      <c r="F121" s="8">
        <f t="shared" ca="1" si="475"/>
        <v>9834.5429999999997</v>
      </c>
      <c r="G121" s="8">
        <f t="shared" ca="1" si="475"/>
        <v>10129.57929</v>
      </c>
      <c r="H121" s="8">
        <f t="shared" ref="H121:AM121" ca="1" si="476">SUM(H119:H120)*princ</f>
        <v>10433.466668699999</v>
      </c>
      <c r="I121" s="8">
        <f t="shared" ref="I121:AM121" ca="1" si="477">SUM(I119:I120)*princ</f>
        <v>10746.470668761</v>
      </c>
      <c r="J121" s="8">
        <f t="shared" ca="1" si="477"/>
        <v>11068.86478882383</v>
      </c>
      <c r="K121" s="8">
        <f t="shared" ca="1" si="477"/>
        <v>11400.930732488543</v>
      </c>
      <c r="L121" s="8">
        <f t="shared" ca="1" si="477"/>
        <v>11742.9586544632</v>
      </c>
      <c r="M121" s="8">
        <f t="shared" ca="1" si="477"/>
        <v>12095.247414097095</v>
      </c>
      <c r="N121" s="8">
        <f t="shared" ca="1" si="477"/>
        <v>12458.104836520008</v>
      </c>
      <c r="O121" s="8">
        <f t="shared" ca="1" si="477"/>
        <v>12831.847981615607</v>
      </c>
      <c r="P121" s="8">
        <f t="shared" ca="1" si="477"/>
        <v>13216.803421064074</v>
      </c>
      <c r="Q121" s="8">
        <f t="shared" ca="1" si="477"/>
        <v>13613.307523695996</v>
      </c>
      <c r="R121" s="8">
        <f t="shared" ca="1" si="477"/>
        <v>14021.706749406876</v>
      </c>
      <c r="S121" s="8">
        <f t="shared" ca="1" si="477"/>
        <v>14442.357951889082</v>
      </c>
      <c r="T121" s="8">
        <f t="shared" ca="1" si="477"/>
        <v>14875.628690445756</v>
      </c>
      <c r="U121" s="8">
        <f t="shared" ca="1" si="477"/>
        <v>15321.897551159127</v>
      </c>
      <c r="V121" s="8">
        <f t="shared" ca="1" si="477"/>
        <v>15781.5544776939</v>
      </c>
      <c r="W121" s="8">
        <f t="shared" ca="1" si="477"/>
        <v>16255.001112024716</v>
      </c>
      <c r="X121" s="8">
        <f t="shared" ca="1" si="477"/>
        <v>16742.651145385458</v>
      </c>
      <c r="Y121" s="8">
        <f t="shared" ca="1" si="477"/>
        <v>17244.930679747024</v>
      </c>
      <c r="Z121" s="8">
        <f t="shared" ca="1" si="477"/>
        <v>17762.278600139434</v>
      </c>
      <c r="AA121" s="8">
        <f t="shared" ca="1" si="477"/>
        <v>18295.146958143618</v>
      </c>
      <c r="AB121" s="8">
        <f t="shared" ca="1" si="477"/>
        <v>18844.001366887922</v>
      </c>
      <c r="AC121" s="8">
        <f t="shared" ca="1" si="477"/>
        <v>19409.32140789456</v>
      </c>
      <c r="AD121" s="8">
        <f t="shared" ca="1" si="477"/>
        <v>19991.601050131398</v>
      </c>
      <c r="AE121" s="8">
        <f t="shared" ca="1" si="477"/>
        <v>20591.349081635341</v>
      </c>
      <c r="AF121" s="8">
        <f t="shared" ca="1" si="477"/>
        <v>21209.089554084403</v>
      </c>
      <c r="AG121" s="8">
        <f t="shared" ca="1" si="477"/>
        <v>21845.362240706931</v>
      </c>
      <c r="AH121" s="8">
        <f t="shared" ca="1" si="477"/>
        <v>22500.723107928141</v>
      </c>
      <c r="AI121" s="8">
        <f t="shared" ca="1" si="477"/>
        <v>23175.744801165984</v>
      </c>
      <c r="AJ121" s="8">
        <f t="shared" ca="1" si="477"/>
        <v>23871.017145200964</v>
      </c>
      <c r="AK121" s="8">
        <f t="shared" ca="1" si="477"/>
        <v>24587.147659556995</v>
      </c>
      <c r="AL121" s="8">
        <f t="shared" ca="1" si="477"/>
        <v>25324.762089343702</v>
      </c>
      <c r="AM121" s="8">
        <f t="shared" ca="1" si="477"/>
        <v>26084.504952024014</v>
      </c>
    </row>
    <row r="122" spans="1:39" x14ac:dyDescent="0.2">
      <c r="A122" s="4" t="s">
        <v>26</v>
      </c>
      <c r="C122" s="8">
        <f ca="1">SUM(C119:C121)</f>
        <v>309000</v>
      </c>
      <c r="D122" s="8">
        <f t="shared" ref="D122:G122" ca="1" si="478">SUM(D119:D121)</f>
        <v>318270</v>
      </c>
      <c r="E122" s="8">
        <f t="shared" ca="1" si="478"/>
        <v>327818.09999999998</v>
      </c>
      <c r="F122" s="8">
        <f t="shared" ca="1" si="478"/>
        <v>337652.64299999998</v>
      </c>
      <c r="G122" s="8">
        <f t="shared" ca="1" si="478"/>
        <v>347782.22229000001</v>
      </c>
      <c r="H122" s="8">
        <f t="shared" ref="H122:AM122" ca="1" si="479">SUM(H119:H121)</f>
        <v>358215.68895869999</v>
      </c>
      <c r="I122" s="8">
        <f t="shared" ref="I122:AM122" ca="1" si="480">SUM(I119:I121)</f>
        <v>368962.15962746099</v>
      </c>
      <c r="J122" s="8">
        <f t="shared" ca="1" si="480"/>
        <v>380031.02441628481</v>
      </c>
      <c r="K122" s="8">
        <f t="shared" ca="1" si="480"/>
        <v>391431.95514877333</v>
      </c>
      <c r="L122" s="8">
        <f t="shared" ca="1" si="480"/>
        <v>403174.9138032365</v>
      </c>
      <c r="M122" s="8">
        <f t="shared" ca="1" si="480"/>
        <v>415270.16121733357</v>
      </c>
      <c r="N122" s="8">
        <f t="shared" ca="1" si="480"/>
        <v>427728.26605385356</v>
      </c>
      <c r="O122" s="8">
        <f t="shared" ca="1" si="480"/>
        <v>440560.11403546919</v>
      </c>
      <c r="P122" s="8">
        <f t="shared" ca="1" si="480"/>
        <v>453776.91745653324</v>
      </c>
      <c r="Q122" s="8">
        <f t="shared" ca="1" si="480"/>
        <v>467390.22498022922</v>
      </c>
      <c r="R122" s="8">
        <f t="shared" ca="1" si="480"/>
        <v>481411.9317296361</v>
      </c>
      <c r="S122" s="8">
        <f t="shared" ca="1" si="480"/>
        <v>495854.2896815252</v>
      </c>
      <c r="T122" s="8">
        <f t="shared" ca="1" si="480"/>
        <v>510729.91837197094</v>
      </c>
      <c r="U122" s="8">
        <f t="shared" ca="1" si="480"/>
        <v>526051.81592313002</v>
      </c>
      <c r="V122" s="8">
        <f t="shared" ca="1" si="480"/>
        <v>541833.37040082389</v>
      </c>
      <c r="W122" s="8">
        <f t="shared" ca="1" si="480"/>
        <v>558088.37151284865</v>
      </c>
      <c r="X122" s="8">
        <f t="shared" ca="1" si="480"/>
        <v>574831.02265823411</v>
      </c>
      <c r="Y122" s="8">
        <f t="shared" ca="1" si="480"/>
        <v>592075.95333798113</v>
      </c>
      <c r="Z122" s="8">
        <f t="shared" ca="1" si="480"/>
        <v>609838.23193812056</v>
      </c>
      <c r="AA122" s="8">
        <f t="shared" ca="1" si="480"/>
        <v>628133.37889626413</v>
      </c>
      <c r="AB122" s="8">
        <f t="shared" ca="1" si="480"/>
        <v>646977.38026315207</v>
      </c>
      <c r="AC122" s="8">
        <f t="shared" ca="1" si="480"/>
        <v>666386.70167104667</v>
      </c>
      <c r="AD122" s="8">
        <f t="shared" ca="1" si="480"/>
        <v>686378.30272117804</v>
      </c>
      <c r="AE122" s="8">
        <f t="shared" ca="1" si="480"/>
        <v>706969.6518028134</v>
      </c>
      <c r="AF122" s="8">
        <f t="shared" ca="1" si="480"/>
        <v>728178.74135689775</v>
      </c>
      <c r="AG122" s="8">
        <f t="shared" ca="1" si="480"/>
        <v>750024.10359760467</v>
      </c>
      <c r="AH122" s="8">
        <f t="shared" ca="1" si="480"/>
        <v>772524.82670553285</v>
      </c>
      <c r="AI122" s="8">
        <f t="shared" ca="1" si="480"/>
        <v>795700.57150669885</v>
      </c>
      <c r="AJ122" s="8">
        <f t="shared" ca="1" si="480"/>
        <v>819571.58865189983</v>
      </c>
      <c r="AK122" s="8">
        <f t="shared" ca="1" si="480"/>
        <v>844158.73631145677</v>
      </c>
      <c r="AL122" s="8">
        <f t="shared" ca="1" si="480"/>
        <v>869483.49840080051</v>
      </c>
      <c r="AM122" s="8">
        <f t="shared" ca="1" si="480"/>
        <v>895568.00335282448</v>
      </c>
    </row>
    <row r="123" spans="1:39" x14ac:dyDescent="0.2">
      <c r="A123" s="4" t="s">
        <v>27</v>
      </c>
      <c r="C123" s="8">
        <f ca="1">C120*Inputs!$B$163</f>
        <v>0</v>
      </c>
      <c r="D123" s="8">
        <f ca="1">D120*Inputs!$B$163</f>
        <v>0</v>
      </c>
      <c r="E123" s="8">
        <f ca="1">E120*Inputs!$B$163</f>
        <v>0</v>
      </c>
      <c r="F123" s="8">
        <f ca="1">F120*Inputs!$B$163</f>
        <v>0</v>
      </c>
      <c r="G123" s="8">
        <f ca="1">G120*Inputs!$B$163</f>
        <v>0</v>
      </c>
      <c r="H123" s="8">
        <f ca="1">H120*Inputs!$B$163</f>
        <v>0</v>
      </c>
      <c r="I123" s="8">
        <f ca="1">I120*Inputs!$B$163</f>
        <v>0</v>
      </c>
      <c r="J123" s="8">
        <f ca="1">J120*Inputs!$B$163</f>
        <v>0</v>
      </c>
      <c r="K123" s="8">
        <f ca="1">K120*Inputs!$B$163</f>
        <v>0</v>
      </c>
      <c r="L123" s="8">
        <f ca="1">L120*Inputs!$B$163</f>
        <v>0</v>
      </c>
      <c r="M123" s="8">
        <f ca="1">M120*Inputs!$B$163</f>
        <v>0</v>
      </c>
      <c r="N123" s="8">
        <f ca="1">N120*Inputs!$B$163</f>
        <v>0</v>
      </c>
      <c r="O123" s="8">
        <f ca="1">O120*Inputs!$B$163</f>
        <v>0</v>
      </c>
      <c r="P123" s="8">
        <f ca="1">P120*Inputs!$B$163</f>
        <v>0</v>
      </c>
      <c r="Q123" s="8">
        <f ca="1">Q120*Inputs!$B$163</f>
        <v>0</v>
      </c>
      <c r="R123" s="8">
        <f ca="1">R120*Inputs!$B$163</f>
        <v>0</v>
      </c>
      <c r="S123" s="8">
        <f ca="1">S120*Inputs!$B$163</f>
        <v>0</v>
      </c>
      <c r="T123" s="8">
        <f ca="1">T120*Inputs!$B$163</f>
        <v>0</v>
      </c>
      <c r="U123" s="8">
        <f ca="1">U120*Inputs!$B$163</f>
        <v>0</v>
      </c>
      <c r="V123" s="8">
        <f ca="1">V120*Inputs!$B$163</f>
        <v>0</v>
      </c>
      <c r="W123" s="8">
        <f ca="1">W120*Inputs!$B$163</f>
        <v>0</v>
      </c>
      <c r="X123" s="8">
        <f ca="1">X120*Inputs!$B$163</f>
        <v>0</v>
      </c>
      <c r="Y123" s="8">
        <f ca="1">Y120*Inputs!$B$163</f>
        <v>0</v>
      </c>
      <c r="Z123" s="8">
        <f ca="1">Z120*Inputs!$B$163</f>
        <v>0</v>
      </c>
      <c r="AA123" s="8">
        <f ca="1">AA120*Inputs!$B$163</f>
        <v>0</v>
      </c>
      <c r="AB123" s="8">
        <f ca="1">AB120*Inputs!$B$163</f>
        <v>0</v>
      </c>
      <c r="AC123" s="8">
        <f ca="1">AC120*Inputs!$B$163</f>
        <v>0</v>
      </c>
      <c r="AD123" s="8">
        <f ca="1">AD120*Inputs!$B$163</f>
        <v>0</v>
      </c>
      <c r="AE123" s="8">
        <f ca="1">AE120*Inputs!$B$163</f>
        <v>0</v>
      </c>
      <c r="AF123" s="8">
        <f ca="1">AF120*Inputs!$B$163</f>
        <v>0</v>
      </c>
      <c r="AG123" s="8">
        <f ca="1">AG120*Inputs!$B$163</f>
        <v>0</v>
      </c>
      <c r="AH123" s="8">
        <f ca="1">AH120*Inputs!$B$163</f>
        <v>0</v>
      </c>
      <c r="AI123" s="8">
        <f ca="1">AI120*Inputs!$B$163</f>
        <v>0</v>
      </c>
      <c r="AJ123" s="8">
        <f ca="1">AJ120*Inputs!$B$163</f>
        <v>0</v>
      </c>
      <c r="AK123" s="8">
        <f ca="1">AK120*Inputs!$B$163</f>
        <v>0</v>
      </c>
      <c r="AL123" s="8">
        <f ca="1">AL120*Inputs!$B$163</f>
        <v>0</v>
      </c>
      <c r="AM123" s="8">
        <f>AM120*Inputs!$B$163</f>
        <v>0</v>
      </c>
    </row>
    <row r="124" spans="1:39" x14ac:dyDescent="0.2">
      <c r="A124" s="4" t="s">
        <v>34</v>
      </c>
      <c r="C124" s="8">
        <f>IFERROR(-IF(C119=0,VLOOKUP($A118,$7:$10,C$1+2,FALSE),0),0)</f>
        <v>0</v>
      </c>
      <c r="D124" s="8">
        <f ca="1">IFERROR(-IF(D119=0,VLOOKUP($A118,$7:$10,D$1+2,FALSE),0),0)</f>
        <v>0</v>
      </c>
      <c r="E124" s="8">
        <f ca="1">IFERROR(-IF(E119=0,VLOOKUP($A118,$7:$10,E$1+2,FALSE),0),0)</f>
        <v>0</v>
      </c>
      <c r="F124" s="8">
        <f ca="1">IFERROR(-IF(F119=0,VLOOKUP($A118,$7:$10,F$1+2,FALSE),0),0)</f>
        <v>0</v>
      </c>
      <c r="G124" s="8">
        <f ca="1">IFERROR(-IF(G119=0,VLOOKUP($A118,$7:$10,G$1+2,FALSE),0),0)</f>
        <v>0</v>
      </c>
      <c r="H124" s="8">
        <f ca="1">IFERROR(-IF(H119=0,VLOOKUP($A118,$7:$10,H$1+2,FALSE),0),0)</f>
        <v>0</v>
      </c>
      <c r="I124" s="8">
        <f t="shared" ref="I124:AM124" ca="1" si="481">IFERROR(-IF(I119=0,VLOOKUP($A118,$7:$10,I$1+2,FALSE),0),0)</f>
        <v>0</v>
      </c>
      <c r="J124" s="8">
        <f t="shared" ca="1" si="481"/>
        <v>0</v>
      </c>
      <c r="K124" s="8">
        <f t="shared" ca="1" si="481"/>
        <v>0</v>
      </c>
      <c r="L124" s="8">
        <f t="shared" ca="1" si="481"/>
        <v>0</v>
      </c>
      <c r="M124" s="8">
        <f t="shared" ca="1" si="481"/>
        <v>0</v>
      </c>
      <c r="N124" s="8">
        <f t="shared" ca="1" si="481"/>
        <v>0</v>
      </c>
      <c r="O124" s="8">
        <f t="shared" ca="1" si="481"/>
        <v>0</v>
      </c>
      <c r="P124" s="8">
        <f t="shared" ca="1" si="481"/>
        <v>0</v>
      </c>
      <c r="Q124" s="8">
        <f t="shared" ca="1" si="481"/>
        <v>0</v>
      </c>
      <c r="R124" s="8">
        <f t="shared" ca="1" si="481"/>
        <v>0</v>
      </c>
      <c r="S124" s="8">
        <f t="shared" ca="1" si="481"/>
        <v>0</v>
      </c>
      <c r="T124" s="8">
        <f t="shared" ca="1" si="481"/>
        <v>0</v>
      </c>
      <c r="U124" s="8">
        <f t="shared" ca="1" si="481"/>
        <v>0</v>
      </c>
      <c r="V124" s="8">
        <f t="shared" ca="1" si="481"/>
        <v>0</v>
      </c>
      <c r="W124" s="8">
        <f t="shared" ca="1" si="481"/>
        <v>0</v>
      </c>
      <c r="X124" s="8">
        <f t="shared" ca="1" si="481"/>
        <v>0</v>
      </c>
      <c r="Y124" s="8">
        <f t="shared" ca="1" si="481"/>
        <v>0</v>
      </c>
      <c r="Z124" s="8">
        <f t="shared" ca="1" si="481"/>
        <v>0</v>
      </c>
      <c r="AA124" s="8">
        <f t="shared" ca="1" si="481"/>
        <v>0</v>
      </c>
      <c r="AB124" s="8">
        <f t="shared" ca="1" si="481"/>
        <v>0</v>
      </c>
      <c r="AC124" s="8">
        <f t="shared" ca="1" si="481"/>
        <v>0</v>
      </c>
      <c r="AD124" s="8">
        <f t="shared" ca="1" si="481"/>
        <v>0</v>
      </c>
      <c r="AE124" s="8">
        <f t="shared" ca="1" si="481"/>
        <v>0</v>
      </c>
      <c r="AF124" s="8">
        <f t="shared" ca="1" si="481"/>
        <v>0</v>
      </c>
      <c r="AG124" s="8">
        <f t="shared" ca="1" si="481"/>
        <v>0</v>
      </c>
      <c r="AH124" s="8">
        <f t="shared" ca="1" si="481"/>
        <v>0</v>
      </c>
      <c r="AI124" s="8">
        <f t="shared" ca="1" si="481"/>
        <v>0</v>
      </c>
      <c r="AJ124" s="8">
        <f t="shared" ca="1" si="481"/>
        <v>0</v>
      </c>
      <c r="AK124" s="8">
        <f t="shared" ca="1" si="481"/>
        <v>0</v>
      </c>
      <c r="AL124" s="8">
        <f t="shared" ca="1" si="481"/>
        <v>0</v>
      </c>
      <c r="AM124" s="8">
        <f t="shared" ca="1" si="481"/>
        <v>0</v>
      </c>
    </row>
    <row r="125" spans="1:39" x14ac:dyDescent="0.2">
      <c r="A125" s="4" t="s">
        <v>54</v>
      </c>
      <c r="C125" s="8">
        <f>IFERROR(IF(C119=0,VLOOKUP($A118,$33:$36,C$1+2,FALSE),0),0)</f>
        <v>0</v>
      </c>
      <c r="D125" s="8">
        <f ca="1">IFERROR(IF(D119=0,VLOOKUP($A118,$33:$36,D$1+2,FALSE),0),0)</f>
        <v>0</v>
      </c>
      <c r="E125" s="8">
        <f ca="1">IFERROR(IF(E119=0,VLOOKUP($A118,$33:$36,E$1+2,FALSE),0),0)</f>
        <v>0</v>
      </c>
      <c r="F125" s="8">
        <f ca="1">IFERROR(IF(F119=0,VLOOKUP($A118,$33:$36,F$1+2,FALSE),0),0)</f>
        <v>0</v>
      </c>
      <c r="G125" s="8">
        <f ca="1">IFERROR(IF(G119=0,VLOOKUP($A118,$33:$36,G$1+2,FALSE),0),0)</f>
        <v>0</v>
      </c>
      <c r="H125" s="8">
        <f ca="1">IFERROR(IF(H119=0,VLOOKUP($A118,$33:$36,H$1+2,FALSE),0),0)</f>
        <v>0</v>
      </c>
      <c r="I125" s="8">
        <f t="shared" ref="I125:AM125" ca="1" si="482">IFERROR(IF(I119=0,VLOOKUP($A118,$33:$36,I$1+2,FALSE),0),0)</f>
        <v>0</v>
      </c>
      <c r="J125" s="8">
        <f t="shared" ca="1" si="482"/>
        <v>0</v>
      </c>
      <c r="K125" s="8">
        <f t="shared" ca="1" si="482"/>
        <v>0</v>
      </c>
      <c r="L125" s="8">
        <f t="shared" ca="1" si="482"/>
        <v>0</v>
      </c>
      <c r="M125" s="8">
        <f t="shared" ca="1" si="482"/>
        <v>0</v>
      </c>
      <c r="N125" s="8">
        <f t="shared" ca="1" si="482"/>
        <v>0</v>
      </c>
      <c r="O125" s="8">
        <f t="shared" ca="1" si="482"/>
        <v>0</v>
      </c>
      <c r="P125" s="8">
        <f t="shared" ca="1" si="482"/>
        <v>0</v>
      </c>
      <c r="Q125" s="8">
        <f t="shared" ca="1" si="482"/>
        <v>0</v>
      </c>
      <c r="R125" s="8">
        <f t="shared" ca="1" si="482"/>
        <v>0</v>
      </c>
      <c r="S125" s="8">
        <f t="shared" ca="1" si="482"/>
        <v>0</v>
      </c>
      <c r="T125" s="8">
        <f t="shared" ca="1" si="482"/>
        <v>0</v>
      </c>
      <c r="U125" s="8">
        <f t="shared" ca="1" si="482"/>
        <v>0</v>
      </c>
      <c r="V125" s="8">
        <f t="shared" ca="1" si="482"/>
        <v>0</v>
      </c>
      <c r="W125" s="8">
        <f t="shared" ca="1" si="482"/>
        <v>0</v>
      </c>
      <c r="X125" s="8">
        <f t="shared" ca="1" si="482"/>
        <v>0</v>
      </c>
      <c r="Y125" s="8">
        <f t="shared" ca="1" si="482"/>
        <v>0</v>
      </c>
      <c r="Z125" s="8">
        <f t="shared" ca="1" si="482"/>
        <v>0</v>
      </c>
      <c r="AA125" s="8">
        <f t="shared" ca="1" si="482"/>
        <v>0</v>
      </c>
      <c r="AB125" s="8">
        <f t="shared" ca="1" si="482"/>
        <v>0</v>
      </c>
      <c r="AC125" s="8">
        <f t="shared" ca="1" si="482"/>
        <v>0</v>
      </c>
      <c r="AD125" s="8">
        <f t="shared" ca="1" si="482"/>
        <v>0</v>
      </c>
      <c r="AE125" s="8">
        <f t="shared" ca="1" si="482"/>
        <v>0</v>
      </c>
      <c r="AF125" s="8">
        <f t="shared" ca="1" si="482"/>
        <v>0</v>
      </c>
      <c r="AG125" s="8">
        <f t="shared" ca="1" si="482"/>
        <v>0</v>
      </c>
      <c r="AH125" s="8">
        <f t="shared" ca="1" si="482"/>
        <v>0</v>
      </c>
      <c r="AI125" s="8">
        <f t="shared" ca="1" si="482"/>
        <v>0</v>
      </c>
      <c r="AJ125" s="8">
        <f t="shared" ca="1" si="482"/>
        <v>0</v>
      </c>
      <c r="AK125" s="8">
        <f t="shared" ca="1" si="482"/>
        <v>0</v>
      </c>
      <c r="AL125" s="8">
        <f t="shared" ca="1" si="482"/>
        <v>0</v>
      </c>
      <c r="AM125" s="8">
        <f t="shared" ca="1" si="482"/>
        <v>0</v>
      </c>
    </row>
    <row r="126" spans="1:39" x14ac:dyDescent="0.2">
      <c r="A126" s="4" t="s">
        <v>40</v>
      </c>
      <c r="B126" s="16" t="str">
        <f>A118</f>
        <v>Sliema</v>
      </c>
      <c r="C126" s="8">
        <f ca="1">IF(AND(C119&gt;0,C122=0),VLOOKUP($A118,$61:$64,C$1+2,FALSE),0)</f>
        <v>0</v>
      </c>
      <c r="D126" s="8">
        <f ca="1">IF(AND(D119&gt;0,D122=0),VLOOKUP($A118,$61:$64,D$1+2,FALSE),0)</f>
        <v>0</v>
      </c>
      <c r="E126" s="8">
        <f ca="1">IF(AND(E119&gt;0,E122=0),VLOOKUP($A118,$61:$64,E$1+2,FALSE),0)</f>
        <v>0</v>
      </c>
      <c r="F126" s="8">
        <f ca="1">IF(AND(F119&gt;0,F122=0),VLOOKUP($A118,$61:$64,F$1+2,FALSE),0)</f>
        <v>0</v>
      </c>
      <c r="G126" s="8">
        <f ca="1">IF(AND(G119&gt;0,G122=0),VLOOKUP($A118,$61:$64,G$1+2,FALSE),0)</f>
        <v>0</v>
      </c>
      <c r="H126" s="8">
        <f ca="1">IF(AND(H119&gt;0,H122=0),VLOOKUP($A118,$61:$64,H$1+2,FALSE),0)</f>
        <v>0</v>
      </c>
      <c r="I126" s="8">
        <f t="shared" ref="I126:AM126" ca="1" si="483">IF(AND(I119&gt;0,I122=0),VLOOKUP($A118,$61:$64,I$1+2,FALSE),0)</f>
        <v>0</v>
      </c>
      <c r="J126" s="8">
        <f t="shared" ca="1" si="483"/>
        <v>0</v>
      </c>
      <c r="K126" s="8">
        <f t="shared" ca="1" si="483"/>
        <v>0</v>
      </c>
      <c r="L126" s="8">
        <f t="shared" ca="1" si="483"/>
        <v>0</v>
      </c>
      <c r="M126" s="8">
        <f t="shared" ca="1" si="483"/>
        <v>0</v>
      </c>
      <c r="N126" s="8">
        <f t="shared" ca="1" si="483"/>
        <v>0</v>
      </c>
      <c r="O126" s="8">
        <f t="shared" ca="1" si="483"/>
        <v>0</v>
      </c>
      <c r="P126" s="8">
        <f t="shared" ca="1" si="483"/>
        <v>0</v>
      </c>
      <c r="Q126" s="8">
        <f t="shared" ca="1" si="483"/>
        <v>0</v>
      </c>
      <c r="R126" s="8">
        <f t="shared" ca="1" si="483"/>
        <v>0</v>
      </c>
      <c r="S126" s="8">
        <f t="shared" ca="1" si="483"/>
        <v>0</v>
      </c>
      <c r="T126" s="8">
        <f t="shared" ca="1" si="483"/>
        <v>0</v>
      </c>
      <c r="U126" s="8">
        <f t="shared" ca="1" si="483"/>
        <v>0</v>
      </c>
      <c r="V126" s="8">
        <f t="shared" ca="1" si="483"/>
        <v>0</v>
      </c>
      <c r="W126" s="8">
        <f t="shared" ca="1" si="483"/>
        <v>0</v>
      </c>
      <c r="X126" s="8">
        <f t="shared" ca="1" si="483"/>
        <v>0</v>
      </c>
      <c r="Y126" s="8">
        <f t="shared" ca="1" si="483"/>
        <v>0</v>
      </c>
      <c r="Z126" s="8">
        <f t="shared" ca="1" si="483"/>
        <v>0</v>
      </c>
      <c r="AA126" s="8">
        <f t="shared" ca="1" si="483"/>
        <v>0</v>
      </c>
      <c r="AB126" s="8">
        <f t="shared" ca="1" si="483"/>
        <v>0</v>
      </c>
      <c r="AC126" s="8">
        <f t="shared" ca="1" si="483"/>
        <v>0</v>
      </c>
      <c r="AD126" s="8">
        <f t="shared" ca="1" si="483"/>
        <v>0</v>
      </c>
      <c r="AE126" s="8">
        <f t="shared" ca="1" si="483"/>
        <v>0</v>
      </c>
      <c r="AF126" s="8">
        <f t="shared" ca="1" si="483"/>
        <v>0</v>
      </c>
      <c r="AG126" s="8">
        <f t="shared" ca="1" si="483"/>
        <v>0</v>
      </c>
      <c r="AH126" s="8">
        <f t="shared" ca="1" si="483"/>
        <v>0</v>
      </c>
      <c r="AI126" s="8">
        <f t="shared" ca="1" si="483"/>
        <v>0</v>
      </c>
      <c r="AJ126" s="8">
        <f t="shared" ca="1" si="483"/>
        <v>0</v>
      </c>
      <c r="AK126" s="8">
        <f t="shared" ca="1" si="483"/>
        <v>0</v>
      </c>
      <c r="AL126" s="8">
        <f t="shared" ca="1" si="483"/>
        <v>0</v>
      </c>
      <c r="AM126" s="8">
        <f t="shared" ca="1" si="483"/>
        <v>0</v>
      </c>
    </row>
    <row r="127" spans="1:39" x14ac:dyDescent="0.2">
      <c r="A127" s="4" t="s">
        <v>41</v>
      </c>
      <c r="C127" s="8">
        <f ca="1">-C120+SUM(C123:C126)</f>
        <v>0</v>
      </c>
      <c r="D127" s="8">
        <f t="shared" ref="D127" ca="1" si="484">-D120+SUM(D123:D126)</f>
        <v>0</v>
      </c>
      <c r="E127" s="8">
        <f t="shared" ref="E127:G127" ca="1" si="485">-E120+SUM(E123:E126)</f>
        <v>0</v>
      </c>
      <c r="F127" s="8">
        <f t="shared" ca="1" si="485"/>
        <v>0</v>
      </c>
      <c r="G127" s="8">
        <f t="shared" ca="1" si="485"/>
        <v>0</v>
      </c>
      <c r="H127" s="8">
        <f t="shared" ref="H127:AM127" ca="1" si="486">-H120+SUM(H123:H126)</f>
        <v>0</v>
      </c>
      <c r="I127" s="8">
        <f t="shared" ref="I127:AM127" ca="1" si="487">-I120+SUM(I123:I126)</f>
        <v>0</v>
      </c>
      <c r="J127" s="8">
        <f t="shared" ca="1" si="487"/>
        <v>0</v>
      </c>
      <c r="K127" s="8">
        <f t="shared" ca="1" si="487"/>
        <v>0</v>
      </c>
      <c r="L127" s="8">
        <f t="shared" ca="1" si="487"/>
        <v>0</v>
      </c>
      <c r="M127" s="8">
        <f t="shared" ca="1" si="487"/>
        <v>0</v>
      </c>
      <c r="N127" s="8">
        <f t="shared" ca="1" si="487"/>
        <v>0</v>
      </c>
      <c r="O127" s="8">
        <f t="shared" ca="1" si="487"/>
        <v>0</v>
      </c>
      <c r="P127" s="8">
        <f t="shared" ca="1" si="487"/>
        <v>0</v>
      </c>
      <c r="Q127" s="8">
        <f t="shared" ca="1" si="487"/>
        <v>0</v>
      </c>
      <c r="R127" s="8">
        <f t="shared" ca="1" si="487"/>
        <v>0</v>
      </c>
      <c r="S127" s="8">
        <f t="shared" ca="1" si="487"/>
        <v>0</v>
      </c>
      <c r="T127" s="8">
        <f t="shared" ca="1" si="487"/>
        <v>0</v>
      </c>
      <c r="U127" s="8">
        <f t="shared" ca="1" si="487"/>
        <v>0</v>
      </c>
      <c r="V127" s="8">
        <f t="shared" ca="1" si="487"/>
        <v>0</v>
      </c>
      <c r="W127" s="8">
        <f t="shared" ca="1" si="487"/>
        <v>0</v>
      </c>
      <c r="X127" s="8">
        <f t="shared" ca="1" si="487"/>
        <v>0</v>
      </c>
      <c r="Y127" s="8">
        <f t="shared" ca="1" si="487"/>
        <v>0</v>
      </c>
      <c r="Z127" s="8">
        <f t="shared" ca="1" si="487"/>
        <v>0</v>
      </c>
      <c r="AA127" s="8">
        <f t="shared" ca="1" si="487"/>
        <v>0</v>
      </c>
      <c r="AB127" s="8">
        <f t="shared" ca="1" si="487"/>
        <v>0</v>
      </c>
      <c r="AC127" s="8">
        <f t="shared" ca="1" si="487"/>
        <v>0</v>
      </c>
      <c r="AD127" s="8">
        <f t="shared" ca="1" si="487"/>
        <v>0</v>
      </c>
      <c r="AE127" s="8">
        <f t="shared" ca="1" si="487"/>
        <v>0</v>
      </c>
      <c r="AF127" s="8">
        <f t="shared" ca="1" si="487"/>
        <v>0</v>
      </c>
      <c r="AG127" s="8">
        <f t="shared" ca="1" si="487"/>
        <v>0</v>
      </c>
      <c r="AH127" s="8">
        <f t="shared" ca="1" si="487"/>
        <v>0</v>
      </c>
      <c r="AI127" s="8">
        <f t="shared" ca="1" si="487"/>
        <v>0</v>
      </c>
      <c r="AJ127" s="8">
        <f t="shared" ca="1" si="487"/>
        <v>0</v>
      </c>
      <c r="AK127" s="8">
        <f t="shared" ca="1" si="487"/>
        <v>0</v>
      </c>
      <c r="AL127" s="8">
        <f t="shared" ca="1" si="487"/>
        <v>0</v>
      </c>
      <c r="AM127" s="8">
        <f t="shared" ca="1" si="487"/>
        <v>0</v>
      </c>
    </row>
    <row r="128" spans="1:39" x14ac:dyDescent="0.2">
      <c r="A128" s="4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</row>
    <row r="129" spans="1:39" x14ac:dyDescent="0.2">
      <c r="A129" s="4" t="s">
        <v>87</v>
      </c>
      <c r="C129" s="8">
        <f ca="1">C115+SUM($C127:C127)</f>
        <v>35752.5</v>
      </c>
      <c r="D129" s="8">
        <f ca="1">D115+SUM($C127:D127)</f>
        <v>64902.8125</v>
      </c>
      <c r="E129" s="8">
        <f ca="1">E115+SUM($C127:E127)</f>
        <v>74244.712499999994</v>
      </c>
      <c r="F129" s="8">
        <f ca="1">F115+SUM($C127:F127)</f>
        <v>115351.48395239323</v>
      </c>
      <c r="G129" s="8">
        <f ca="1">G115+SUM($C127:G127)</f>
        <v>161221.49120440619</v>
      </c>
      <c r="H129" s="8">
        <f ca="1">H115+SUM($C127:H127)</f>
        <v>221189.83792477695</v>
      </c>
      <c r="I129" s="8">
        <f ca="1">I115+SUM($C127:I127)</f>
        <v>191316.96765010577</v>
      </c>
      <c r="J129" s="8">
        <f ca="1">J115+SUM($C127:J127)</f>
        <v>142082.45452169742</v>
      </c>
      <c r="K129" s="8">
        <f ca="1">K115+SUM($C127:K127)</f>
        <v>171064.10395191278</v>
      </c>
      <c r="L129" s="8">
        <f ca="1">L115+SUM($C127:L127)</f>
        <v>105851.09277158603</v>
      </c>
      <c r="M129" s="8">
        <f ca="1">M115+SUM($C127:M127)</f>
        <v>90439.675347308294</v>
      </c>
      <c r="N129" s="8">
        <f ca="1">N115+SUM($C127:N127)</f>
        <v>74370.637418947314</v>
      </c>
      <c r="O129" s="8">
        <f ca="1">O115+SUM($C127:O127)</f>
        <v>57626.853316192486</v>
      </c>
      <c r="P129" s="8">
        <f ca="1">P115+SUM($C127:P127)</f>
        <v>40190.935794602876</v>
      </c>
      <c r="Q129" s="8">
        <f ca="1">Q115+SUM($C127:Q127)</f>
        <v>22045.239171341629</v>
      </c>
      <c r="R129" s="8">
        <f ca="1">R115+SUM($C127:R127)</f>
        <v>3171.8629465080521</v>
      </c>
      <c r="S129" s="8">
        <f ca="1">S115+SUM($C127:S127)</f>
        <v>3092.4611692916151</v>
      </c>
      <c r="T129" s="8">
        <f ca="1">T115+SUM($C127:T127)</f>
        <v>10929.014126519869</v>
      </c>
      <c r="U129" s="8">
        <f ca="1">U115+SUM($C127:U127)</f>
        <v>19381.488177530009</v>
      </c>
      <c r="V129" s="8">
        <f ca="1">V115+SUM($C127:V127)</f>
        <v>28483.312318437413</v>
      </c>
      <c r="W129" s="8">
        <f ca="1">W115+SUM($C127:W127)</f>
        <v>38269.427968090327</v>
      </c>
      <c r="X129" s="8">
        <f ca="1">X115+SUM($C127:X127)</f>
        <v>28369.430980525751</v>
      </c>
      <c r="Y129" s="8">
        <f ca="1">Y115+SUM($C127:Y127)</f>
        <v>18208.047989181272</v>
      </c>
      <c r="Z129" s="8">
        <f ca="1">Z115+SUM($C127:Z127)</f>
        <v>7786.87315912747</v>
      </c>
      <c r="AA129" s="8">
        <f ca="1">AA115+SUM($C127:AA127)</f>
        <v>0</v>
      </c>
      <c r="AB129" s="8">
        <f ca="1">AB115+SUM($C127:AB127)</f>
        <v>0</v>
      </c>
      <c r="AC129" s="8">
        <f ca="1">AC115+SUM($C127:AC127)</f>
        <v>0</v>
      </c>
      <c r="AD129" s="8">
        <f ca="1">AD115+SUM($C127:AD127)</f>
        <v>0</v>
      </c>
      <c r="AE129" s="8">
        <f ca="1">AE115+SUM($C127:AE127)</f>
        <v>0</v>
      </c>
      <c r="AF129" s="8">
        <f ca="1">AF115+SUM($C127:AF127)</f>
        <v>0</v>
      </c>
      <c r="AG129" s="8">
        <f ca="1">AG115+SUM($C127:AG127)</f>
        <v>0</v>
      </c>
      <c r="AH129" s="8">
        <f ca="1">AH115+SUM($C127:AH127)</f>
        <v>0</v>
      </c>
      <c r="AI129" s="8">
        <f ca="1">AI115+SUM($C127:AI127)</f>
        <v>0</v>
      </c>
      <c r="AJ129" s="8">
        <f ca="1">AJ115+SUM($C127:AJ127)</f>
        <v>303.74788620701293</v>
      </c>
      <c r="AK129" s="8">
        <f ca="1">AK115+SUM($C127:AK127)</f>
        <v>1019.3938381763583</v>
      </c>
      <c r="AL129" s="8">
        <f ca="1">AL115+SUM($C127:AL127)</f>
        <v>2179.4276191970421</v>
      </c>
      <c r="AM129" s="8">
        <f ca="1">AM115+SUM($C127:AM127)</f>
        <v>3818.0685855042539</v>
      </c>
    </row>
    <row r="130" spans="1:39" x14ac:dyDescent="0.2">
      <c r="A130" s="4" t="s">
        <v>84</v>
      </c>
      <c r="C130" s="8">
        <f t="shared" ref="C130:AM130" ca="1" si="488">MAX(C129+buffer,0)-MAX(C115+buffer,0)</f>
        <v>0</v>
      </c>
      <c r="D130" s="8">
        <f t="shared" ca="1" si="488"/>
        <v>0</v>
      </c>
      <c r="E130" s="8">
        <f t="shared" ca="1" si="488"/>
        <v>0</v>
      </c>
      <c r="F130" s="8">
        <f t="shared" ca="1" si="488"/>
        <v>0</v>
      </c>
      <c r="G130" s="8">
        <f t="shared" ca="1" si="488"/>
        <v>0</v>
      </c>
      <c r="H130" s="8">
        <f t="shared" ca="1" si="488"/>
        <v>0</v>
      </c>
      <c r="I130" s="8">
        <f t="shared" ref="I130:AM130" ca="1" si="489">MAX(I129+buffer,0)-MAX(I115+buffer,0)</f>
        <v>0</v>
      </c>
      <c r="J130" s="8">
        <f t="shared" ca="1" si="489"/>
        <v>0</v>
      </c>
      <c r="K130" s="8">
        <f t="shared" ca="1" si="489"/>
        <v>0</v>
      </c>
      <c r="L130" s="8">
        <f t="shared" ca="1" si="489"/>
        <v>0</v>
      </c>
      <c r="M130" s="8">
        <f t="shared" ca="1" si="489"/>
        <v>0</v>
      </c>
      <c r="N130" s="8">
        <f t="shared" ca="1" si="489"/>
        <v>0</v>
      </c>
      <c r="O130" s="8">
        <f t="shared" ca="1" si="489"/>
        <v>0</v>
      </c>
      <c r="P130" s="8">
        <f t="shared" ca="1" si="489"/>
        <v>0</v>
      </c>
      <c r="Q130" s="8">
        <f t="shared" ca="1" si="489"/>
        <v>0</v>
      </c>
      <c r="R130" s="8">
        <f t="shared" ca="1" si="489"/>
        <v>0</v>
      </c>
      <c r="S130" s="8">
        <f t="shared" ca="1" si="489"/>
        <v>0</v>
      </c>
      <c r="T130" s="8">
        <f t="shared" ca="1" si="489"/>
        <v>0</v>
      </c>
      <c r="U130" s="8">
        <f t="shared" ca="1" si="489"/>
        <v>0</v>
      </c>
      <c r="V130" s="8">
        <f t="shared" ca="1" si="489"/>
        <v>0</v>
      </c>
      <c r="W130" s="8">
        <f t="shared" ca="1" si="489"/>
        <v>0</v>
      </c>
      <c r="X130" s="8">
        <f t="shared" ca="1" si="489"/>
        <v>0</v>
      </c>
      <c r="Y130" s="8">
        <f t="shared" ca="1" si="489"/>
        <v>0</v>
      </c>
      <c r="Z130" s="8">
        <f t="shared" ca="1" si="489"/>
        <v>0</v>
      </c>
      <c r="AA130" s="8">
        <f t="shared" ca="1" si="489"/>
        <v>0</v>
      </c>
      <c r="AB130" s="8">
        <f t="shared" ca="1" si="489"/>
        <v>0</v>
      </c>
      <c r="AC130" s="8">
        <f t="shared" ca="1" si="489"/>
        <v>0</v>
      </c>
      <c r="AD130" s="8">
        <f t="shared" ca="1" si="489"/>
        <v>0</v>
      </c>
      <c r="AE130" s="8">
        <f t="shared" ca="1" si="489"/>
        <v>0</v>
      </c>
      <c r="AF130" s="8">
        <f t="shared" ca="1" si="489"/>
        <v>0</v>
      </c>
      <c r="AG130" s="8">
        <f t="shared" ca="1" si="489"/>
        <v>0</v>
      </c>
      <c r="AH130" s="8">
        <f t="shared" ca="1" si="489"/>
        <v>0</v>
      </c>
      <c r="AI130" s="8">
        <f t="shared" ca="1" si="489"/>
        <v>0</v>
      </c>
      <c r="AJ130" s="8">
        <f t="shared" ca="1" si="489"/>
        <v>0</v>
      </c>
      <c r="AK130" s="8">
        <f t="shared" ca="1" si="489"/>
        <v>0</v>
      </c>
      <c r="AL130" s="8">
        <f t="shared" ca="1" si="489"/>
        <v>0</v>
      </c>
      <c r="AM130" s="8">
        <f t="shared" ca="1" si="489"/>
        <v>0</v>
      </c>
    </row>
    <row r="131" spans="1:39" x14ac:dyDescent="0.2">
      <c r="A131" s="4" t="s">
        <v>85</v>
      </c>
      <c r="C131" s="8">
        <f ca="1">C130*Inputs!$B$149</f>
        <v>0</v>
      </c>
      <c r="D131" s="8">
        <f ca="1">D130*Inputs!$B$149</f>
        <v>0</v>
      </c>
      <c r="E131" s="8">
        <f ca="1">E130*Inputs!$B$149</f>
        <v>0</v>
      </c>
      <c r="F131" s="8">
        <f ca="1">F130*Inputs!$B$149</f>
        <v>0</v>
      </c>
      <c r="G131" s="8">
        <f ca="1">G130*Inputs!$B$149</f>
        <v>0</v>
      </c>
      <c r="H131" s="8">
        <f ca="1">H130*Inputs!$B$149</f>
        <v>0</v>
      </c>
      <c r="I131" s="8">
        <f ca="1">I130*Inputs!$B$149</f>
        <v>0</v>
      </c>
      <c r="J131" s="8">
        <f ca="1">J130*Inputs!$B$149</f>
        <v>0</v>
      </c>
      <c r="K131" s="8">
        <f ca="1">K130*Inputs!$B$149</f>
        <v>0</v>
      </c>
      <c r="L131" s="8">
        <f ca="1">L130*Inputs!$B$149</f>
        <v>0</v>
      </c>
      <c r="M131" s="8">
        <f ca="1">M130*Inputs!$B$149</f>
        <v>0</v>
      </c>
      <c r="N131" s="8">
        <f ca="1">N130*Inputs!$B$149</f>
        <v>0</v>
      </c>
      <c r="O131" s="8">
        <f ca="1">O130*Inputs!$B$149</f>
        <v>0</v>
      </c>
      <c r="P131" s="8">
        <f ca="1">P130*Inputs!$B$149</f>
        <v>0</v>
      </c>
      <c r="Q131" s="8">
        <f ca="1">Q130*Inputs!$B$149</f>
        <v>0</v>
      </c>
      <c r="R131" s="8">
        <f ca="1">R130*Inputs!$B$149</f>
        <v>0</v>
      </c>
      <c r="S131" s="8">
        <f ca="1">S130*Inputs!$B$149</f>
        <v>0</v>
      </c>
      <c r="T131" s="8">
        <f ca="1">T130*Inputs!$B$149</f>
        <v>0</v>
      </c>
      <c r="U131" s="8">
        <f ca="1">U130*Inputs!$B$149</f>
        <v>0</v>
      </c>
      <c r="V131" s="8">
        <f ca="1">V130*Inputs!$B$149</f>
        <v>0</v>
      </c>
      <c r="W131" s="8">
        <f ca="1">W130*Inputs!$B$149</f>
        <v>0</v>
      </c>
      <c r="X131" s="8">
        <f ca="1">X130*Inputs!$B$149</f>
        <v>0</v>
      </c>
      <c r="Y131" s="8">
        <f ca="1">Y130*Inputs!$B$149</f>
        <v>0</v>
      </c>
      <c r="Z131" s="8">
        <f ca="1">Z130*Inputs!$B$149</f>
        <v>0</v>
      </c>
      <c r="AA131" s="8">
        <f ca="1">AA130*Inputs!$B$149</f>
        <v>0</v>
      </c>
      <c r="AB131" s="8">
        <f ca="1">AB130*Inputs!$B$149</f>
        <v>0</v>
      </c>
      <c r="AC131" s="8">
        <f ca="1">AC130*Inputs!$B$149</f>
        <v>0</v>
      </c>
      <c r="AD131" s="8">
        <f ca="1">AD130*Inputs!$B$149</f>
        <v>0</v>
      </c>
      <c r="AE131" s="8">
        <f ca="1">AE130*Inputs!$B$149</f>
        <v>0</v>
      </c>
      <c r="AF131" s="8">
        <f ca="1">AF130*Inputs!$B$149</f>
        <v>0</v>
      </c>
      <c r="AG131" s="8">
        <f ca="1">AG130*Inputs!$B$149</f>
        <v>0</v>
      </c>
      <c r="AH131" s="8">
        <f ca="1">AH130*Inputs!$B$149</f>
        <v>0</v>
      </c>
      <c r="AI131" s="8">
        <f ca="1">AI130*Inputs!$B$149</f>
        <v>0</v>
      </c>
      <c r="AJ131" s="8">
        <f ca="1">AJ130*Inputs!$B$149</f>
        <v>0</v>
      </c>
      <c r="AK131" s="8">
        <f ca="1">AK130*Inputs!$B$149</f>
        <v>0</v>
      </c>
      <c r="AL131" s="8">
        <f ca="1">AL130*Inputs!$B$149</f>
        <v>0</v>
      </c>
      <c r="AM131" s="8">
        <f ca="1">AM130*Inputs!$B$149</f>
        <v>0</v>
      </c>
    </row>
    <row r="132" spans="1:39" x14ac:dyDescent="0.2">
      <c r="A132" s="4" t="s">
        <v>168</v>
      </c>
      <c r="C132" s="8">
        <f ca="1">C129+SUM($C131:C131)</f>
        <v>35752.5</v>
      </c>
      <c r="D132" s="8">
        <f ca="1">D129+SUM($C131:D131)</f>
        <v>64902.8125</v>
      </c>
      <c r="E132" s="8">
        <f ca="1">E129+SUM($C131:E131)</f>
        <v>74244.712499999994</v>
      </c>
      <c r="F132" s="8">
        <f ca="1">F129+SUM($C131:F131)</f>
        <v>115351.48395239323</v>
      </c>
      <c r="G132" s="8">
        <f ca="1">G129+SUM($C131:G131)</f>
        <v>161221.49120440619</v>
      </c>
      <c r="H132" s="8">
        <f ca="1">H129+SUM($C131:H131)</f>
        <v>221189.83792477695</v>
      </c>
      <c r="I132" s="8">
        <f ca="1">I129+SUM($C131:I131)</f>
        <v>191316.96765010577</v>
      </c>
      <c r="J132" s="8">
        <f ca="1">J129+SUM($C131:J131)</f>
        <v>142082.45452169742</v>
      </c>
      <c r="K132" s="8">
        <f ca="1">K129+SUM($C131:K131)</f>
        <v>171064.10395191278</v>
      </c>
      <c r="L132" s="8">
        <f ca="1">L129+SUM($C131:L131)</f>
        <v>105851.09277158603</v>
      </c>
      <c r="M132" s="8">
        <f ca="1">M129+SUM($C131:M131)</f>
        <v>90439.675347308294</v>
      </c>
      <c r="N132" s="8">
        <f ca="1">N129+SUM($C131:N131)</f>
        <v>74370.637418947314</v>
      </c>
      <c r="O132" s="8">
        <f ca="1">O129+SUM($C131:O131)</f>
        <v>57626.853316192486</v>
      </c>
      <c r="P132" s="8">
        <f ca="1">P129+SUM($C131:P131)</f>
        <v>40190.935794602876</v>
      </c>
      <c r="Q132" s="8">
        <f ca="1">Q129+SUM($C131:Q131)</f>
        <v>22045.239171341629</v>
      </c>
      <c r="R132" s="8">
        <f ca="1">R129+SUM($C131:R131)</f>
        <v>3171.8629465080521</v>
      </c>
      <c r="S132" s="8">
        <f ca="1">S129+SUM($C131:S131)</f>
        <v>3092.4611692916151</v>
      </c>
      <c r="T132" s="8">
        <f ca="1">T129+SUM($C131:T131)</f>
        <v>10929.014126519869</v>
      </c>
      <c r="U132" s="8">
        <f ca="1">U129+SUM($C131:U131)</f>
        <v>19381.488177530009</v>
      </c>
      <c r="V132" s="8">
        <f ca="1">V129+SUM($C131:V131)</f>
        <v>28483.312318437413</v>
      </c>
      <c r="W132" s="8">
        <f ca="1">W129+SUM($C131:W131)</f>
        <v>38269.427968090327</v>
      </c>
      <c r="X132" s="8">
        <f ca="1">X129+SUM($C131:X131)</f>
        <v>28369.430980525751</v>
      </c>
      <c r="Y132" s="8">
        <f ca="1">Y129+SUM($C131:Y131)</f>
        <v>18208.047989181272</v>
      </c>
      <c r="Z132" s="8">
        <f ca="1">Z129+SUM($C131:Z131)</f>
        <v>7786.87315912747</v>
      </c>
      <c r="AA132" s="8">
        <f ca="1">AA129+SUM($C131:AA131)</f>
        <v>0</v>
      </c>
      <c r="AB132" s="8">
        <f ca="1">AB129+SUM($C131:AB131)</f>
        <v>0</v>
      </c>
      <c r="AC132" s="8">
        <f ca="1">AC129+SUM($C131:AC131)</f>
        <v>0</v>
      </c>
      <c r="AD132" s="8">
        <f ca="1">AD129+SUM($C131:AD131)</f>
        <v>0</v>
      </c>
      <c r="AE132" s="8">
        <f ca="1">AE129+SUM($C131:AE131)</f>
        <v>0</v>
      </c>
      <c r="AF132" s="8">
        <f ca="1">AF129+SUM($C131:AF131)</f>
        <v>0</v>
      </c>
      <c r="AG132" s="8">
        <f ca="1">AG129+SUM($C131:AG131)</f>
        <v>0</v>
      </c>
      <c r="AH132" s="8">
        <f ca="1">AH129+SUM($C131:AH131)</f>
        <v>0</v>
      </c>
      <c r="AI132" s="8">
        <f ca="1">AI129+SUM($C131:AI131)</f>
        <v>0</v>
      </c>
      <c r="AJ132" s="8">
        <f ca="1">AJ129+SUM($C131:AJ131)</f>
        <v>303.74788620701293</v>
      </c>
      <c r="AK132" s="8">
        <f ca="1">AK129+SUM($C131:AK131)</f>
        <v>1019.3938381763583</v>
      </c>
      <c r="AL132" s="8">
        <f ca="1">AL129+SUM($C131:AL131)</f>
        <v>2179.4276191970421</v>
      </c>
      <c r="AM132" s="8">
        <f ca="1">AM129+SUM($C131:AM131)</f>
        <v>3818.0685855042539</v>
      </c>
    </row>
    <row r="133" spans="1:39" x14ac:dyDescent="0.2">
      <c r="A133" s="4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</row>
    <row r="134" spans="1:39" x14ac:dyDescent="0.2">
      <c r="A134" s="4" t="s">
        <v>166</v>
      </c>
      <c r="C134" s="8">
        <f t="shared" ref="C134:AM134" ca="1" si="490">C132+buffer</f>
        <v>75752.5</v>
      </c>
      <c r="D134" s="8">
        <f t="shared" ca="1" si="490"/>
        <v>104902.8125</v>
      </c>
      <c r="E134" s="8">
        <f t="shared" ca="1" si="490"/>
        <v>114244.71249999999</v>
      </c>
      <c r="F134" s="8">
        <f t="shared" ca="1" si="490"/>
        <v>155351.48395239323</v>
      </c>
      <c r="G134" s="8">
        <f t="shared" ca="1" si="490"/>
        <v>201221.49120440619</v>
      </c>
      <c r="H134" s="8">
        <f t="shared" ca="1" si="490"/>
        <v>261189.83792477695</v>
      </c>
      <c r="I134" s="8">
        <f t="shared" ref="I134:AM134" ca="1" si="491">I132+buffer</f>
        <v>231316.96765010577</v>
      </c>
      <c r="J134" s="8">
        <f t="shared" ca="1" si="491"/>
        <v>182082.45452169742</v>
      </c>
      <c r="K134" s="8">
        <f t="shared" ca="1" si="491"/>
        <v>211064.10395191278</v>
      </c>
      <c r="L134" s="8">
        <f t="shared" ca="1" si="491"/>
        <v>145851.09277158603</v>
      </c>
      <c r="M134" s="8">
        <f t="shared" ca="1" si="491"/>
        <v>130439.67534730829</v>
      </c>
      <c r="N134" s="8">
        <f t="shared" ca="1" si="491"/>
        <v>114370.63741894731</v>
      </c>
      <c r="O134" s="8">
        <f t="shared" ca="1" si="491"/>
        <v>97626.853316192486</v>
      </c>
      <c r="P134" s="8">
        <f t="shared" ca="1" si="491"/>
        <v>80190.935794602876</v>
      </c>
      <c r="Q134" s="8">
        <f t="shared" ca="1" si="491"/>
        <v>62045.239171341629</v>
      </c>
      <c r="R134" s="8">
        <f t="shared" ca="1" si="491"/>
        <v>43171.862946508052</v>
      </c>
      <c r="S134" s="8">
        <f t="shared" ca="1" si="491"/>
        <v>43092.461169291615</v>
      </c>
      <c r="T134" s="8">
        <f t="shared" ca="1" si="491"/>
        <v>50929.014126519869</v>
      </c>
      <c r="U134" s="8">
        <f t="shared" ca="1" si="491"/>
        <v>59381.488177530009</v>
      </c>
      <c r="V134" s="8">
        <f t="shared" ca="1" si="491"/>
        <v>68483.312318437413</v>
      </c>
      <c r="W134" s="8">
        <f t="shared" ca="1" si="491"/>
        <v>78269.427968090327</v>
      </c>
      <c r="X134" s="8">
        <f t="shared" ca="1" si="491"/>
        <v>68369.430980525751</v>
      </c>
      <c r="Y134" s="8">
        <f t="shared" ca="1" si="491"/>
        <v>58208.047989181272</v>
      </c>
      <c r="Z134" s="8">
        <f t="shared" ca="1" si="491"/>
        <v>47786.87315912747</v>
      </c>
      <c r="AA134" s="8">
        <f t="shared" ca="1" si="491"/>
        <v>40000</v>
      </c>
      <c r="AB134" s="8">
        <f t="shared" ca="1" si="491"/>
        <v>40000</v>
      </c>
      <c r="AC134" s="8">
        <f t="shared" ca="1" si="491"/>
        <v>40000</v>
      </c>
      <c r="AD134" s="8">
        <f t="shared" ca="1" si="491"/>
        <v>40000</v>
      </c>
      <c r="AE134" s="8">
        <f t="shared" ca="1" si="491"/>
        <v>40000</v>
      </c>
      <c r="AF134" s="8">
        <f t="shared" ca="1" si="491"/>
        <v>40000</v>
      </c>
      <c r="AG134" s="8">
        <f t="shared" ca="1" si="491"/>
        <v>40000</v>
      </c>
      <c r="AH134" s="8">
        <f t="shared" ca="1" si="491"/>
        <v>40000</v>
      </c>
      <c r="AI134" s="8">
        <f t="shared" ca="1" si="491"/>
        <v>40000</v>
      </c>
      <c r="AJ134" s="8">
        <f t="shared" ca="1" si="491"/>
        <v>40303.747886207013</v>
      </c>
      <c r="AK134" s="8">
        <f t="shared" ca="1" si="491"/>
        <v>41019.393838176358</v>
      </c>
      <c r="AL134" s="8">
        <f t="shared" ca="1" si="491"/>
        <v>42179.427619197042</v>
      </c>
      <c r="AM134" s="8">
        <f t="shared" ca="1" si="491"/>
        <v>43818.068585504254</v>
      </c>
    </row>
    <row r="135" spans="1:39" x14ac:dyDescent="0.2">
      <c r="A135" s="5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</row>
    <row r="136" spans="1:39" x14ac:dyDescent="0.2">
      <c r="A136" s="34" t="s">
        <v>66</v>
      </c>
      <c r="B136" s="31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</row>
    <row r="137" spans="1:39" x14ac:dyDescent="0.2">
      <c r="A137" s="4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</row>
    <row r="138" spans="1:39" x14ac:dyDescent="0.2">
      <c r="A138" s="20" t="s">
        <v>69</v>
      </c>
      <c r="B138" s="21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</row>
    <row r="139" spans="1:39" x14ac:dyDescent="0.2">
      <c r="A139" s="24" t="str">
        <f>B$92</f>
        <v>Gzira</v>
      </c>
      <c r="B139" s="21"/>
      <c r="C139" s="22">
        <f ca="1">SUM($C86:C86)</f>
        <v>0</v>
      </c>
      <c r="D139" s="22">
        <f ca="1">SUM($C86:D86)</f>
        <v>0</v>
      </c>
      <c r="E139" s="22">
        <f ca="1">SUM($C86:E86)</f>
        <v>0</v>
      </c>
      <c r="F139" s="22">
        <f ca="1">SUM($C86:F86)</f>
        <v>0</v>
      </c>
      <c r="G139" s="22">
        <f ca="1">SUM($C86:G86)</f>
        <v>0</v>
      </c>
      <c r="H139" s="22">
        <f ca="1">SUM($C86:H86)</f>
        <v>0</v>
      </c>
      <c r="I139" s="22">
        <f ca="1">SUM($C86:I86)</f>
        <v>0</v>
      </c>
      <c r="J139" s="22">
        <f ca="1">SUM($C86:J86)</f>
        <v>0</v>
      </c>
      <c r="K139" s="22">
        <f ca="1">SUM($C86:K86)</f>
        <v>0</v>
      </c>
      <c r="L139" s="22">
        <f ca="1">SUM($C86:L86)</f>
        <v>0</v>
      </c>
      <c r="M139" s="22">
        <f ca="1">SUM($C86:M86)</f>
        <v>0</v>
      </c>
      <c r="N139" s="22">
        <f ca="1">SUM($C86:N86)</f>
        <v>0</v>
      </c>
      <c r="O139" s="22">
        <f ca="1">SUM($C86:O86)</f>
        <v>0</v>
      </c>
      <c r="P139" s="22">
        <f ca="1">SUM($C86:P86)</f>
        <v>0</v>
      </c>
      <c r="Q139" s="22">
        <f ca="1">SUM($C86:Q86)</f>
        <v>0</v>
      </c>
      <c r="R139" s="22">
        <f ca="1">SUM($C86:R86)</f>
        <v>0</v>
      </c>
      <c r="S139" s="22">
        <f ca="1">SUM($C86:S86)</f>
        <v>0</v>
      </c>
      <c r="T139" s="22">
        <f ca="1">SUM($C86:T86)</f>
        <v>0</v>
      </c>
      <c r="U139" s="22">
        <f ca="1">SUM($C86:U86)</f>
        <v>0</v>
      </c>
      <c r="V139" s="22">
        <f ca="1">SUM($C86:V86)</f>
        <v>0</v>
      </c>
      <c r="W139" s="22">
        <f ca="1">SUM($C86:W86)</f>
        <v>0</v>
      </c>
      <c r="X139" s="22">
        <f ca="1">SUM($C86:X86)</f>
        <v>0</v>
      </c>
      <c r="Y139" s="22">
        <f ca="1">SUM($C86:Y86)</f>
        <v>0</v>
      </c>
      <c r="Z139" s="22">
        <f ca="1">SUM($C86:Z86)</f>
        <v>0</v>
      </c>
      <c r="AA139" s="22">
        <f ca="1">SUM($C86:AA86)</f>
        <v>0</v>
      </c>
      <c r="AB139" s="22">
        <f ca="1">SUM($C86:AB86)</f>
        <v>0</v>
      </c>
      <c r="AC139" s="22">
        <f ca="1">SUM($C86:AC86)</f>
        <v>0</v>
      </c>
      <c r="AD139" s="22">
        <f ca="1">SUM($C86:AD86)</f>
        <v>0</v>
      </c>
      <c r="AE139" s="22">
        <f ca="1">SUM($C86:AE86)</f>
        <v>0</v>
      </c>
      <c r="AF139" s="22">
        <f ca="1">SUM($C86:AF86)</f>
        <v>0</v>
      </c>
      <c r="AG139" s="22">
        <f ca="1">SUM($C86:AG86)</f>
        <v>0</v>
      </c>
      <c r="AH139" s="22">
        <f ca="1">SUM($C86:AH86)</f>
        <v>0</v>
      </c>
      <c r="AI139" s="22">
        <f ca="1">SUM($C86:AI86)</f>
        <v>0</v>
      </c>
      <c r="AJ139" s="22">
        <f ca="1">SUM($C86:AJ86)</f>
        <v>0</v>
      </c>
      <c r="AK139" s="22">
        <f ca="1">SUM($C86:AK86)</f>
        <v>0</v>
      </c>
      <c r="AL139" s="22">
        <f ca="1">SUM($C86:AL86)</f>
        <v>0</v>
      </c>
      <c r="AM139" s="22">
        <f ca="1">SUM($C86:AM86)</f>
        <v>0</v>
      </c>
    </row>
    <row r="140" spans="1:39" x14ac:dyDescent="0.2">
      <c r="A140" s="24" t="str">
        <f>B$109</f>
        <v>Qormi</v>
      </c>
      <c r="B140" s="21"/>
      <c r="C140" s="22">
        <f ca="1">SUM($C103:C103)</f>
        <v>0</v>
      </c>
      <c r="D140" s="22">
        <f ca="1">SUM($C103:D103)</f>
        <v>0</v>
      </c>
      <c r="E140" s="22">
        <f ca="1">SUM($C103:E103)</f>
        <v>0</v>
      </c>
      <c r="F140" s="22">
        <f ca="1">SUM($C103:F103)</f>
        <v>0</v>
      </c>
      <c r="G140" s="22">
        <f ca="1">SUM($C103:G103)</f>
        <v>0</v>
      </c>
      <c r="H140" s="22">
        <f ca="1">SUM($C103:H103)</f>
        <v>0</v>
      </c>
      <c r="I140" s="22">
        <f ca="1">SUM($C103:I103)</f>
        <v>0</v>
      </c>
      <c r="J140" s="22">
        <f ca="1">SUM($C103:J103)</f>
        <v>0</v>
      </c>
      <c r="K140" s="22">
        <f ca="1">SUM($C103:K103)</f>
        <v>0</v>
      </c>
      <c r="L140" s="22">
        <f ca="1">SUM($C103:L103)</f>
        <v>0</v>
      </c>
      <c r="M140" s="22">
        <f ca="1">SUM($C103:M103)</f>
        <v>0</v>
      </c>
      <c r="N140" s="22">
        <f ca="1">SUM($C103:N103)</f>
        <v>0</v>
      </c>
      <c r="O140" s="22">
        <f ca="1">SUM($C103:O103)</f>
        <v>0</v>
      </c>
      <c r="P140" s="22">
        <f ca="1">SUM($C103:P103)</f>
        <v>0</v>
      </c>
      <c r="Q140" s="22">
        <f ca="1">SUM($C103:Q103)</f>
        <v>0</v>
      </c>
      <c r="R140" s="22">
        <f ca="1">SUM($C103:R103)</f>
        <v>0</v>
      </c>
      <c r="S140" s="22">
        <f ca="1">SUM($C103:S103)</f>
        <v>0</v>
      </c>
      <c r="T140" s="22">
        <f ca="1">SUM($C103:T103)</f>
        <v>0</v>
      </c>
      <c r="U140" s="22">
        <f ca="1">SUM($C103:U103)</f>
        <v>0</v>
      </c>
      <c r="V140" s="22">
        <f ca="1">SUM($C103:V103)</f>
        <v>0</v>
      </c>
      <c r="W140" s="22">
        <f ca="1">SUM($C103:W103)</f>
        <v>0</v>
      </c>
      <c r="X140" s="22">
        <f ca="1">SUM($C103:X103)</f>
        <v>0</v>
      </c>
      <c r="Y140" s="22">
        <f ca="1">SUM($C103:Y103)</f>
        <v>0</v>
      </c>
      <c r="Z140" s="22">
        <f ca="1">SUM($C103:Z103)</f>
        <v>0</v>
      </c>
      <c r="AA140" s="22">
        <f ca="1">SUM($C103:AA103)</f>
        <v>0</v>
      </c>
      <c r="AB140" s="22">
        <f ca="1">SUM($C103:AB103)</f>
        <v>0</v>
      </c>
      <c r="AC140" s="22">
        <f ca="1">SUM($C103:AC103)</f>
        <v>0</v>
      </c>
      <c r="AD140" s="22">
        <f ca="1">SUM($C103:AD103)</f>
        <v>0</v>
      </c>
      <c r="AE140" s="22">
        <f ca="1">SUM($C103:AE103)</f>
        <v>0</v>
      </c>
      <c r="AF140" s="22">
        <f ca="1">SUM($C103:AF103)</f>
        <v>0</v>
      </c>
      <c r="AG140" s="22">
        <f ca="1">SUM($C103:AG103)</f>
        <v>0</v>
      </c>
      <c r="AH140" s="22">
        <f ca="1">SUM($C103:AH103)</f>
        <v>0</v>
      </c>
      <c r="AI140" s="22">
        <f ca="1">SUM($C103:AI103)</f>
        <v>0</v>
      </c>
      <c r="AJ140" s="22">
        <f ca="1">SUM($C103:AJ103)</f>
        <v>0</v>
      </c>
      <c r="AK140" s="22">
        <f ca="1">SUM($C103:AK103)</f>
        <v>0</v>
      </c>
      <c r="AL140" s="22">
        <f ca="1">SUM($C103:AL103)</f>
        <v>0</v>
      </c>
      <c r="AM140" s="22">
        <f ca="1">SUM($C103:AM103)</f>
        <v>0</v>
      </c>
    </row>
    <row r="141" spans="1:39" x14ac:dyDescent="0.2">
      <c r="A141" s="24" t="str">
        <f>B$126</f>
        <v>Sliema</v>
      </c>
      <c r="B141" s="21"/>
      <c r="C141" s="22">
        <f ca="1">SUM($C120:C120)</f>
        <v>0</v>
      </c>
      <c r="D141" s="22">
        <f ca="1">SUM($C120:D120)</f>
        <v>0</v>
      </c>
      <c r="E141" s="22">
        <f ca="1">SUM($C120:E120)</f>
        <v>0</v>
      </c>
      <c r="F141" s="22">
        <f ca="1">SUM($C120:F120)</f>
        <v>0</v>
      </c>
      <c r="G141" s="22">
        <f ca="1">SUM($C120:G120)</f>
        <v>0</v>
      </c>
      <c r="H141" s="22">
        <f ca="1">SUM($C120:H120)</f>
        <v>0</v>
      </c>
      <c r="I141" s="22">
        <f ca="1">SUM($C120:I120)</f>
        <v>0</v>
      </c>
      <c r="J141" s="22">
        <f ca="1">SUM($C120:J120)</f>
        <v>0</v>
      </c>
      <c r="K141" s="22">
        <f ca="1">SUM($C120:K120)</f>
        <v>0</v>
      </c>
      <c r="L141" s="22">
        <f ca="1">SUM($C120:L120)</f>
        <v>0</v>
      </c>
      <c r="M141" s="22">
        <f ca="1">SUM($C120:M120)</f>
        <v>0</v>
      </c>
      <c r="N141" s="22">
        <f ca="1">SUM($C120:N120)</f>
        <v>0</v>
      </c>
      <c r="O141" s="22">
        <f ca="1">SUM($C120:O120)</f>
        <v>0</v>
      </c>
      <c r="P141" s="22">
        <f ca="1">SUM($C120:P120)</f>
        <v>0</v>
      </c>
      <c r="Q141" s="22">
        <f ca="1">SUM($C120:Q120)</f>
        <v>0</v>
      </c>
      <c r="R141" s="22">
        <f ca="1">SUM($C120:R120)</f>
        <v>0</v>
      </c>
      <c r="S141" s="22">
        <f ca="1">SUM($C120:S120)</f>
        <v>0</v>
      </c>
      <c r="T141" s="22">
        <f ca="1">SUM($C120:T120)</f>
        <v>0</v>
      </c>
      <c r="U141" s="22">
        <f ca="1">SUM($C120:U120)</f>
        <v>0</v>
      </c>
      <c r="V141" s="22">
        <f ca="1">SUM($C120:V120)</f>
        <v>0</v>
      </c>
      <c r="W141" s="22">
        <f ca="1">SUM($C120:W120)</f>
        <v>0</v>
      </c>
      <c r="X141" s="22">
        <f ca="1">SUM($C120:X120)</f>
        <v>0</v>
      </c>
      <c r="Y141" s="22">
        <f ca="1">SUM($C120:Y120)</f>
        <v>0</v>
      </c>
      <c r="Z141" s="22">
        <f ca="1">SUM($C120:Z120)</f>
        <v>0</v>
      </c>
      <c r="AA141" s="22">
        <f ca="1">SUM($C120:AA120)</f>
        <v>0</v>
      </c>
      <c r="AB141" s="22">
        <f ca="1">SUM($C120:AB120)</f>
        <v>0</v>
      </c>
      <c r="AC141" s="22">
        <f ca="1">SUM($C120:AC120)</f>
        <v>0</v>
      </c>
      <c r="AD141" s="22">
        <f ca="1">SUM($C120:AD120)</f>
        <v>0</v>
      </c>
      <c r="AE141" s="22">
        <f ca="1">SUM($C120:AE120)</f>
        <v>0</v>
      </c>
      <c r="AF141" s="22">
        <f ca="1">SUM($C120:AF120)</f>
        <v>0</v>
      </c>
      <c r="AG141" s="22">
        <f ca="1">SUM($C120:AG120)</f>
        <v>0</v>
      </c>
      <c r="AH141" s="22">
        <f ca="1">SUM($C120:AH120)</f>
        <v>0</v>
      </c>
      <c r="AI141" s="22">
        <f ca="1">SUM($C120:AI120)</f>
        <v>0</v>
      </c>
      <c r="AJ141" s="22">
        <f ca="1">SUM($C120:AJ120)</f>
        <v>0</v>
      </c>
      <c r="AK141" s="22">
        <f ca="1">SUM($C120:AK120)</f>
        <v>0</v>
      </c>
      <c r="AL141" s="22">
        <f ca="1">SUM($C120:AL120)</f>
        <v>0</v>
      </c>
      <c r="AM141" s="22">
        <f ca="1">SUM($C120:AM120)</f>
        <v>0</v>
      </c>
    </row>
    <row r="142" spans="1:39" x14ac:dyDescent="0.2">
      <c r="A142" s="23"/>
      <c r="B142" s="21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</row>
    <row r="143" spans="1:39" x14ac:dyDescent="0.2">
      <c r="A143" s="20" t="s">
        <v>70</v>
      </c>
      <c r="B143" s="21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</row>
    <row r="144" spans="1:39" x14ac:dyDescent="0.2">
      <c r="A144" s="24" t="str">
        <f>$A$56</f>
        <v>Sliema</v>
      </c>
      <c r="B144" s="21"/>
      <c r="C144" s="22">
        <f ca="1">IFERROR(IF(VLOOKUP($A144,$138:$141,C$1+2,FALSE)=0,C56,0),C56)</f>
        <v>309000</v>
      </c>
      <c r="D144" s="22">
        <f ca="1">IFERROR(IF(VLOOKUP($A144,$138:$141,D$1+2,FALSE)=0,D56,0),D56)</f>
        <v>318270</v>
      </c>
      <c r="E144" s="22">
        <f ca="1">IFERROR(IF(VLOOKUP($A144,$138:$141,E$1+2,FALSE)=0,E56,0),E56)</f>
        <v>327818.10000000003</v>
      </c>
      <c r="F144" s="22">
        <f ca="1">IFERROR(IF(VLOOKUP($A144,$138:$141,F$1+2,FALSE)=0,F56,0),F56)</f>
        <v>337652.64300000004</v>
      </c>
      <c r="G144" s="22">
        <f ca="1">IFERROR(IF(VLOOKUP($A144,$138:$141,G$1+2,FALSE)=0,G56,0),G56)</f>
        <v>347782.22229000006</v>
      </c>
      <c r="H144" s="22">
        <f ca="1">IFERROR(IF(VLOOKUP($A144,$138:$141,H$1+2,FALSE)=0,H56,0),H56)</f>
        <v>358215.68895870005</v>
      </c>
      <c r="I144" s="22">
        <f t="shared" ref="I144:AM144" ca="1" si="492">IFERROR(IF(VLOOKUP($A144,$138:$141,I$1+2,FALSE)=0,I56,0),I56)</f>
        <v>368962.15962746105</v>
      </c>
      <c r="J144" s="22">
        <f t="shared" ca="1" si="492"/>
        <v>380031.02441628487</v>
      </c>
      <c r="K144" s="22">
        <f t="shared" ca="1" si="492"/>
        <v>391431.95514877344</v>
      </c>
      <c r="L144" s="22">
        <f t="shared" ca="1" si="492"/>
        <v>403174.91380323668</v>
      </c>
      <c r="M144" s="22">
        <f t="shared" ca="1" si="492"/>
        <v>415270.16121733381</v>
      </c>
      <c r="N144" s="22">
        <f t="shared" ca="1" si="492"/>
        <v>427728.26605385385</v>
      </c>
      <c r="O144" s="22">
        <f t="shared" ca="1" si="492"/>
        <v>440560.11403546948</v>
      </c>
      <c r="P144" s="22">
        <f t="shared" ca="1" si="492"/>
        <v>453776.91745653359</v>
      </c>
      <c r="Q144" s="22">
        <f t="shared" ca="1" si="492"/>
        <v>467390.22498022963</v>
      </c>
      <c r="R144" s="22">
        <f t="shared" ca="1" si="492"/>
        <v>481411.9317296365</v>
      </c>
      <c r="S144" s="22">
        <f t="shared" ca="1" si="492"/>
        <v>495854.28968152561</v>
      </c>
      <c r="T144" s="22">
        <f t="shared" ca="1" si="492"/>
        <v>510729.91837197141</v>
      </c>
      <c r="U144" s="22">
        <f t="shared" ca="1" si="492"/>
        <v>526051.81592313061</v>
      </c>
      <c r="V144" s="22">
        <f t="shared" ca="1" si="492"/>
        <v>541833.37040082458</v>
      </c>
      <c r="W144" s="22">
        <f t="shared" ca="1" si="492"/>
        <v>558088.37151284935</v>
      </c>
      <c r="X144" s="22">
        <f t="shared" ca="1" si="492"/>
        <v>574831.02265823481</v>
      </c>
      <c r="Y144" s="22">
        <f t="shared" ca="1" si="492"/>
        <v>592075.95333798183</v>
      </c>
      <c r="Z144" s="22">
        <f t="shared" ca="1" si="492"/>
        <v>609838.23193812126</v>
      </c>
      <c r="AA144" s="22">
        <f t="shared" ca="1" si="492"/>
        <v>628133.37889626494</v>
      </c>
      <c r="AB144" s="22">
        <f t="shared" ca="1" si="492"/>
        <v>646977.38026315288</v>
      </c>
      <c r="AC144" s="22">
        <f t="shared" ca="1" si="492"/>
        <v>666386.70167104749</v>
      </c>
      <c r="AD144" s="22">
        <f t="shared" ca="1" si="492"/>
        <v>686378.30272117897</v>
      </c>
      <c r="AE144" s="22">
        <f t="shared" ca="1" si="492"/>
        <v>706969.65180281433</v>
      </c>
      <c r="AF144" s="22">
        <f t="shared" ca="1" si="492"/>
        <v>728178.7413568988</v>
      </c>
      <c r="AG144" s="22">
        <f t="shared" ca="1" si="492"/>
        <v>750024.10359760583</v>
      </c>
      <c r="AH144" s="22">
        <f t="shared" ca="1" si="492"/>
        <v>772524.82670553401</v>
      </c>
      <c r="AI144" s="22">
        <f t="shared" ca="1" si="492"/>
        <v>795700.57150670001</v>
      </c>
      <c r="AJ144" s="22">
        <f t="shared" ca="1" si="492"/>
        <v>819571.58865190099</v>
      </c>
      <c r="AK144" s="22">
        <f t="shared" ca="1" si="492"/>
        <v>844158.73631145805</v>
      </c>
      <c r="AL144" s="22">
        <f t="shared" ca="1" si="492"/>
        <v>869483.49840080179</v>
      </c>
      <c r="AM144" s="22">
        <f t="shared" ca="1" si="492"/>
        <v>895568.00335282588</v>
      </c>
    </row>
    <row r="145" spans="1:39" x14ac:dyDescent="0.2">
      <c r="A145" s="24" t="str">
        <f>$A$57</f>
        <v>Gzira</v>
      </c>
      <c r="B145" s="21"/>
      <c r="C145" s="22">
        <f ca="1">IFERROR(IF(VLOOKUP($A145,$138:$141,C$1+2,FALSE)=0,C57,0),C57)</f>
        <v>154500</v>
      </c>
      <c r="D145" s="22">
        <f ca="1">IFERROR(IF(VLOOKUP($A145,$138:$141,D$1+2,FALSE)=0,D57,0),D57)</f>
        <v>159135</v>
      </c>
      <c r="E145" s="22">
        <f ca="1">IFERROR(IF(VLOOKUP($A145,$138:$141,E$1+2,FALSE)=0,E57,0),E57)</f>
        <v>163909.05000000002</v>
      </c>
      <c r="F145" s="22">
        <f ca="1">IFERROR(IF(VLOOKUP($A145,$138:$141,F$1+2,FALSE)=0,F57,0),F57)</f>
        <v>168826.32150000002</v>
      </c>
      <c r="G145" s="22">
        <f ca="1">IFERROR(IF(VLOOKUP($A145,$138:$141,G$1+2,FALSE)=0,G57,0),G57)</f>
        <v>173891.11114500003</v>
      </c>
      <c r="H145" s="22">
        <f ca="1">IFERROR(IF(VLOOKUP($A145,$138:$141,H$1+2,FALSE)=0,H57,0),H57)</f>
        <v>179107.84447935002</v>
      </c>
      <c r="I145" s="22">
        <f t="shared" ref="I145:AM145" ca="1" si="493">IFERROR(IF(VLOOKUP($A145,$138:$141,I$1+2,FALSE)=0,I57,0),I57)</f>
        <v>184481.07981373052</v>
      </c>
      <c r="J145" s="22">
        <f t="shared" ca="1" si="493"/>
        <v>190015.51220814243</v>
      </c>
      <c r="K145" s="22">
        <f t="shared" ca="1" si="493"/>
        <v>195715.97757438672</v>
      </c>
      <c r="L145" s="22">
        <f t="shared" ca="1" si="493"/>
        <v>201587.45690161834</v>
      </c>
      <c r="M145" s="22">
        <f t="shared" ca="1" si="493"/>
        <v>207635.0806086669</v>
      </c>
      <c r="N145" s="22">
        <f t="shared" ca="1" si="493"/>
        <v>213864.13302692692</v>
      </c>
      <c r="O145" s="22">
        <f t="shared" ca="1" si="493"/>
        <v>220280.05701773474</v>
      </c>
      <c r="P145" s="22">
        <f t="shared" ca="1" si="493"/>
        <v>226888.45872826679</v>
      </c>
      <c r="Q145" s="22">
        <f t="shared" ca="1" si="493"/>
        <v>233695.11249011481</v>
      </c>
      <c r="R145" s="22">
        <f t="shared" ca="1" si="493"/>
        <v>240705.96586481825</v>
      </c>
      <c r="S145" s="22">
        <f t="shared" ca="1" si="493"/>
        <v>247927.1448407628</v>
      </c>
      <c r="T145" s="22">
        <f t="shared" ca="1" si="493"/>
        <v>255364.9591859857</v>
      </c>
      <c r="U145" s="22">
        <f t="shared" ca="1" si="493"/>
        <v>263025.9079615653</v>
      </c>
      <c r="V145" s="22">
        <f t="shared" ca="1" si="493"/>
        <v>270916.68520041229</v>
      </c>
      <c r="W145" s="22">
        <f t="shared" ca="1" si="493"/>
        <v>279044.18575642467</v>
      </c>
      <c r="X145" s="22">
        <f t="shared" ca="1" si="493"/>
        <v>287415.51132911741</v>
      </c>
      <c r="Y145" s="22">
        <f t="shared" ca="1" si="493"/>
        <v>296037.97666899092</v>
      </c>
      <c r="Z145" s="22">
        <f t="shared" ca="1" si="493"/>
        <v>304919.11596906063</v>
      </c>
      <c r="AA145" s="22">
        <f t="shared" ca="1" si="493"/>
        <v>314066.68944813247</v>
      </c>
      <c r="AB145" s="22">
        <f t="shared" ca="1" si="493"/>
        <v>323488.69013157644</v>
      </c>
      <c r="AC145" s="22">
        <f t="shared" ca="1" si="493"/>
        <v>333193.35083552374</v>
      </c>
      <c r="AD145" s="22">
        <f t="shared" ca="1" si="493"/>
        <v>343189.15136058949</v>
      </c>
      <c r="AE145" s="22">
        <f t="shared" ca="1" si="493"/>
        <v>353484.82590140717</v>
      </c>
      <c r="AF145" s="22">
        <f t="shared" ca="1" si="493"/>
        <v>364089.3706784494</v>
      </c>
      <c r="AG145" s="22">
        <f t="shared" ca="1" si="493"/>
        <v>375012.05179880292</v>
      </c>
      <c r="AH145" s="22">
        <f t="shared" ca="1" si="493"/>
        <v>386262.41335276701</v>
      </c>
      <c r="AI145" s="22">
        <f t="shared" ca="1" si="493"/>
        <v>397850.28575335001</v>
      </c>
      <c r="AJ145" s="22">
        <f t="shared" ca="1" si="493"/>
        <v>409785.7943259505</v>
      </c>
      <c r="AK145" s="22">
        <f t="shared" ca="1" si="493"/>
        <v>422079.36815572903</v>
      </c>
      <c r="AL145" s="22">
        <f t="shared" ca="1" si="493"/>
        <v>434741.7492004009</v>
      </c>
      <c r="AM145" s="22">
        <f t="shared" ca="1" si="493"/>
        <v>447784.00167641294</v>
      </c>
    </row>
    <row r="146" spans="1:39" x14ac:dyDescent="0.2">
      <c r="A146" s="24" t="str">
        <f>$A$58</f>
        <v>Qormi</v>
      </c>
      <c r="B146" s="21"/>
      <c r="C146" s="22">
        <f ca="1">IFERROR(IF(VLOOKUP($A146,$138:$141,C$1+2,FALSE)=0,C58,0),C58)</f>
        <v>226600</v>
      </c>
      <c r="D146" s="22">
        <f ca="1">IFERROR(IF(VLOOKUP($A146,$138:$141,D$1+2,FALSE)=0,D58,0),D58)</f>
        <v>233398</v>
      </c>
      <c r="E146" s="22">
        <f ca="1">IFERROR(IF(VLOOKUP($A146,$138:$141,E$1+2,FALSE)=0,E58,0),E58)</f>
        <v>240399.94</v>
      </c>
      <c r="F146" s="22">
        <f ca="1">IFERROR(IF(VLOOKUP($A146,$138:$141,F$1+2,FALSE)=0,F58,0),F58)</f>
        <v>247611.9382</v>
      </c>
      <c r="G146" s="22">
        <f ca="1">IFERROR(IF(VLOOKUP($A146,$138:$141,G$1+2,FALSE)=0,G58,0),G58)</f>
        <v>255040.29634600002</v>
      </c>
      <c r="H146" s="22">
        <f ca="1">IFERROR(IF(VLOOKUP($A146,$138:$141,H$1+2,FALSE)=0,H58,0),H58)</f>
        <v>262691.50523638004</v>
      </c>
      <c r="I146" s="22">
        <f t="shared" ref="I146:AM146" ca="1" si="494">IFERROR(IF(VLOOKUP($A146,$138:$141,I$1+2,FALSE)=0,I58,0),I58)</f>
        <v>270572.25039347145</v>
      </c>
      <c r="J146" s="22">
        <f t="shared" ca="1" si="494"/>
        <v>278689.41790527559</v>
      </c>
      <c r="K146" s="22">
        <f t="shared" ca="1" si="494"/>
        <v>287050.10044243385</v>
      </c>
      <c r="L146" s="22">
        <f t="shared" ca="1" si="494"/>
        <v>295661.60345570685</v>
      </c>
      <c r="M146" s="22">
        <f t="shared" ca="1" si="494"/>
        <v>304531.45155937807</v>
      </c>
      <c r="N146" s="22">
        <f t="shared" ca="1" si="494"/>
        <v>313667.39510615944</v>
      </c>
      <c r="O146" s="22">
        <f t="shared" ca="1" si="494"/>
        <v>323077.41695934423</v>
      </c>
      <c r="P146" s="22">
        <f t="shared" ca="1" si="494"/>
        <v>332769.73946812458</v>
      </c>
      <c r="Q146" s="22">
        <f t="shared" ca="1" si="494"/>
        <v>342752.8316521683</v>
      </c>
      <c r="R146" s="22">
        <f t="shared" ca="1" si="494"/>
        <v>353035.41660173336</v>
      </c>
      <c r="S146" s="22">
        <f t="shared" ca="1" si="494"/>
        <v>363626.47909978539</v>
      </c>
      <c r="T146" s="22">
        <f t="shared" ca="1" si="494"/>
        <v>374535.27347277896</v>
      </c>
      <c r="U146" s="22">
        <f t="shared" ca="1" si="494"/>
        <v>385771.33167696232</v>
      </c>
      <c r="V146" s="22">
        <f t="shared" ca="1" si="494"/>
        <v>397344.47162727121</v>
      </c>
      <c r="W146" s="22">
        <f t="shared" ca="1" si="494"/>
        <v>409264.80577608937</v>
      </c>
      <c r="X146" s="22">
        <f t="shared" ca="1" si="494"/>
        <v>421542.74994937208</v>
      </c>
      <c r="Y146" s="22">
        <f t="shared" ca="1" si="494"/>
        <v>434189.03244785324</v>
      </c>
      <c r="Z146" s="22">
        <f t="shared" ca="1" si="494"/>
        <v>447214.70342128887</v>
      </c>
      <c r="AA146" s="22">
        <f t="shared" ca="1" si="494"/>
        <v>460631.14452392753</v>
      </c>
      <c r="AB146" s="22">
        <f t="shared" ca="1" si="494"/>
        <v>474450.07885964535</v>
      </c>
      <c r="AC146" s="22">
        <f t="shared" ca="1" si="494"/>
        <v>488683.58122543473</v>
      </c>
      <c r="AD146" s="22">
        <f t="shared" ca="1" si="494"/>
        <v>503344.08866219776</v>
      </c>
      <c r="AE146" s="22">
        <f t="shared" ca="1" si="494"/>
        <v>518444.41132206371</v>
      </c>
      <c r="AF146" s="22">
        <f t="shared" ca="1" si="494"/>
        <v>533997.74366172566</v>
      </c>
      <c r="AG146" s="22">
        <f t="shared" ca="1" si="494"/>
        <v>550017.67597157741</v>
      </c>
      <c r="AH146" s="22">
        <f t="shared" ca="1" si="494"/>
        <v>566518.20625072473</v>
      </c>
      <c r="AI146" s="22">
        <f t="shared" ca="1" si="494"/>
        <v>583513.75243824651</v>
      </c>
      <c r="AJ146" s="22">
        <f t="shared" ca="1" si="494"/>
        <v>601019.16501139395</v>
      </c>
      <c r="AK146" s="22">
        <f t="shared" ca="1" si="494"/>
        <v>619049.73996173579</v>
      </c>
      <c r="AL146" s="22">
        <f t="shared" ca="1" si="494"/>
        <v>637621.23216058791</v>
      </c>
      <c r="AM146" s="22">
        <f t="shared" ca="1" si="494"/>
        <v>656749.86912540556</v>
      </c>
    </row>
    <row r="147" spans="1:39" x14ac:dyDescent="0.2"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</row>
    <row r="148" spans="1:39" x14ac:dyDescent="0.2">
      <c r="A148" s="20" t="s">
        <v>67</v>
      </c>
      <c r="B148" s="21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</row>
    <row r="149" spans="1:39" x14ac:dyDescent="0.2">
      <c r="A149" s="24" t="str">
        <f>B$92</f>
        <v>Gzira</v>
      </c>
      <c r="B149" s="21"/>
      <c r="C149" s="22">
        <f ca="1">SUM($C92:C92)</f>
        <v>0</v>
      </c>
      <c r="D149" s="22">
        <f ca="1">SUM($C92:D92)</f>
        <v>0</v>
      </c>
      <c r="E149" s="22">
        <f ca="1">SUM($C92:E92)</f>
        <v>0</v>
      </c>
      <c r="F149" s="22">
        <f ca="1">SUM($C92:F92)</f>
        <v>0</v>
      </c>
      <c r="G149" s="22">
        <f ca="1">SUM($C92:G92)</f>
        <v>0</v>
      </c>
      <c r="H149" s="22">
        <f ca="1">SUM($C92:H92)</f>
        <v>0</v>
      </c>
      <c r="I149" s="22">
        <f ca="1">SUM($C92:I92)</f>
        <v>0</v>
      </c>
      <c r="J149" s="22">
        <f ca="1">SUM($C92:J92)</f>
        <v>0</v>
      </c>
      <c r="K149" s="22">
        <f ca="1">SUM($C92:K92)</f>
        <v>0</v>
      </c>
      <c r="L149" s="22">
        <f ca="1">SUM($C92:L92)</f>
        <v>0</v>
      </c>
      <c r="M149" s="22">
        <f ca="1">SUM($C92:M92)</f>
        <v>0</v>
      </c>
      <c r="N149" s="22">
        <f ca="1">SUM($C92:N92)</f>
        <v>0</v>
      </c>
      <c r="O149" s="22">
        <f ca="1">SUM($C92:O92)</f>
        <v>0</v>
      </c>
      <c r="P149" s="22">
        <f ca="1">SUM($C92:P92)</f>
        <v>0</v>
      </c>
      <c r="Q149" s="22">
        <f ca="1">SUM($C92:Q92)</f>
        <v>0</v>
      </c>
      <c r="R149" s="22">
        <f ca="1">SUM($C92:R92)</f>
        <v>0</v>
      </c>
      <c r="S149" s="22">
        <f ca="1">SUM($C92:S92)</f>
        <v>0</v>
      </c>
      <c r="T149" s="22">
        <f ca="1">SUM($C92:T92)</f>
        <v>0</v>
      </c>
      <c r="U149" s="22">
        <f ca="1">SUM($C92:U92)</f>
        <v>0</v>
      </c>
      <c r="V149" s="22">
        <f ca="1">SUM($C92:V92)</f>
        <v>0</v>
      </c>
      <c r="W149" s="22">
        <f ca="1">SUM($C92:W92)</f>
        <v>0</v>
      </c>
      <c r="X149" s="22">
        <f ca="1">SUM($C92:X92)</f>
        <v>0</v>
      </c>
      <c r="Y149" s="22">
        <f ca="1">SUM($C92:Y92)</f>
        <v>0</v>
      </c>
      <c r="Z149" s="22">
        <f ca="1">SUM($C92:Z92)</f>
        <v>0</v>
      </c>
      <c r="AA149" s="22">
        <f ca="1">SUM($C92:AA92)</f>
        <v>0</v>
      </c>
      <c r="AB149" s="22">
        <f ca="1">SUM($C92:AB92)</f>
        <v>0</v>
      </c>
      <c r="AC149" s="22">
        <f ca="1">SUM($C92:AC92)</f>
        <v>0</v>
      </c>
      <c r="AD149" s="22">
        <f ca="1">SUM($C92:AD92)</f>
        <v>0</v>
      </c>
      <c r="AE149" s="22">
        <f ca="1">SUM($C92:AE92)</f>
        <v>0</v>
      </c>
      <c r="AF149" s="22">
        <f ca="1">SUM($C92:AF92)</f>
        <v>0</v>
      </c>
      <c r="AG149" s="22">
        <f ca="1">SUM($C92:AG92)</f>
        <v>0</v>
      </c>
      <c r="AH149" s="22">
        <f ca="1">SUM($C92:AH92)</f>
        <v>0</v>
      </c>
      <c r="AI149" s="22">
        <f ca="1">SUM($C92:AI92)</f>
        <v>0</v>
      </c>
      <c r="AJ149" s="22">
        <f ca="1">SUM($C92:AJ92)</f>
        <v>0</v>
      </c>
      <c r="AK149" s="22">
        <f ca="1">SUM($C92:AK92)</f>
        <v>0</v>
      </c>
      <c r="AL149" s="22">
        <f ca="1">SUM($C92:AL92)</f>
        <v>0</v>
      </c>
      <c r="AM149" s="22">
        <f ca="1">SUM($C92:AM92)</f>
        <v>0</v>
      </c>
    </row>
    <row r="150" spans="1:39" x14ac:dyDescent="0.2">
      <c r="A150" s="24" t="str">
        <f>B$109</f>
        <v>Qormi</v>
      </c>
      <c r="B150" s="21"/>
      <c r="C150" s="22">
        <f ca="1">SUM($C109:C109)</f>
        <v>0</v>
      </c>
      <c r="D150" s="22">
        <f ca="1">SUM($C109:D109)</f>
        <v>0</v>
      </c>
      <c r="E150" s="22">
        <f ca="1">SUM($C109:E109)</f>
        <v>0</v>
      </c>
      <c r="F150" s="22">
        <f ca="1">SUM($C109:F109)</f>
        <v>0</v>
      </c>
      <c r="G150" s="22">
        <f ca="1">SUM($C109:G109)</f>
        <v>0</v>
      </c>
      <c r="H150" s="22">
        <f ca="1">SUM($C109:H109)</f>
        <v>0</v>
      </c>
      <c r="I150" s="22">
        <f ca="1">SUM($C109:I109)</f>
        <v>0</v>
      </c>
      <c r="J150" s="22">
        <f ca="1">SUM($C109:J109)</f>
        <v>0</v>
      </c>
      <c r="K150" s="22">
        <f ca="1">SUM($C109:K109)</f>
        <v>0</v>
      </c>
      <c r="L150" s="22">
        <f ca="1">SUM($C109:L109)</f>
        <v>0</v>
      </c>
      <c r="M150" s="22">
        <f ca="1">SUM($C109:M109)</f>
        <v>0</v>
      </c>
      <c r="N150" s="22">
        <f ca="1">SUM($C109:N109)</f>
        <v>0</v>
      </c>
      <c r="O150" s="22">
        <f ca="1">SUM($C109:O109)</f>
        <v>0</v>
      </c>
      <c r="P150" s="22">
        <f ca="1">SUM($C109:P109)</f>
        <v>0</v>
      </c>
      <c r="Q150" s="22">
        <f ca="1">SUM($C109:Q109)</f>
        <v>0</v>
      </c>
      <c r="R150" s="22">
        <f ca="1">SUM($C109:R109)</f>
        <v>0</v>
      </c>
      <c r="S150" s="22">
        <f ca="1">SUM($C109:S109)</f>
        <v>0</v>
      </c>
      <c r="T150" s="22">
        <f ca="1">SUM($C109:T109)</f>
        <v>0</v>
      </c>
      <c r="U150" s="22">
        <f ca="1">SUM($C109:U109)</f>
        <v>0</v>
      </c>
      <c r="V150" s="22">
        <f ca="1">SUM($C109:V109)</f>
        <v>0</v>
      </c>
      <c r="W150" s="22">
        <f ca="1">SUM($C109:W109)</f>
        <v>0</v>
      </c>
      <c r="X150" s="22">
        <f ca="1">SUM($C109:X109)</f>
        <v>0</v>
      </c>
      <c r="Y150" s="22">
        <f ca="1">SUM($C109:Y109)</f>
        <v>0</v>
      </c>
      <c r="Z150" s="22">
        <f ca="1">SUM($C109:Z109)</f>
        <v>0</v>
      </c>
      <c r="AA150" s="22">
        <f ca="1">SUM($C109:AA109)</f>
        <v>0</v>
      </c>
      <c r="AB150" s="22">
        <f ca="1">SUM($C109:AB109)</f>
        <v>0</v>
      </c>
      <c r="AC150" s="22">
        <f ca="1">SUM($C109:AC109)</f>
        <v>0</v>
      </c>
      <c r="AD150" s="22">
        <f ca="1">SUM($C109:AD109)</f>
        <v>0</v>
      </c>
      <c r="AE150" s="22">
        <f ca="1">SUM($C109:AE109)</f>
        <v>0</v>
      </c>
      <c r="AF150" s="22">
        <f ca="1">SUM($C109:AF109)</f>
        <v>0</v>
      </c>
      <c r="AG150" s="22">
        <f ca="1">SUM($C109:AG109)</f>
        <v>0</v>
      </c>
      <c r="AH150" s="22">
        <f ca="1">SUM($C109:AH109)</f>
        <v>0</v>
      </c>
      <c r="AI150" s="22">
        <f ca="1">SUM($C109:AI109)</f>
        <v>0</v>
      </c>
      <c r="AJ150" s="22">
        <f ca="1">SUM($C109:AJ109)</f>
        <v>0</v>
      </c>
      <c r="AK150" s="22">
        <f ca="1">SUM($C109:AK109)</f>
        <v>0</v>
      </c>
      <c r="AL150" s="22">
        <f ca="1">SUM($C109:AL109)</f>
        <v>0</v>
      </c>
      <c r="AM150" s="22">
        <f ca="1">SUM($C109:AM109)</f>
        <v>0</v>
      </c>
    </row>
    <row r="151" spans="1:39" x14ac:dyDescent="0.2">
      <c r="A151" s="24" t="str">
        <f>B$126</f>
        <v>Sliema</v>
      </c>
      <c r="B151" s="21"/>
      <c r="C151" s="22">
        <f ca="1">SUM($C126:C126)</f>
        <v>0</v>
      </c>
      <c r="D151" s="22">
        <f ca="1">SUM($C126:D126)</f>
        <v>0</v>
      </c>
      <c r="E151" s="22">
        <f ca="1">SUM($C126:E126)</f>
        <v>0</v>
      </c>
      <c r="F151" s="22">
        <f ca="1">SUM($C126:F126)</f>
        <v>0</v>
      </c>
      <c r="G151" s="22">
        <f ca="1">SUM($C126:G126)</f>
        <v>0</v>
      </c>
      <c r="H151" s="22">
        <f ca="1">SUM($C126:H126)</f>
        <v>0</v>
      </c>
      <c r="I151" s="22">
        <f ca="1">SUM($C126:I126)</f>
        <v>0</v>
      </c>
      <c r="J151" s="22">
        <f ca="1">SUM($C126:J126)</f>
        <v>0</v>
      </c>
      <c r="K151" s="22">
        <f ca="1">SUM($C126:K126)</f>
        <v>0</v>
      </c>
      <c r="L151" s="22">
        <f ca="1">SUM($C126:L126)</f>
        <v>0</v>
      </c>
      <c r="M151" s="22">
        <f ca="1">SUM($C126:M126)</f>
        <v>0</v>
      </c>
      <c r="N151" s="22">
        <f ca="1">SUM($C126:N126)</f>
        <v>0</v>
      </c>
      <c r="O151" s="22">
        <f ca="1">SUM($C126:O126)</f>
        <v>0</v>
      </c>
      <c r="P151" s="22">
        <f ca="1">SUM($C126:P126)</f>
        <v>0</v>
      </c>
      <c r="Q151" s="22">
        <f ca="1">SUM($C126:Q126)</f>
        <v>0</v>
      </c>
      <c r="R151" s="22">
        <f ca="1">SUM($C126:R126)</f>
        <v>0</v>
      </c>
      <c r="S151" s="22">
        <f ca="1">SUM($C126:S126)</f>
        <v>0</v>
      </c>
      <c r="T151" s="22">
        <f ca="1">SUM($C126:T126)</f>
        <v>0</v>
      </c>
      <c r="U151" s="22">
        <f ca="1">SUM($C126:U126)</f>
        <v>0</v>
      </c>
      <c r="V151" s="22">
        <f ca="1">SUM($C126:V126)</f>
        <v>0</v>
      </c>
      <c r="W151" s="22">
        <f ca="1">SUM($C126:W126)</f>
        <v>0</v>
      </c>
      <c r="X151" s="22">
        <f ca="1">SUM($C126:X126)</f>
        <v>0</v>
      </c>
      <c r="Y151" s="22">
        <f ca="1">SUM($C126:Y126)</f>
        <v>0</v>
      </c>
      <c r="Z151" s="22">
        <f ca="1">SUM($C126:Z126)</f>
        <v>0</v>
      </c>
      <c r="AA151" s="22">
        <f ca="1">SUM($C126:AA126)</f>
        <v>0</v>
      </c>
      <c r="AB151" s="22">
        <f ca="1">SUM($C126:AB126)</f>
        <v>0</v>
      </c>
      <c r="AC151" s="22">
        <f ca="1">SUM($C126:AC126)</f>
        <v>0</v>
      </c>
      <c r="AD151" s="22">
        <f ca="1">SUM($C126:AD126)</f>
        <v>0</v>
      </c>
      <c r="AE151" s="22">
        <f ca="1">SUM($C126:AE126)</f>
        <v>0</v>
      </c>
      <c r="AF151" s="22">
        <f ca="1">SUM($C126:AF126)</f>
        <v>0</v>
      </c>
      <c r="AG151" s="22">
        <f ca="1">SUM($C126:AG126)</f>
        <v>0</v>
      </c>
      <c r="AH151" s="22">
        <f ca="1">SUM($C126:AH126)</f>
        <v>0</v>
      </c>
      <c r="AI151" s="22">
        <f ca="1">SUM($C126:AI126)</f>
        <v>0</v>
      </c>
      <c r="AJ151" s="22">
        <f ca="1">SUM($C126:AJ126)</f>
        <v>0</v>
      </c>
      <c r="AK151" s="22">
        <f ca="1">SUM($C126:AK126)</f>
        <v>0</v>
      </c>
      <c r="AL151" s="22">
        <f ca="1">SUM($C126:AL126)</f>
        <v>0</v>
      </c>
      <c r="AM151" s="22">
        <f ca="1">SUM($C126:AM126)</f>
        <v>0</v>
      </c>
    </row>
    <row r="152" spans="1:39" x14ac:dyDescent="0.2">
      <c r="A152" s="23"/>
      <c r="B152" s="21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</row>
    <row r="153" spans="1:39" x14ac:dyDescent="0.2">
      <c r="A153" s="4" t="s">
        <v>55</v>
      </c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</row>
    <row r="154" spans="1:39" x14ac:dyDescent="0.2">
      <c r="A154" s="18" t="str">
        <f>$A$56</f>
        <v>Sliema</v>
      </c>
      <c r="C154" s="8">
        <f ca="1">IFERROR(IF(VLOOKUP($A154,$148:$151,C$1+2,FALSE)=0,C62,0),C62)</f>
        <v>-45437.606462973985</v>
      </c>
      <c r="D154" s="8">
        <f ca="1">IFERROR(IF(VLOOKUP($A154,$148:$151,D$1+2,FALSE)=0,D62,0),D62)</f>
        <v>-40736.443360703342</v>
      </c>
      <c r="E154" s="8">
        <f ca="1">IFERROR(IF(VLOOKUP($A154,$148:$151,E$1+2,FALSE)=0,E62,0),E62)</f>
        <v>-35892.289884070618</v>
      </c>
      <c r="F154" s="8">
        <f ca="1">IFERROR(IF(VLOOKUP($A154,$148:$151,F$1+2,FALSE)=0,F62,0),F62)</f>
        <v>-30900.796844010245</v>
      </c>
      <c r="G154" s="8">
        <f ca="1">IFERROR(IF(VLOOKUP($A154,$148:$151,G$1+2,FALSE)=0,G62,0),G62)</f>
        <v>-25757.48276670936</v>
      </c>
      <c r="H154" s="8">
        <f ca="1">IFERROR(IF(VLOOKUP($A154,$148:$151,H$1+2,FALSE)=0,H62,0),H62)</f>
        <v>-20457.729870040646</v>
      </c>
      <c r="I154" s="8">
        <f t="shared" ref="I154:AM154" ca="1" si="495">IFERROR(IF(VLOOKUP($A154,$148:$151,I$1+2,FALSE)=0,I62,0),I62)</f>
        <v>-14996.779917614593</v>
      </c>
      <c r="J154" s="8">
        <f t="shared" ca="1" si="495"/>
        <v>-9369.7299467287376</v>
      </c>
      <c r="K154" s="8">
        <f t="shared" ca="1" si="495"/>
        <v>-3571.5278663783029</v>
      </c>
      <c r="L154" s="8">
        <f t="shared" ca="1" si="495"/>
        <v>0</v>
      </c>
      <c r="M154" s="8">
        <f t="shared" ca="1" si="495"/>
        <v>0</v>
      </c>
      <c r="N154" s="8">
        <f t="shared" ca="1" si="495"/>
        <v>0</v>
      </c>
      <c r="O154" s="8">
        <f t="shared" ca="1" si="495"/>
        <v>0</v>
      </c>
      <c r="P154" s="8">
        <f t="shared" ca="1" si="495"/>
        <v>0</v>
      </c>
      <c r="Q154" s="8">
        <f t="shared" ca="1" si="495"/>
        <v>0</v>
      </c>
      <c r="R154" s="8">
        <f t="shared" ca="1" si="495"/>
        <v>0</v>
      </c>
      <c r="S154" s="8">
        <f t="shared" ca="1" si="495"/>
        <v>0</v>
      </c>
      <c r="T154" s="8">
        <f t="shared" ca="1" si="495"/>
        <v>0</v>
      </c>
      <c r="U154" s="8">
        <f t="shared" ca="1" si="495"/>
        <v>0</v>
      </c>
      <c r="V154" s="8">
        <f t="shared" ca="1" si="495"/>
        <v>0</v>
      </c>
      <c r="W154" s="8">
        <f t="shared" ca="1" si="495"/>
        <v>0</v>
      </c>
      <c r="X154" s="8">
        <f t="shared" ca="1" si="495"/>
        <v>0</v>
      </c>
      <c r="Y154" s="8">
        <f t="shared" ca="1" si="495"/>
        <v>0</v>
      </c>
      <c r="Z154" s="8">
        <f t="shared" ca="1" si="495"/>
        <v>0</v>
      </c>
      <c r="AA154" s="8">
        <f t="shared" ca="1" si="495"/>
        <v>0</v>
      </c>
      <c r="AB154" s="8">
        <f t="shared" ca="1" si="495"/>
        <v>0</v>
      </c>
      <c r="AC154" s="8">
        <f t="shared" ca="1" si="495"/>
        <v>0</v>
      </c>
      <c r="AD154" s="8">
        <f t="shared" ca="1" si="495"/>
        <v>0</v>
      </c>
      <c r="AE154" s="8">
        <f t="shared" ca="1" si="495"/>
        <v>0</v>
      </c>
      <c r="AF154" s="8">
        <f t="shared" ca="1" si="495"/>
        <v>0</v>
      </c>
      <c r="AG154" s="8">
        <f t="shared" ca="1" si="495"/>
        <v>0</v>
      </c>
      <c r="AH154" s="8">
        <f t="shared" ca="1" si="495"/>
        <v>0</v>
      </c>
      <c r="AI154" s="8">
        <f t="shared" ca="1" si="495"/>
        <v>0</v>
      </c>
      <c r="AJ154" s="8">
        <f t="shared" ca="1" si="495"/>
        <v>0</v>
      </c>
      <c r="AK154" s="8">
        <f t="shared" ca="1" si="495"/>
        <v>0</v>
      </c>
      <c r="AL154" s="8">
        <f t="shared" ca="1" si="495"/>
        <v>0</v>
      </c>
      <c r="AM154" s="8">
        <f t="shared" ca="1" si="495"/>
        <v>0</v>
      </c>
    </row>
    <row r="155" spans="1:39" x14ac:dyDescent="0.2">
      <c r="A155" s="18" t="str">
        <f>$A$57</f>
        <v>Gzira</v>
      </c>
      <c r="C155" s="8">
        <f ca="1">IFERROR(IF(VLOOKUP($A155,$148:$151,C$1+2,FALSE)=0,C63,0),C63)</f>
        <v>-6249.4443415125261</v>
      </c>
      <c r="D155" s="8">
        <f ca="1">IFERROR(IF(VLOOKUP($A155,$148:$151,D$1+2,FALSE)=0,D63,0),D63)</f>
        <v>-3953.4626671330816</v>
      </c>
      <c r="E155" s="8">
        <f ca="1">IFERROR(IF(VLOOKUP($A155,$148:$151,E$1+2,FALSE)=0,E63,0),E63)</f>
        <v>-1611.1380819997976</v>
      </c>
      <c r="F155" s="8">
        <f ca="1">IFERROR(IF(VLOOKUP($A155,$148:$151,F$1+2,FALSE)=0,F63,0),F63)</f>
        <v>0</v>
      </c>
      <c r="G155" s="8">
        <f ca="1">IFERROR(IF(VLOOKUP($A155,$148:$151,G$1+2,FALSE)=0,G63,0),G63)</f>
        <v>0</v>
      </c>
      <c r="H155" s="8">
        <f ca="1">IFERROR(IF(VLOOKUP($A155,$148:$151,H$1+2,FALSE)=0,H63,0),H63)</f>
        <v>0</v>
      </c>
      <c r="I155" s="8">
        <f t="shared" ref="I155:AM155" ca="1" si="496">IFERROR(IF(VLOOKUP($A155,$148:$151,I$1+2,FALSE)=0,I63,0),I63)</f>
        <v>0</v>
      </c>
      <c r="J155" s="8">
        <f t="shared" ca="1" si="496"/>
        <v>0</v>
      </c>
      <c r="K155" s="8">
        <f t="shared" ca="1" si="496"/>
        <v>0</v>
      </c>
      <c r="L155" s="8">
        <f t="shared" ca="1" si="496"/>
        <v>0</v>
      </c>
      <c r="M155" s="8">
        <f t="shared" ca="1" si="496"/>
        <v>0</v>
      </c>
      <c r="N155" s="8">
        <f t="shared" ca="1" si="496"/>
        <v>0</v>
      </c>
      <c r="O155" s="8">
        <f t="shared" ca="1" si="496"/>
        <v>0</v>
      </c>
      <c r="P155" s="8">
        <f t="shared" ca="1" si="496"/>
        <v>0</v>
      </c>
      <c r="Q155" s="8">
        <f t="shared" ca="1" si="496"/>
        <v>0</v>
      </c>
      <c r="R155" s="8">
        <f t="shared" ca="1" si="496"/>
        <v>0</v>
      </c>
      <c r="S155" s="8">
        <f t="shared" ca="1" si="496"/>
        <v>0</v>
      </c>
      <c r="T155" s="8">
        <f t="shared" ca="1" si="496"/>
        <v>0</v>
      </c>
      <c r="U155" s="8">
        <f t="shared" ca="1" si="496"/>
        <v>0</v>
      </c>
      <c r="V155" s="8">
        <f t="shared" ca="1" si="496"/>
        <v>0</v>
      </c>
      <c r="W155" s="8">
        <f t="shared" ca="1" si="496"/>
        <v>0</v>
      </c>
      <c r="X155" s="8">
        <f t="shared" ca="1" si="496"/>
        <v>0</v>
      </c>
      <c r="Y155" s="8">
        <f t="shared" ca="1" si="496"/>
        <v>0</v>
      </c>
      <c r="Z155" s="8">
        <f t="shared" ca="1" si="496"/>
        <v>0</v>
      </c>
      <c r="AA155" s="8">
        <f t="shared" ca="1" si="496"/>
        <v>0</v>
      </c>
      <c r="AB155" s="8">
        <f t="shared" ca="1" si="496"/>
        <v>0</v>
      </c>
      <c r="AC155" s="8">
        <f t="shared" ca="1" si="496"/>
        <v>0</v>
      </c>
      <c r="AD155" s="8">
        <f t="shared" ca="1" si="496"/>
        <v>0</v>
      </c>
      <c r="AE155" s="8">
        <f t="shared" ca="1" si="496"/>
        <v>0</v>
      </c>
      <c r="AF155" s="8">
        <f t="shared" ca="1" si="496"/>
        <v>0</v>
      </c>
      <c r="AG155" s="8">
        <f t="shared" ca="1" si="496"/>
        <v>0</v>
      </c>
      <c r="AH155" s="8">
        <f t="shared" ca="1" si="496"/>
        <v>0</v>
      </c>
      <c r="AI155" s="8">
        <f t="shared" ca="1" si="496"/>
        <v>0</v>
      </c>
      <c r="AJ155" s="8">
        <f t="shared" ca="1" si="496"/>
        <v>0</v>
      </c>
      <c r="AK155" s="8">
        <f t="shared" ca="1" si="496"/>
        <v>0</v>
      </c>
      <c r="AL155" s="8">
        <f t="shared" ca="1" si="496"/>
        <v>0</v>
      </c>
      <c r="AM155" s="8">
        <f t="shared" ca="1" si="496"/>
        <v>0</v>
      </c>
    </row>
    <row r="156" spans="1:39" x14ac:dyDescent="0.2">
      <c r="A156" s="18" t="str">
        <f>$A$58</f>
        <v>Qormi</v>
      </c>
      <c r="C156" s="8">
        <f ca="1">IFERROR(IF(VLOOKUP($A156,$148:$151,C$1+2,FALSE)=0,C64,0),C64)</f>
        <v>-12697.714595321995</v>
      </c>
      <c r="D156" s="8">
        <f ca="1">IFERROR(IF(VLOOKUP($A156,$148:$151,D$1+2,FALSE)=0,D64,0),D64)</f>
        <v>-10277.63989987525</v>
      </c>
      <c r="E156" s="8">
        <f ca="1">IFERROR(IF(VLOOKUP($A156,$148:$151,E$1+2,FALSE)=0,E64,0),E64)</f>
        <v>-7733.7495899939004</v>
      </c>
      <c r="F156" s="8">
        <f ca="1">IFERROR(IF(VLOOKUP($A156,$148:$151,F$1+2,FALSE)=0,F64,0),F64)</f>
        <v>-5059.7090238560577</v>
      </c>
      <c r="G156" s="8">
        <f ca="1">IFERROR(IF(VLOOKUP($A156,$148:$151,G$1+2,FALSE)=0,G64,0),G64)</f>
        <v>-2248.8594673418665</v>
      </c>
      <c r="H156" s="8">
        <f ca="1">IFERROR(IF(VLOOKUP($A156,$148:$151,H$1+2,FALSE)=0,H64,0),H64)</f>
        <v>0</v>
      </c>
      <c r="I156" s="8">
        <f t="shared" ref="I156:AM156" ca="1" si="497">IFERROR(IF(VLOOKUP($A156,$148:$151,I$1+2,FALSE)=0,I64,0),I64)</f>
        <v>0</v>
      </c>
      <c r="J156" s="8">
        <f t="shared" ca="1" si="497"/>
        <v>0</v>
      </c>
      <c r="K156" s="8">
        <f t="shared" ca="1" si="497"/>
        <v>0</v>
      </c>
      <c r="L156" s="8">
        <f t="shared" ca="1" si="497"/>
        <v>0</v>
      </c>
      <c r="M156" s="8">
        <f t="shared" ca="1" si="497"/>
        <v>0</v>
      </c>
      <c r="N156" s="8">
        <f t="shared" ca="1" si="497"/>
        <v>0</v>
      </c>
      <c r="O156" s="8">
        <f t="shared" ca="1" si="497"/>
        <v>0</v>
      </c>
      <c r="P156" s="8">
        <f t="shared" ca="1" si="497"/>
        <v>0</v>
      </c>
      <c r="Q156" s="8">
        <f t="shared" ca="1" si="497"/>
        <v>0</v>
      </c>
      <c r="R156" s="8">
        <f t="shared" ca="1" si="497"/>
        <v>0</v>
      </c>
      <c r="S156" s="8">
        <f t="shared" ca="1" si="497"/>
        <v>0</v>
      </c>
      <c r="T156" s="8">
        <f t="shared" ca="1" si="497"/>
        <v>0</v>
      </c>
      <c r="U156" s="8">
        <f t="shared" ca="1" si="497"/>
        <v>0</v>
      </c>
      <c r="V156" s="8">
        <f t="shared" ca="1" si="497"/>
        <v>0</v>
      </c>
      <c r="W156" s="8">
        <f t="shared" ca="1" si="497"/>
        <v>0</v>
      </c>
      <c r="X156" s="8">
        <f t="shared" ca="1" si="497"/>
        <v>0</v>
      </c>
      <c r="Y156" s="8">
        <f t="shared" ca="1" si="497"/>
        <v>0</v>
      </c>
      <c r="Z156" s="8">
        <f t="shared" ca="1" si="497"/>
        <v>0</v>
      </c>
      <c r="AA156" s="8">
        <f t="shared" ca="1" si="497"/>
        <v>0</v>
      </c>
      <c r="AB156" s="8">
        <f t="shared" ca="1" si="497"/>
        <v>0</v>
      </c>
      <c r="AC156" s="8">
        <f t="shared" ca="1" si="497"/>
        <v>0</v>
      </c>
      <c r="AD156" s="8">
        <f t="shared" ca="1" si="497"/>
        <v>0</v>
      </c>
      <c r="AE156" s="8">
        <f t="shared" ca="1" si="497"/>
        <v>0</v>
      </c>
      <c r="AF156" s="8">
        <f t="shared" ca="1" si="497"/>
        <v>0</v>
      </c>
      <c r="AG156" s="8">
        <f t="shared" ca="1" si="497"/>
        <v>0</v>
      </c>
      <c r="AH156" s="8">
        <f t="shared" ca="1" si="497"/>
        <v>0</v>
      </c>
      <c r="AI156" s="8">
        <f t="shared" ca="1" si="497"/>
        <v>0</v>
      </c>
      <c r="AJ156" s="8">
        <f t="shared" ca="1" si="497"/>
        <v>0</v>
      </c>
      <c r="AK156" s="8">
        <f t="shared" ca="1" si="497"/>
        <v>0</v>
      </c>
      <c r="AL156" s="8">
        <f t="shared" ca="1" si="497"/>
        <v>0</v>
      </c>
      <c r="AM156" s="8">
        <f t="shared" ca="1" si="497"/>
        <v>0</v>
      </c>
    </row>
    <row r="157" spans="1:39" x14ac:dyDescent="0.2"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</row>
    <row r="158" spans="1:39" x14ac:dyDescent="0.2">
      <c r="A158" s="4" t="s">
        <v>68</v>
      </c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</row>
    <row r="159" spans="1:39" x14ac:dyDescent="0.2">
      <c r="A159" s="18" t="str">
        <f t="shared" ref="A159:A171" si="498">A53</f>
        <v>Cash</v>
      </c>
      <c r="C159" s="8">
        <f ca="1">C134</f>
        <v>75752.5</v>
      </c>
      <c r="D159" s="8">
        <f t="shared" ref="D159:G159" ca="1" si="499">D134</f>
        <v>104902.8125</v>
      </c>
      <c r="E159" s="8">
        <f t="shared" ca="1" si="499"/>
        <v>114244.71249999999</v>
      </c>
      <c r="F159" s="8">
        <f t="shared" ca="1" si="499"/>
        <v>155351.48395239323</v>
      </c>
      <c r="G159" s="8">
        <f t="shared" ca="1" si="499"/>
        <v>201221.49120440619</v>
      </c>
      <c r="H159" s="8">
        <f t="shared" ref="H159:AM159" ca="1" si="500">H134</f>
        <v>261189.83792477695</v>
      </c>
      <c r="I159" s="8">
        <f t="shared" ref="I159:AM159" ca="1" si="501">I134</f>
        <v>231316.96765010577</v>
      </c>
      <c r="J159" s="8">
        <f t="shared" ca="1" si="501"/>
        <v>182082.45452169742</v>
      </c>
      <c r="K159" s="8">
        <f t="shared" ca="1" si="501"/>
        <v>211064.10395191278</v>
      </c>
      <c r="L159" s="8">
        <f t="shared" ca="1" si="501"/>
        <v>145851.09277158603</v>
      </c>
      <c r="M159" s="8">
        <f t="shared" ca="1" si="501"/>
        <v>130439.67534730829</v>
      </c>
      <c r="N159" s="8">
        <f t="shared" ca="1" si="501"/>
        <v>114370.63741894731</v>
      </c>
      <c r="O159" s="8">
        <f t="shared" ca="1" si="501"/>
        <v>97626.853316192486</v>
      </c>
      <c r="P159" s="8">
        <f t="shared" ca="1" si="501"/>
        <v>80190.935794602876</v>
      </c>
      <c r="Q159" s="8">
        <f t="shared" ca="1" si="501"/>
        <v>62045.239171341629</v>
      </c>
      <c r="R159" s="8">
        <f t="shared" ca="1" si="501"/>
        <v>43171.862946508052</v>
      </c>
      <c r="S159" s="8">
        <f t="shared" ca="1" si="501"/>
        <v>43092.461169291615</v>
      </c>
      <c r="T159" s="8">
        <f t="shared" ca="1" si="501"/>
        <v>50929.014126519869</v>
      </c>
      <c r="U159" s="8">
        <f t="shared" ca="1" si="501"/>
        <v>59381.488177530009</v>
      </c>
      <c r="V159" s="8">
        <f t="shared" ca="1" si="501"/>
        <v>68483.312318437413</v>
      </c>
      <c r="W159" s="8">
        <f t="shared" ca="1" si="501"/>
        <v>78269.427968090327</v>
      </c>
      <c r="X159" s="8">
        <f t="shared" ca="1" si="501"/>
        <v>68369.430980525751</v>
      </c>
      <c r="Y159" s="8">
        <f t="shared" ca="1" si="501"/>
        <v>58208.047989181272</v>
      </c>
      <c r="Z159" s="8">
        <f t="shared" ca="1" si="501"/>
        <v>47786.87315912747</v>
      </c>
      <c r="AA159" s="8">
        <f t="shared" ca="1" si="501"/>
        <v>40000</v>
      </c>
      <c r="AB159" s="8">
        <f t="shared" ca="1" si="501"/>
        <v>40000</v>
      </c>
      <c r="AC159" s="8">
        <f t="shared" ca="1" si="501"/>
        <v>40000</v>
      </c>
      <c r="AD159" s="8">
        <f t="shared" ca="1" si="501"/>
        <v>40000</v>
      </c>
      <c r="AE159" s="8">
        <f t="shared" ca="1" si="501"/>
        <v>40000</v>
      </c>
      <c r="AF159" s="8">
        <f t="shared" ca="1" si="501"/>
        <v>40000</v>
      </c>
      <c r="AG159" s="8">
        <f t="shared" ca="1" si="501"/>
        <v>40000</v>
      </c>
      <c r="AH159" s="8">
        <f t="shared" ca="1" si="501"/>
        <v>40000</v>
      </c>
      <c r="AI159" s="8">
        <f t="shared" ca="1" si="501"/>
        <v>40000</v>
      </c>
      <c r="AJ159" s="8">
        <f t="shared" ca="1" si="501"/>
        <v>40303.747886207013</v>
      </c>
      <c r="AK159" s="8">
        <f t="shared" ca="1" si="501"/>
        <v>41019.393838176358</v>
      </c>
      <c r="AL159" s="8">
        <f t="shared" ca="1" si="501"/>
        <v>42179.427619197042</v>
      </c>
      <c r="AM159" s="8">
        <f t="shared" ca="1" si="501"/>
        <v>43818.068585504254</v>
      </c>
    </row>
    <row r="160" spans="1:39" x14ac:dyDescent="0.2">
      <c r="A160" s="18" t="str">
        <f t="shared" si="498"/>
        <v>Home</v>
      </c>
      <c r="C160" s="8">
        <f t="shared" ref="C160:AM160" si="502">C54</f>
        <v>618000</v>
      </c>
      <c r="D160" s="8">
        <f t="shared" si="502"/>
        <v>636540</v>
      </c>
      <c r="E160" s="8">
        <f t="shared" si="502"/>
        <v>655636.20000000007</v>
      </c>
      <c r="F160" s="8">
        <f t="shared" si="502"/>
        <v>675305.28600000008</v>
      </c>
      <c r="G160" s="8">
        <f t="shared" si="502"/>
        <v>695564.44458000013</v>
      </c>
      <c r="H160" s="8">
        <f t="shared" si="502"/>
        <v>716431.3779174001</v>
      </c>
      <c r="I160" s="8">
        <f t="shared" ref="I160:AM160" si="503">I54</f>
        <v>737924.3192549221</v>
      </c>
      <c r="J160" s="8">
        <f t="shared" si="503"/>
        <v>760062.04883256974</v>
      </c>
      <c r="K160" s="8">
        <f t="shared" si="503"/>
        <v>782863.91029754688</v>
      </c>
      <c r="L160" s="8">
        <f t="shared" si="503"/>
        <v>806349.82760647335</v>
      </c>
      <c r="M160" s="8">
        <f t="shared" si="503"/>
        <v>830540.32243466761</v>
      </c>
      <c r="N160" s="8">
        <f t="shared" si="503"/>
        <v>855456.5321077077</v>
      </c>
      <c r="O160" s="8">
        <f t="shared" si="503"/>
        <v>881120.22807093896</v>
      </c>
      <c r="P160" s="8">
        <f t="shared" si="503"/>
        <v>907553.83491306717</v>
      </c>
      <c r="Q160" s="8">
        <f t="shared" si="503"/>
        <v>934780.44996045926</v>
      </c>
      <c r="R160" s="8">
        <f t="shared" si="503"/>
        <v>962823.86345927301</v>
      </c>
      <c r="S160" s="8">
        <f t="shared" si="503"/>
        <v>991708.57936305122</v>
      </c>
      <c r="T160" s="8">
        <f t="shared" si="503"/>
        <v>1021459.8367439428</v>
      </c>
      <c r="U160" s="8">
        <f t="shared" si="503"/>
        <v>1052103.6318462612</v>
      </c>
      <c r="V160" s="8">
        <f t="shared" si="503"/>
        <v>1083666.7408016492</v>
      </c>
      <c r="W160" s="8">
        <f t="shared" si="503"/>
        <v>1116176.7430256987</v>
      </c>
      <c r="X160" s="8">
        <f t="shared" si="503"/>
        <v>1149662.0453164696</v>
      </c>
      <c r="Y160" s="8">
        <f t="shared" si="503"/>
        <v>1184151.9066759637</v>
      </c>
      <c r="Z160" s="8">
        <f t="shared" si="503"/>
        <v>1219676.4638762425</v>
      </c>
      <c r="AA160" s="8">
        <f t="shared" si="503"/>
        <v>1256266.7577925299</v>
      </c>
      <c r="AB160" s="8">
        <f t="shared" si="503"/>
        <v>1293954.7605263058</v>
      </c>
      <c r="AC160" s="8">
        <f t="shared" si="503"/>
        <v>1332773.403342095</v>
      </c>
      <c r="AD160" s="8">
        <f t="shared" si="503"/>
        <v>1372756.6054423579</v>
      </c>
      <c r="AE160" s="8">
        <f t="shared" si="503"/>
        <v>1413939.3036056287</v>
      </c>
      <c r="AF160" s="8">
        <f t="shared" si="503"/>
        <v>1456357.4827137976</v>
      </c>
      <c r="AG160" s="8">
        <f t="shared" si="503"/>
        <v>1500048.2071952117</v>
      </c>
      <c r="AH160" s="8">
        <f t="shared" si="503"/>
        <v>1545049.653411068</v>
      </c>
      <c r="AI160" s="8">
        <f t="shared" si="503"/>
        <v>1591401.1430134</v>
      </c>
      <c r="AJ160" s="8">
        <f t="shared" si="503"/>
        <v>1639143.177303802</v>
      </c>
      <c r="AK160" s="8">
        <f t="shared" si="503"/>
        <v>1688317.4726229161</v>
      </c>
      <c r="AL160" s="8">
        <f t="shared" si="503"/>
        <v>1738966.9968016036</v>
      </c>
      <c r="AM160" s="8">
        <f t="shared" si="503"/>
        <v>1791136.0067056518</v>
      </c>
    </row>
    <row r="161" spans="1:39" x14ac:dyDescent="0.2">
      <c r="A161" s="18" t="str">
        <f t="shared" si="498"/>
        <v>Other property</v>
      </c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</row>
    <row r="162" spans="1:39" x14ac:dyDescent="0.2">
      <c r="A162" s="19" t="str">
        <f t="shared" si="498"/>
        <v>Sliema</v>
      </c>
      <c r="C162" s="8">
        <f t="shared" ref="C162:G164" ca="1" si="504">C144</f>
        <v>309000</v>
      </c>
      <c r="D162" s="8">
        <f t="shared" ca="1" si="504"/>
        <v>318270</v>
      </c>
      <c r="E162" s="8">
        <f t="shared" ca="1" si="504"/>
        <v>327818.10000000003</v>
      </c>
      <c r="F162" s="8">
        <f t="shared" ca="1" si="504"/>
        <v>337652.64300000004</v>
      </c>
      <c r="G162" s="8">
        <f t="shared" ca="1" si="504"/>
        <v>347782.22229000006</v>
      </c>
      <c r="H162" s="8">
        <f t="shared" ref="H162:AM162" ca="1" si="505">H144</f>
        <v>358215.68895870005</v>
      </c>
      <c r="I162" s="8">
        <f t="shared" ref="I162:AM162" ca="1" si="506">I144</f>
        <v>368962.15962746105</v>
      </c>
      <c r="J162" s="8">
        <f t="shared" ca="1" si="506"/>
        <v>380031.02441628487</v>
      </c>
      <c r="K162" s="8">
        <f t="shared" ca="1" si="506"/>
        <v>391431.95514877344</v>
      </c>
      <c r="L162" s="8">
        <f t="shared" ca="1" si="506"/>
        <v>403174.91380323668</v>
      </c>
      <c r="M162" s="8">
        <f t="shared" ca="1" si="506"/>
        <v>415270.16121733381</v>
      </c>
      <c r="N162" s="8">
        <f t="shared" ca="1" si="506"/>
        <v>427728.26605385385</v>
      </c>
      <c r="O162" s="8">
        <f t="shared" ca="1" si="506"/>
        <v>440560.11403546948</v>
      </c>
      <c r="P162" s="8">
        <f t="shared" ca="1" si="506"/>
        <v>453776.91745653359</v>
      </c>
      <c r="Q162" s="8">
        <f t="shared" ca="1" si="506"/>
        <v>467390.22498022963</v>
      </c>
      <c r="R162" s="8">
        <f t="shared" ca="1" si="506"/>
        <v>481411.9317296365</v>
      </c>
      <c r="S162" s="8">
        <f t="shared" ca="1" si="506"/>
        <v>495854.28968152561</v>
      </c>
      <c r="T162" s="8">
        <f t="shared" ca="1" si="506"/>
        <v>510729.91837197141</v>
      </c>
      <c r="U162" s="8">
        <f t="shared" ca="1" si="506"/>
        <v>526051.81592313061</v>
      </c>
      <c r="V162" s="8">
        <f t="shared" ca="1" si="506"/>
        <v>541833.37040082458</v>
      </c>
      <c r="W162" s="8">
        <f t="shared" ca="1" si="506"/>
        <v>558088.37151284935</v>
      </c>
      <c r="X162" s="8">
        <f t="shared" ca="1" si="506"/>
        <v>574831.02265823481</v>
      </c>
      <c r="Y162" s="8">
        <f t="shared" ca="1" si="506"/>
        <v>592075.95333798183</v>
      </c>
      <c r="Z162" s="8">
        <f t="shared" ca="1" si="506"/>
        <v>609838.23193812126</v>
      </c>
      <c r="AA162" s="8">
        <f t="shared" ca="1" si="506"/>
        <v>628133.37889626494</v>
      </c>
      <c r="AB162" s="8">
        <f t="shared" ca="1" si="506"/>
        <v>646977.38026315288</v>
      </c>
      <c r="AC162" s="8">
        <f t="shared" ca="1" si="506"/>
        <v>666386.70167104749</v>
      </c>
      <c r="AD162" s="8">
        <f t="shared" ca="1" si="506"/>
        <v>686378.30272117897</v>
      </c>
      <c r="AE162" s="8">
        <f t="shared" ca="1" si="506"/>
        <v>706969.65180281433</v>
      </c>
      <c r="AF162" s="8">
        <f t="shared" ca="1" si="506"/>
        <v>728178.7413568988</v>
      </c>
      <c r="AG162" s="8">
        <f t="shared" ca="1" si="506"/>
        <v>750024.10359760583</v>
      </c>
      <c r="AH162" s="8">
        <f t="shared" ca="1" si="506"/>
        <v>772524.82670553401</v>
      </c>
      <c r="AI162" s="8">
        <f t="shared" ca="1" si="506"/>
        <v>795700.57150670001</v>
      </c>
      <c r="AJ162" s="8">
        <f t="shared" ca="1" si="506"/>
        <v>819571.58865190099</v>
      </c>
      <c r="AK162" s="8">
        <f t="shared" ca="1" si="506"/>
        <v>844158.73631145805</v>
      </c>
      <c r="AL162" s="8">
        <f t="shared" ca="1" si="506"/>
        <v>869483.49840080179</v>
      </c>
      <c r="AM162" s="8">
        <f t="shared" ca="1" si="506"/>
        <v>895568.00335282588</v>
      </c>
    </row>
    <row r="163" spans="1:39" x14ac:dyDescent="0.2">
      <c r="A163" s="19" t="str">
        <f t="shared" si="498"/>
        <v>Gzira</v>
      </c>
      <c r="C163" s="8">
        <f t="shared" ca="1" si="504"/>
        <v>154500</v>
      </c>
      <c r="D163" s="8">
        <f t="shared" ca="1" si="504"/>
        <v>159135</v>
      </c>
      <c r="E163" s="8">
        <f t="shared" ca="1" si="504"/>
        <v>163909.05000000002</v>
      </c>
      <c r="F163" s="8">
        <f t="shared" ca="1" si="504"/>
        <v>168826.32150000002</v>
      </c>
      <c r="G163" s="8">
        <f t="shared" ca="1" si="504"/>
        <v>173891.11114500003</v>
      </c>
      <c r="H163" s="8">
        <f t="shared" ref="H163:AM163" ca="1" si="507">H145</f>
        <v>179107.84447935002</v>
      </c>
      <c r="I163" s="8">
        <f t="shared" ref="I163:AM163" ca="1" si="508">I145</f>
        <v>184481.07981373052</v>
      </c>
      <c r="J163" s="8">
        <f t="shared" ca="1" si="508"/>
        <v>190015.51220814243</v>
      </c>
      <c r="K163" s="8">
        <f t="shared" ca="1" si="508"/>
        <v>195715.97757438672</v>
      </c>
      <c r="L163" s="8">
        <f t="shared" ca="1" si="508"/>
        <v>201587.45690161834</v>
      </c>
      <c r="M163" s="8">
        <f t="shared" ca="1" si="508"/>
        <v>207635.0806086669</v>
      </c>
      <c r="N163" s="8">
        <f t="shared" ca="1" si="508"/>
        <v>213864.13302692692</v>
      </c>
      <c r="O163" s="8">
        <f t="shared" ca="1" si="508"/>
        <v>220280.05701773474</v>
      </c>
      <c r="P163" s="8">
        <f t="shared" ca="1" si="508"/>
        <v>226888.45872826679</v>
      </c>
      <c r="Q163" s="8">
        <f t="shared" ca="1" si="508"/>
        <v>233695.11249011481</v>
      </c>
      <c r="R163" s="8">
        <f t="shared" ca="1" si="508"/>
        <v>240705.96586481825</v>
      </c>
      <c r="S163" s="8">
        <f t="shared" ca="1" si="508"/>
        <v>247927.1448407628</v>
      </c>
      <c r="T163" s="8">
        <f t="shared" ca="1" si="508"/>
        <v>255364.9591859857</v>
      </c>
      <c r="U163" s="8">
        <f t="shared" ca="1" si="508"/>
        <v>263025.9079615653</v>
      </c>
      <c r="V163" s="8">
        <f t="shared" ca="1" si="508"/>
        <v>270916.68520041229</v>
      </c>
      <c r="W163" s="8">
        <f t="shared" ca="1" si="508"/>
        <v>279044.18575642467</v>
      </c>
      <c r="X163" s="8">
        <f t="shared" ca="1" si="508"/>
        <v>287415.51132911741</v>
      </c>
      <c r="Y163" s="8">
        <f t="shared" ca="1" si="508"/>
        <v>296037.97666899092</v>
      </c>
      <c r="Z163" s="8">
        <f t="shared" ca="1" si="508"/>
        <v>304919.11596906063</v>
      </c>
      <c r="AA163" s="8">
        <f t="shared" ca="1" si="508"/>
        <v>314066.68944813247</v>
      </c>
      <c r="AB163" s="8">
        <f t="shared" ca="1" si="508"/>
        <v>323488.69013157644</v>
      </c>
      <c r="AC163" s="8">
        <f t="shared" ca="1" si="508"/>
        <v>333193.35083552374</v>
      </c>
      <c r="AD163" s="8">
        <f t="shared" ca="1" si="508"/>
        <v>343189.15136058949</v>
      </c>
      <c r="AE163" s="8">
        <f t="shared" ca="1" si="508"/>
        <v>353484.82590140717</v>
      </c>
      <c r="AF163" s="8">
        <f t="shared" ca="1" si="508"/>
        <v>364089.3706784494</v>
      </c>
      <c r="AG163" s="8">
        <f t="shared" ca="1" si="508"/>
        <v>375012.05179880292</v>
      </c>
      <c r="AH163" s="8">
        <f t="shared" ca="1" si="508"/>
        <v>386262.41335276701</v>
      </c>
      <c r="AI163" s="8">
        <f t="shared" ca="1" si="508"/>
        <v>397850.28575335001</v>
      </c>
      <c r="AJ163" s="8">
        <f t="shared" ca="1" si="508"/>
        <v>409785.7943259505</v>
      </c>
      <c r="AK163" s="8">
        <f t="shared" ca="1" si="508"/>
        <v>422079.36815572903</v>
      </c>
      <c r="AL163" s="8">
        <f t="shared" ca="1" si="508"/>
        <v>434741.7492004009</v>
      </c>
      <c r="AM163" s="8">
        <f t="shared" ca="1" si="508"/>
        <v>447784.00167641294</v>
      </c>
    </row>
    <row r="164" spans="1:39" x14ac:dyDescent="0.2">
      <c r="A164" s="19" t="str">
        <f t="shared" si="498"/>
        <v>Qormi</v>
      </c>
      <c r="C164" s="8">
        <f t="shared" ca="1" si="504"/>
        <v>226600</v>
      </c>
      <c r="D164" s="8">
        <f t="shared" ca="1" si="504"/>
        <v>233398</v>
      </c>
      <c r="E164" s="8">
        <f t="shared" ca="1" si="504"/>
        <v>240399.94</v>
      </c>
      <c r="F164" s="8">
        <f t="shared" ca="1" si="504"/>
        <v>247611.9382</v>
      </c>
      <c r="G164" s="8">
        <f t="shared" ca="1" si="504"/>
        <v>255040.29634600002</v>
      </c>
      <c r="H164" s="8">
        <f t="shared" ref="H164:AM164" ca="1" si="509">H146</f>
        <v>262691.50523638004</v>
      </c>
      <c r="I164" s="8">
        <f t="shared" ref="I164:AM164" ca="1" si="510">I146</f>
        <v>270572.25039347145</v>
      </c>
      <c r="J164" s="8">
        <f t="shared" ca="1" si="510"/>
        <v>278689.41790527559</v>
      </c>
      <c r="K164" s="8">
        <f t="shared" ca="1" si="510"/>
        <v>287050.10044243385</v>
      </c>
      <c r="L164" s="8">
        <f t="shared" ca="1" si="510"/>
        <v>295661.60345570685</v>
      </c>
      <c r="M164" s="8">
        <f t="shared" ca="1" si="510"/>
        <v>304531.45155937807</v>
      </c>
      <c r="N164" s="8">
        <f t="shared" ca="1" si="510"/>
        <v>313667.39510615944</v>
      </c>
      <c r="O164" s="8">
        <f t="shared" ca="1" si="510"/>
        <v>323077.41695934423</v>
      </c>
      <c r="P164" s="8">
        <f t="shared" ca="1" si="510"/>
        <v>332769.73946812458</v>
      </c>
      <c r="Q164" s="8">
        <f t="shared" ca="1" si="510"/>
        <v>342752.8316521683</v>
      </c>
      <c r="R164" s="8">
        <f t="shared" ca="1" si="510"/>
        <v>353035.41660173336</v>
      </c>
      <c r="S164" s="8">
        <f t="shared" ca="1" si="510"/>
        <v>363626.47909978539</v>
      </c>
      <c r="T164" s="8">
        <f t="shared" ca="1" si="510"/>
        <v>374535.27347277896</v>
      </c>
      <c r="U164" s="8">
        <f t="shared" ca="1" si="510"/>
        <v>385771.33167696232</v>
      </c>
      <c r="V164" s="8">
        <f t="shared" ca="1" si="510"/>
        <v>397344.47162727121</v>
      </c>
      <c r="W164" s="8">
        <f t="shared" ca="1" si="510"/>
        <v>409264.80577608937</v>
      </c>
      <c r="X164" s="8">
        <f t="shared" ca="1" si="510"/>
        <v>421542.74994937208</v>
      </c>
      <c r="Y164" s="8">
        <f t="shared" ca="1" si="510"/>
        <v>434189.03244785324</v>
      </c>
      <c r="Z164" s="8">
        <f t="shared" ca="1" si="510"/>
        <v>447214.70342128887</v>
      </c>
      <c r="AA164" s="8">
        <f t="shared" ca="1" si="510"/>
        <v>460631.14452392753</v>
      </c>
      <c r="AB164" s="8">
        <f t="shared" ca="1" si="510"/>
        <v>474450.07885964535</v>
      </c>
      <c r="AC164" s="8">
        <f t="shared" ca="1" si="510"/>
        <v>488683.58122543473</v>
      </c>
      <c r="AD164" s="8">
        <f t="shared" ca="1" si="510"/>
        <v>503344.08866219776</v>
      </c>
      <c r="AE164" s="8">
        <f t="shared" ca="1" si="510"/>
        <v>518444.41132206371</v>
      </c>
      <c r="AF164" s="8">
        <f t="shared" ca="1" si="510"/>
        <v>533997.74366172566</v>
      </c>
      <c r="AG164" s="8">
        <f t="shared" ca="1" si="510"/>
        <v>550017.67597157741</v>
      </c>
      <c r="AH164" s="8">
        <f t="shared" ca="1" si="510"/>
        <v>566518.20625072473</v>
      </c>
      <c r="AI164" s="8">
        <f t="shared" ca="1" si="510"/>
        <v>583513.75243824651</v>
      </c>
      <c r="AJ164" s="8">
        <f t="shared" ca="1" si="510"/>
        <v>601019.16501139395</v>
      </c>
      <c r="AK164" s="8">
        <f t="shared" ca="1" si="510"/>
        <v>619049.73996173579</v>
      </c>
      <c r="AL164" s="8">
        <f t="shared" ca="1" si="510"/>
        <v>637621.23216058791</v>
      </c>
      <c r="AM164" s="8">
        <f t="shared" ca="1" si="510"/>
        <v>656749.86912540556</v>
      </c>
    </row>
    <row r="165" spans="1:39" x14ac:dyDescent="0.2">
      <c r="A165" s="18" t="str">
        <f t="shared" si="498"/>
        <v>Stock market equity investments</v>
      </c>
      <c r="C165" s="8">
        <f t="shared" ref="C165:AM165" ca="1" si="511">C77</f>
        <v>32400.000000000004</v>
      </c>
      <c r="D165" s="8">
        <f t="shared" ca="1" si="511"/>
        <v>34992.000000000007</v>
      </c>
      <c r="E165" s="8">
        <f t="shared" ca="1" si="511"/>
        <v>37791.360000000008</v>
      </c>
      <c r="F165" s="8">
        <f t="shared" ca="1" si="511"/>
        <v>40814.668800000007</v>
      </c>
      <c r="G165" s="8">
        <f t="shared" ca="1" si="511"/>
        <v>44079.842304000005</v>
      </c>
      <c r="H165" s="8">
        <f t="shared" ca="1" si="511"/>
        <v>47606.229688320003</v>
      </c>
      <c r="I165" s="8">
        <f t="shared" ref="I165:AM165" ca="1" si="512">I77</f>
        <v>51414.728063385606</v>
      </c>
      <c r="J165" s="8">
        <f t="shared" ca="1" si="512"/>
        <v>55527.906308456455</v>
      </c>
      <c r="K165" s="8">
        <f t="shared" ca="1" si="512"/>
        <v>59970.138813132973</v>
      </c>
      <c r="L165" s="8">
        <f t="shared" ca="1" si="512"/>
        <v>64767.74991818361</v>
      </c>
      <c r="M165" s="8">
        <f t="shared" ca="1" si="512"/>
        <v>69949.169911638295</v>
      </c>
      <c r="N165" s="8">
        <f t="shared" ca="1" si="512"/>
        <v>75545.103504569357</v>
      </c>
      <c r="O165" s="8">
        <f t="shared" ca="1" si="512"/>
        <v>81588.711784934902</v>
      </c>
      <c r="P165" s="8">
        <f t="shared" ca="1" si="512"/>
        <v>88115.808727729687</v>
      </c>
      <c r="Q165" s="8">
        <f t="shared" ca="1" si="512"/>
        <v>95165.073425948067</v>
      </c>
      <c r="R165" s="8">
        <f t="shared" ca="1" si="512"/>
        <v>102778.27930002392</v>
      </c>
      <c r="S165" s="8">
        <f t="shared" ca="1" si="512"/>
        <v>111000.54164402583</v>
      </c>
      <c r="T165" s="8">
        <f t="shared" ca="1" si="512"/>
        <v>119880.5849755479</v>
      </c>
      <c r="U165" s="8">
        <f t="shared" ca="1" si="512"/>
        <v>129471.03177359173</v>
      </c>
      <c r="V165" s="8">
        <f t="shared" ca="1" si="512"/>
        <v>139828.71431547907</v>
      </c>
      <c r="W165" s="8">
        <f t="shared" ca="1" si="512"/>
        <v>151015.01146071739</v>
      </c>
      <c r="X165" s="8">
        <f t="shared" ca="1" si="512"/>
        <v>163096.21237757479</v>
      </c>
      <c r="Y165" s="8">
        <f t="shared" ca="1" si="512"/>
        <v>176143.90936778078</v>
      </c>
      <c r="Z165" s="8">
        <f t="shared" ca="1" si="512"/>
        <v>190235.42211720324</v>
      </c>
      <c r="AA165" s="8">
        <f t="shared" ca="1" si="512"/>
        <v>202166.50625465479</v>
      </c>
      <c r="AB165" s="8">
        <f t="shared" ca="1" si="512"/>
        <v>205909.64622201066</v>
      </c>
      <c r="AC165" s="8">
        <f t="shared" ca="1" si="512"/>
        <v>209665.86944037315</v>
      </c>
      <c r="AD165" s="8">
        <f t="shared" ca="1" si="512"/>
        <v>224650.61993828524</v>
      </c>
      <c r="AE165" s="8">
        <f t="shared" ca="1" si="512"/>
        <v>241117.59810298937</v>
      </c>
      <c r="AF165" s="8">
        <f t="shared" ca="1" si="512"/>
        <v>259212.17804608677</v>
      </c>
      <c r="AG165" s="8">
        <f t="shared" ca="1" si="512"/>
        <v>279092.87161902792</v>
      </c>
      <c r="AH165" s="8">
        <f t="shared" ca="1" si="512"/>
        <v>300932.44843053306</v>
      </c>
      <c r="AI165" s="8">
        <f t="shared" ca="1" si="512"/>
        <v>324919.14828359045</v>
      </c>
      <c r="AJ165" s="8">
        <f t="shared" ca="1" si="512"/>
        <v>350912.68014627771</v>
      </c>
      <c r="AK165" s="8">
        <f t="shared" ca="1" si="512"/>
        <v>378985.69455797994</v>
      </c>
      <c r="AL165" s="8">
        <f t="shared" ca="1" si="512"/>
        <v>409304.55012261833</v>
      </c>
      <c r="AM165" s="8">
        <f t="shared" ca="1" si="512"/>
        <v>442048.91413242777</v>
      </c>
    </row>
    <row r="166" spans="1:39" x14ac:dyDescent="0.2">
      <c r="A166" s="18" t="str">
        <f t="shared" si="498"/>
        <v>Home loan</v>
      </c>
      <c r="C166" s="8">
        <f t="shared" ref="C166:AM166" si="513">C60</f>
        <v>-41787.691633353177</v>
      </c>
      <c r="D166" s="8">
        <f t="shared" si="513"/>
        <v>-33325.598049266016</v>
      </c>
      <c r="E166" s="8">
        <f t="shared" si="513"/>
        <v>-24606.12179132711</v>
      </c>
      <c r="F166" s="8">
        <f t="shared" si="513"/>
        <v>-15621.434319218446</v>
      </c>
      <c r="G166" s="8">
        <f t="shared" si="513"/>
        <v>-6363.4689800768465</v>
      </c>
      <c r="H166" s="8">
        <f t="shared" si="513"/>
        <v>0</v>
      </c>
      <c r="I166" s="8">
        <f t="shared" ref="I166:AM166" si="514">I60</f>
        <v>0</v>
      </c>
      <c r="J166" s="8">
        <f t="shared" si="514"/>
        <v>0</v>
      </c>
      <c r="K166" s="8">
        <f t="shared" si="514"/>
        <v>0</v>
      </c>
      <c r="L166" s="8">
        <f t="shared" si="514"/>
        <v>0</v>
      </c>
      <c r="M166" s="8">
        <f t="shared" si="514"/>
        <v>0</v>
      </c>
      <c r="N166" s="8">
        <f t="shared" si="514"/>
        <v>0</v>
      </c>
      <c r="O166" s="8">
        <f t="shared" si="514"/>
        <v>0</v>
      </c>
      <c r="P166" s="8">
        <f t="shared" si="514"/>
        <v>0</v>
      </c>
      <c r="Q166" s="8">
        <f t="shared" si="514"/>
        <v>0</v>
      </c>
      <c r="R166" s="8">
        <f t="shared" si="514"/>
        <v>0</v>
      </c>
      <c r="S166" s="8">
        <f t="shared" si="514"/>
        <v>0</v>
      </c>
      <c r="T166" s="8">
        <f t="shared" si="514"/>
        <v>0</v>
      </c>
      <c r="U166" s="8">
        <f t="shared" si="514"/>
        <v>0</v>
      </c>
      <c r="V166" s="8">
        <f t="shared" si="514"/>
        <v>0</v>
      </c>
      <c r="W166" s="8">
        <f t="shared" si="514"/>
        <v>0</v>
      </c>
      <c r="X166" s="8">
        <f t="shared" si="514"/>
        <v>0</v>
      </c>
      <c r="Y166" s="8">
        <f t="shared" si="514"/>
        <v>0</v>
      </c>
      <c r="Z166" s="8">
        <f t="shared" si="514"/>
        <v>0</v>
      </c>
      <c r="AA166" s="8">
        <f t="shared" si="514"/>
        <v>0</v>
      </c>
      <c r="AB166" s="8">
        <f t="shared" si="514"/>
        <v>0</v>
      </c>
      <c r="AC166" s="8">
        <f t="shared" si="514"/>
        <v>0</v>
      </c>
      <c r="AD166" s="8">
        <f t="shared" si="514"/>
        <v>0</v>
      </c>
      <c r="AE166" s="8">
        <f t="shared" si="514"/>
        <v>0</v>
      </c>
      <c r="AF166" s="8">
        <f t="shared" si="514"/>
        <v>0</v>
      </c>
      <c r="AG166" s="8">
        <f t="shared" si="514"/>
        <v>0</v>
      </c>
      <c r="AH166" s="8">
        <f t="shared" si="514"/>
        <v>0</v>
      </c>
      <c r="AI166" s="8">
        <f t="shared" si="514"/>
        <v>0</v>
      </c>
      <c r="AJ166" s="8">
        <f t="shared" si="514"/>
        <v>0</v>
      </c>
      <c r="AK166" s="8">
        <f t="shared" si="514"/>
        <v>0</v>
      </c>
      <c r="AL166" s="8">
        <f t="shared" si="514"/>
        <v>0</v>
      </c>
      <c r="AM166" s="8">
        <f t="shared" si="514"/>
        <v>0</v>
      </c>
    </row>
    <row r="167" spans="1:39" x14ac:dyDescent="0.2">
      <c r="A167" s="18" t="str">
        <f t="shared" si="498"/>
        <v>Other property loans</v>
      </c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</row>
    <row r="168" spans="1:39" x14ac:dyDescent="0.2">
      <c r="A168" s="19" t="str">
        <f t="shared" si="498"/>
        <v>Sliema</v>
      </c>
      <c r="C168" s="8">
        <f ca="1">C154</f>
        <v>-45437.606462973985</v>
      </c>
      <c r="D168" s="8">
        <f t="shared" ref="D168:G170" ca="1" si="515">D154</f>
        <v>-40736.443360703342</v>
      </c>
      <c r="E168" s="8">
        <f t="shared" ca="1" si="515"/>
        <v>-35892.289884070618</v>
      </c>
      <c r="F168" s="8">
        <f t="shared" ca="1" si="515"/>
        <v>-30900.796844010245</v>
      </c>
      <c r="G168" s="8">
        <f t="shared" ca="1" si="515"/>
        <v>-25757.48276670936</v>
      </c>
      <c r="H168" s="8">
        <f t="shared" ref="H168:AM168" ca="1" si="516">H154</f>
        <v>-20457.729870040646</v>
      </c>
      <c r="I168" s="8">
        <f t="shared" ref="I168:AM168" ca="1" si="517">I154</f>
        <v>-14996.779917614593</v>
      </c>
      <c r="J168" s="8">
        <f t="shared" ca="1" si="517"/>
        <v>-9369.7299467287376</v>
      </c>
      <c r="K168" s="8">
        <f t="shared" ca="1" si="517"/>
        <v>-3571.5278663783029</v>
      </c>
      <c r="L168" s="8">
        <f t="shared" ca="1" si="517"/>
        <v>0</v>
      </c>
      <c r="M168" s="8">
        <f t="shared" ca="1" si="517"/>
        <v>0</v>
      </c>
      <c r="N168" s="8">
        <f t="shared" ca="1" si="517"/>
        <v>0</v>
      </c>
      <c r="O168" s="8">
        <f t="shared" ca="1" si="517"/>
        <v>0</v>
      </c>
      <c r="P168" s="8">
        <f t="shared" ca="1" si="517"/>
        <v>0</v>
      </c>
      <c r="Q168" s="8">
        <f t="shared" ca="1" si="517"/>
        <v>0</v>
      </c>
      <c r="R168" s="8">
        <f t="shared" ca="1" si="517"/>
        <v>0</v>
      </c>
      <c r="S168" s="8">
        <f t="shared" ca="1" si="517"/>
        <v>0</v>
      </c>
      <c r="T168" s="8">
        <f t="shared" ca="1" si="517"/>
        <v>0</v>
      </c>
      <c r="U168" s="8">
        <f t="shared" ca="1" si="517"/>
        <v>0</v>
      </c>
      <c r="V168" s="8">
        <f t="shared" ca="1" si="517"/>
        <v>0</v>
      </c>
      <c r="W168" s="8">
        <f t="shared" ca="1" si="517"/>
        <v>0</v>
      </c>
      <c r="X168" s="8">
        <f t="shared" ca="1" si="517"/>
        <v>0</v>
      </c>
      <c r="Y168" s="8">
        <f t="shared" ca="1" si="517"/>
        <v>0</v>
      </c>
      <c r="Z168" s="8">
        <f t="shared" ca="1" si="517"/>
        <v>0</v>
      </c>
      <c r="AA168" s="8">
        <f t="shared" ca="1" si="517"/>
        <v>0</v>
      </c>
      <c r="AB168" s="8">
        <f t="shared" ca="1" si="517"/>
        <v>0</v>
      </c>
      <c r="AC168" s="8">
        <f t="shared" ca="1" si="517"/>
        <v>0</v>
      </c>
      <c r="AD168" s="8">
        <f t="shared" ca="1" si="517"/>
        <v>0</v>
      </c>
      <c r="AE168" s="8">
        <f t="shared" ca="1" si="517"/>
        <v>0</v>
      </c>
      <c r="AF168" s="8">
        <f t="shared" ca="1" si="517"/>
        <v>0</v>
      </c>
      <c r="AG168" s="8">
        <f t="shared" ca="1" si="517"/>
        <v>0</v>
      </c>
      <c r="AH168" s="8">
        <f t="shared" ca="1" si="517"/>
        <v>0</v>
      </c>
      <c r="AI168" s="8">
        <f t="shared" ca="1" si="517"/>
        <v>0</v>
      </c>
      <c r="AJ168" s="8">
        <f t="shared" ca="1" si="517"/>
        <v>0</v>
      </c>
      <c r="AK168" s="8">
        <f t="shared" ca="1" si="517"/>
        <v>0</v>
      </c>
      <c r="AL168" s="8">
        <f t="shared" ca="1" si="517"/>
        <v>0</v>
      </c>
      <c r="AM168" s="8">
        <f t="shared" ca="1" si="517"/>
        <v>0</v>
      </c>
    </row>
    <row r="169" spans="1:39" x14ac:dyDescent="0.2">
      <c r="A169" s="19" t="str">
        <f t="shared" si="498"/>
        <v>Gzira</v>
      </c>
      <c r="C169" s="8">
        <f ca="1">C155</f>
        <v>-6249.4443415125261</v>
      </c>
      <c r="D169" s="8">
        <f t="shared" ca="1" si="515"/>
        <v>-3953.4626671330816</v>
      </c>
      <c r="E169" s="8">
        <f t="shared" ca="1" si="515"/>
        <v>-1611.1380819997976</v>
      </c>
      <c r="F169" s="8">
        <f t="shared" ca="1" si="515"/>
        <v>0</v>
      </c>
      <c r="G169" s="8">
        <f t="shared" ca="1" si="515"/>
        <v>0</v>
      </c>
      <c r="H169" s="8">
        <f t="shared" ref="H169:AM169" ca="1" si="518">H155</f>
        <v>0</v>
      </c>
      <c r="I169" s="8">
        <f t="shared" ref="I169:AM169" ca="1" si="519">I155</f>
        <v>0</v>
      </c>
      <c r="J169" s="8">
        <f t="shared" ca="1" si="519"/>
        <v>0</v>
      </c>
      <c r="K169" s="8">
        <f t="shared" ca="1" si="519"/>
        <v>0</v>
      </c>
      <c r="L169" s="8">
        <f t="shared" ca="1" si="519"/>
        <v>0</v>
      </c>
      <c r="M169" s="8">
        <f t="shared" ca="1" si="519"/>
        <v>0</v>
      </c>
      <c r="N169" s="8">
        <f t="shared" ca="1" si="519"/>
        <v>0</v>
      </c>
      <c r="O169" s="8">
        <f t="shared" ca="1" si="519"/>
        <v>0</v>
      </c>
      <c r="P169" s="8">
        <f t="shared" ca="1" si="519"/>
        <v>0</v>
      </c>
      <c r="Q169" s="8">
        <f t="shared" ca="1" si="519"/>
        <v>0</v>
      </c>
      <c r="R169" s="8">
        <f t="shared" ca="1" si="519"/>
        <v>0</v>
      </c>
      <c r="S169" s="8">
        <f t="shared" ca="1" si="519"/>
        <v>0</v>
      </c>
      <c r="T169" s="8">
        <f t="shared" ca="1" si="519"/>
        <v>0</v>
      </c>
      <c r="U169" s="8">
        <f t="shared" ca="1" si="519"/>
        <v>0</v>
      </c>
      <c r="V169" s="8">
        <f t="shared" ca="1" si="519"/>
        <v>0</v>
      </c>
      <c r="W169" s="8">
        <f t="shared" ca="1" si="519"/>
        <v>0</v>
      </c>
      <c r="X169" s="8">
        <f t="shared" ca="1" si="519"/>
        <v>0</v>
      </c>
      <c r="Y169" s="8">
        <f t="shared" ca="1" si="519"/>
        <v>0</v>
      </c>
      <c r="Z169" s="8">
        <f t="shared" ca="1" si="519"/>
        <v>0</v>
      </c>
      <c r="AA169" s="8">
        <f t="shared" ca="1" si="519"/>
        <v>0</v>
      </c>
      <c r="AB169" s="8">
        <f t="shared" ca="1" si="519"/>
        <v>0</v>
      </c>
      <c r="AC169" s="8">
        <f t="shared" ca="1" si="519"/>
        <v>0</v>
      </c>
      <c r="AD169" s="8">
        <f t="shared" ca="1" si="519"/>
        <v>0</v>
      </c>
      <c r="AE169" s="8">
        <f t="shared" ca="1" si="519"/>
        <v>0</v>
      </c>
      <c r="AF169" s="8">
        <f t="shared" ca="1" si="519"/>
        <v>0</v>
      </c>
      <c r="AG169" s="8">
        <f t="shared" ca="1" si="519"/>
        <v>0</v>
      </c>
      <c r="AH169" s="8">
        <f t="shared" ca="1" si="519"/>
        <v>0</v>
      </c>
      <c r="AI169" s="8">
        <f t="shared" ca="1" si="519"/>
        <v>0</v>
      </c>
      <c r="AJ169" s="8">
        <f t="shared" ca="1" si="519"/>
        <v>0</v>
      </c>
      <c r="AK169" s="8">
        <f t="shared" ca="1" si="519"/>
        <v>0</v>
      </c>
      <c r="AL169" s="8">
        <f t="shared" ca="1" si="519"/>
        <v>0</v>
      </c>
      <c r="AM169" s="8">
        <f t="shared" ca="1" si="519"/>
        <v>0</v>
      </c>
    </row>
    <row r="170" spans="1:39" x14ac:dyDescent="0.2">
      <c r="A170" s="19" t="str">
        <f t="shared" si="498"/>
        <v>Qormi</v>
      </c>
      <c r="C170" s="8">
        <f ca="1">C156</f>
        <v>-12697.714595321995</v>
      </c>
      <c r="D170" s="8">
        <f t="shared" ca="1" si="515"/>
        <v>-10277.63989987525</v>
      </c>
      <c r="E170" s="8">
        <f t="shared" ca="1" si="515"/>
        <v>-7733.7495899939004</v>
      </c>
      <c r="F170" s="8">
        <f t="shared" ca="1" si="515"/>
        <v>-5059.7090238560577</v>
      </c>
      <c r="G170" s="8">
        <f t="shared" ca="1" si="515"/>
        <v>-2248.8594673418665</v>
      </c>
      <c r="H170" s="8">
        <f t="shared" ref="H170:AM170" ca="1" si="520">H156</f>
        <v>0</v>
      </c>
      <c r="I170" s="8">
        <f t="shared" ref="I170:AM170" ca="1" si="521">I156</f>
        <v>0</v>
      </c>
      <c r="J170" s="8">
        <f t="shared" ca="1" si="521"/>
        <v>0</v>
      </c>
      <c r="K170" s="8">
        <f t="shared" ca="1" si="521"/>
        <v>0</v>
      </c>
      <c r="L170" s="8">
        <f t="shared" ca="1" si="521"/>
        <v>0</v>
      </c>
      <c r="M170" s="8">
        <f t="shared" ca="1" si="521"/>
        <v>0</v>
      </c>
      <c r="N170" s="8">
        <f t="shared" ca="1" si="521"/>
        <v>0</v>
      </c>
      <c r="O170" s="8">
        <f t="shared" ca="1" si="521"/>
        <v>0</v>
      </c>
      <c r="P170" s="8">
        <f t="shared" ca="1" si="521"/>
        <v>0</v>
      </c>
      <c r="Q170" s="8">
        <f t="shared" ca="1" si="521"/>
        <v>0</v>
      </c>
      <c r="R170" s="8">
        <f t="shared" ca="1" si="521"/>
        <v>0</v>
      </c>
      <c r="S170" s="8">
        <f t="shared" ca="1" si="521"/>
        <v>0</v>
      </c>
      <c r="T170" s="8">
        <f t="shared" ca="1" si="521"/>
        <v>0</v>
      </c>
      <c r="U170" s="8">
        <f t="shared" ca="1" si="521"/>
        <v>0</v>
      </c>
      <c r="V170" s="8">
        <f t="shared" ca="1" si="521"/>
        <v>0</v>
      </c>
      <c r="W170" s="8">
        <f t="shared" ca="1" si="521"/>
        <v>0</v>
      </c>
      <c r="X170" s="8">
        <f t="shared" ca="1" si="521"/>
        <v>0</v>
      </c>
      <c r="Y170" s="8">
        <f t="shared" ca="1" si="521"/>
        <v>0</v>
      </c>
      <c r="Z170" s="8">
        <f t="shared" ca="1" si="521"/>
        <v>0</v>
      </c>
      <c r="AA170" s="8">
        <f t="shared" ca="1" si="521"/>
        <v>0</v>
      </c>
      <c r="AB170" s="8">
        <f t="shared" ca="1" si="521"/>
        <v>0</v>
      </c>
      <c r="AC170" s="8">
        <f t="shared" ca="1" si="521"/>
        <v>0</v>
      </c>
      <c r="AD170" s="8">
        <f t="shared" ca="1" si="521"/>
        <v>0</v>
      </c>
      <c r="AE170" s="8">
        <f t="shared" ca="1" si="521"/>
        <v>0</v>
      </c>
      <c r="AF170" s="8">
        <f t="shared" ca="1" si="521"/>
        <v>0</v>
      </c>
      <c r="AG170" s="8">
        <f t="shared" ca="1" si="521"/>
        <v>0</v>
      </c>
      <c r="AH170" s="8">
        <f t="shared" ca="1" si="521"/>
        <v>0</v>
      </c>
      <c r="AI170" s="8">
        <f t="shared" ca="1" si="521"/>
        <v>0</v>
      </c>
      <c r="AJ170" s="8">
        <f t="shared" ca="1" si="521"/>
        <v>0</v>
      </c>
      <c r="AK170" s="8">
        <f t="shared" ca="1" si="521"/>
        <v>0</v>
      </c>
      <c r="AL170" s="8">
        <f t="shared" ca="1" si="521"/>
        <v>0</v>
      </c>
      <c r="AM170" s="8">
        <f t="shared" ca="1" si="521"/>
        <v>0</v>
      </c>
    </row>
    <row r="171" spans="1:39" x14ac:dyDescent="0.2">
      <c r="A171" s="18" t="str">
        <f t="shared" si="498"/>
        <v>Other loan</v>
      </c>
      <c r="C171" s="8">
        <f t="shared" ref="C171:AM171" si="522">C65</f>
        <v>-3629.9331288130147</v>
      </c>
      <c r="D171" s="8">
        <f t="shared" si="522"/>
        <v>-3237.0413427676731</v>
      </c>
      <c r="E171" s="8">
        <f t="shared" si="522"/>
        <v>-2819.9168510595237</v>
      </c>
      <c r="F171" s="8">
        <f t="shared" si="522"/>
        <v>-2377.0650334277229</v>
      </c>
      <c r="G171" s="8">
        <f t="shared" si="522"/>
        <v>-1906.8990847041773</v>
      </c>
      <c r="H171" s="8">
        <f t="shared" si="522"/>
        <v>-1407.7343290501685</v>
      </c>
      <c r="I171" s="8">
        <f t="shared" ref="I171:AM171" si="523">I65</f>
        <v>-877.78218350754105</v>
      </c>
      <c r="J171" s="8">
        <f t="shared" si="523"/>
        <v>-315.14374923495234</v>
      </c>
      <c r="K171" s="8">
        <f t="shared" si="523"/>
        <v>0</v>
      </c>
      <c r="L171" s="8">
        <f t="shared" si="523"/>
        <v>0</v>
      </c>
      <c r="M171" s="8">
        <f t="shared" si="523"/>
        <v>0</v>
      </c>
      <c r="N171" s="8">
        <f t="shared" si="523"/>
        <v>0</v>
      </c>
      <c r="O171" s="8">
        <f t="shared" si="523"/>
        <v>0</v>
      </c>
      <c r="P171" s="8">
        <f t="shared" si="523"/>
        <v>0</v>
      </c>
      <c r="Q171" s="8">
        <f t="shared" si="523"/>
        <v>0</v>
      </c>
      <c r="R171" s="8">
        <f t="shared" si="523"/>
        <v>0</v>
      </c>
      <c r="S171" s="8">
        <f t="shared" si="523"/>
        <v>0</v>
      </c>
      <c r="T171" s="8">
        <f t="shared" si="523"/>
        <v>0</v>
      </c>
      <c r="U171" s="8">
        <f t="shared" si="523"/>
        <v>0</v>
      </c>
      <c r="V171" s="8">
        <f t="shared" si="523"/>
        <v>0</v>
      </c>
      <c r="W171" s="8">
        <f t="shared" si="523"/>
        <v>0</v>
      </c>
      <c r="X171" s="8">
        <f t="shared" si="523"/>
        <v>0</v>
      </c>
      <c r="Y171" s="8">
        <f t="shared" si="523"/>
        <v>0</v>
      </c>
      <c r="Z171" s="8">
        <f t="shared" si="523"/>
        <v>0</v>
      </c>
      <c r="AA171" s="8">
        <f t="shared" si="523"/>
        <v>0</v>
      </c>
      <c r="AB171" s="8">
        <f t="shared" si="523"/>
        <v>0</v>
      </c>
      <c r="AC171" s="8">
        <f t="shared" si="523"/>
        <v>0</v>
      </c>
      <c r="AD171" s="8">
        <f t="shared" si="523"/>
        <v>0</v>
      </c>
      <c r="AE171" s="8">
        <f t="shared" si="523"/>
        <v>0</v>
      </c>
      <c r="AF171" s="8">
        <f t="shared" si="523"/>
        <v>0</v>
      </c>
      <c r="AG171" s="8">
        <f t="shared" si="523"/>
        <v>0</v>
      </c>
      <c r="AH171" s="8">
        <f t="shared" si="523"/>
        <v>0</v>
      </c>
      <c r="AI171" s="8">
        <f t="shared" si="523"/>
        <v>0</v>
      </c>
      <c r="AJ171" s="8">
        <f t="shared" si="523"/>
        <v>0</v>
      </c>
      <c r="AK171" s="8">
        <f t="shared" si="523"/>
        <v>0</v>
      </c>
      <c r="AL171" s="8">
        <f t="shared" si="523"/>
        <v>0</v>
      </c>
      <c r="AM171" s="8">
        <f t="shared" si="523"/>
        <v>0</v>
      </c>
    </row>
    <row r="172" spans="1:39" x14ac:dyDescent="0.2">
      <c r="A172" s="5"/>
      <c r="C172" s="10">
        <f ca="1">SUM(C158:C171)</f>
        <v>1306450.1098380252</v>
      </c>
      <c r="D172" s="10">
        <f t="shared" ref="D172:G172" ca="1" si="524">SUM(D158:D171)</f>
        <v>1395707.6271802546</v>
      </c>
      <c r="E172" s="10">
        <f t="shared" ca="1" si="524"/>
        <v>1467136.1463015494</v>
      </c>
      <c r="F172" s="10">
        <f t="shared" ca="1" si="524"/>
        <v>1571603.3362318811</v>
      </c>
      <c r="G172" s="10">
        <f t="shared" ca="1" si="524"/>
        <v>1681302.697570574</v>
      </c>
      <c r="H172" s="10">
        <f t="shared" ref="H172:AM172" ca="1" si="525">SUM(H158:H171)</f>
        <v>1803377.0200058362</v>
      </c>
      <c r="I172" s="10">
        <f t="shared" ref="I172:AM172" ca="1" si="526">SUM(I158:I171)</f>
        <v>1828796.9427019546</v>
      </c>
      <c r="J172" s="10">
        <f t="shared" ca="1" si="526"/>
        <v>1836723.4904964631</v>
      </c>
      <c r="K172" s="10">
        <f t="shared" ca="1" si="526"/>
        <v>1924524.6583618082</v>
      </c>
      <c r="L172" s="10">
        <f t="shared" ca="1" si="526"/>
        <v>1917392.644456805</v>
      </c>
      <c r="M172" s="10">
        <f t="shared" ca="1" si="526"/>
        <v>1958365.861078993</v>
      </c>
      <c r="N172" s="10">
        <f t="shared" ca="1" si="526"/>
        <v>2000632.0672181644</v>
      </c>
      <c r="O172" s="10">
        <f t="shared" ca="1" si="526"/>
        <v>2044253.3811846147</v>
      </c>
      <c r="P172" s="10">
        <f t="shared" ca="1" si="526"/>
        <v>2089295.6950883246</v>
      </c>
      <c r="Q172" s="10">
        <f t="shared" ca="1" si="526"/>
        <v>2135828.9316802616</v>
      </c>
      <c r="R172" s="10">
        <f t="shared" ca="1" si="526"/>
        <v>2183927.319901993</v>
      </c>
      <c r="S172" s="10">
        <f t="shared" ca="1" si="526"/>
        <v>2253209.4957984425</v>
      </c>
      <c r="T172" s="10">
        <f t="shared" ca="1" si="526"/>
        <v>2332899.5868767467</v>
      </c>
      <c r="U172" s="10">
        <f t="shared" ca="1" si="526"/>
        <v>2415805.2073590416</v>
      </c>
      <c r="V172" s="10">
        <f t="shared" ca="1" si="526"/>
        <v>2502073.2946640737</v>
      </c>
      <c r="W172" s="10">
        <f t="shared" ca="1" si="526"/>
        <v>2591858.5454998696</v>
      </c>
      <c r="X172" s="10">
        <f t="shared" ca="1" si="526"/>
        <v>2664916.9726112946</v>
      </c>
      <c r="Y172" s="10">
        <f t="shared" ca="1" si="526"/>
        <v>2740806.8264877512</v>
      </c>
      <c r="Z172" s="10">
        <f t="shared" ca="1" si="526"/>
        <v>2819670.8104810445</v>
      </c>
      <c r="AA172" s="10">
        <f t="shared" ca="1" si="526"/>
        <v>2901264.4769155099</v>
      </c>
      <c r="AB172" s="10">
        <f t="shared" ca="1" si="526"/>
        <v>2984780.5560026909</v>
      </c>
      <c r="AC172" s="10">
        <f t="shared" ca="1" si="526"/>
        <v>3070702.9065144737</v>
      </c>
      <c r="AD172" s="10">
        <f t="shared" ca="1" si="526"/>
        <v>3170318.7681246093</v>
      </c>
      <c r="AE172" s="10">
        <f t="shared" ca="1" si="526"/>
        <v>3273955.790734903</v>
      </c>
      <c r="AF172" s="10">
        <f t="shared" ca="1" si="526"/>
        <v>3381835.5164569579</v>
      </c>
      <c r="AG172" s="10">
        <f t="shared" ca="1" si="526"/>
        <v>3494194.910182226</v>
      </c>
      <c r="AH172" s="10">
        <f t="shared" ca="1" si="526"/>
        <v>3611287.5481506269</v>
      </c>
      <c r="AI172" s="10">
        <f t="shared" ca="1" si="526"/>
        <v>3733384.9009952871</v>
      </c>
      <c r="AJ172" s="10">
        <f t="shared" ca="1" si="526"/>
        <v>3860736.1533255321</v>
      </c>
      <c r="AK172" s="10">
        <f t="shared" ca="1" si="526"/>
        <v>3993610.4054479953</v>
      </c>
      <c r="AL172" s="10">
        <f t="shared" ca="1" si="526"/>
        <v>4132297.4543052092</v>
      </c>
      <c r="AM172" s="10">
        <f t="shared" ca="1" si="526"/>
        <v>4277104.8635782273</v>
      </c>
    </row>
    <row r="173" spans="1:39" x14ac:dyDescent="0.2"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</row>
    <row r="174" spans="1:39" ht="19" x14ac:dyDescent="0.25">
      <c r="A174" s="30" t="s">
        <v>88</v>
      </c>
      <c r="B174" s="31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</row>
    <row r="175" spans="1:39" x14ac:dyDescent="0.2"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</row>
    <row r="176" spans="1:39" x14ac:dyDescent="0.2">
      <c r="A176" s="17" t="s">
        <v>72</v>
      </c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</row>
    <row r="177" spans="1:39" x14ac:dyDescent="0.2">
      <c r="A177" s="4" t="s">
        <v>9</v>
      </c>
      <c r="C177" s="8">
        <f t="shared" ref="C177:AM177" ca="1" si="527">C53</f>
        <v>75752.5</v>
      </c>
      <c r="D177" s="8">
        <f t="shared" ca="1" si="527"/>
        <v>104902.8125</v>
      </c>
      <c r="E177" s="8">
        <f t="shared" ca="1" si="527"/>
        <v>114244.71249999999</v>
      </c>
      <c r="F177" s="8">
        <f t="shared" ca="1" si="527"/>
        <v>155351.48395239323</v>
      </c>
      <c r="G177" s="8">
        <f t="shared" ca="1" si="527"/>
        <v>201221.49120440619</v>
      </c>
      <c r="H177" s="8">
        <f t="shared" ca="1" si="527"/>
        <v>261189.83792477695</v>
      </c>
      <c r="I177" s="8">
        <f t="shared" ref="I177:AM177" ca="1" si="528">I53</f>
        <v>231316.96765010577</v>
      </c>
      <c r="J177" s="8">
        <f t="shared" ca="1" si="528"/>
        <v>182082.45452169742</v>
      </c>
      <c r="K177" s="8">
        <f t="shared" ca="1" si="528"/>
        <v>211064.10395191278</v>
      </c>
      <c r="L177" s="8">
        <f t="shared" ca="1" si="528"/>
        <v>145851.09277158603</v>
      </c>
      <c r="M177" s="8">
        <f t="shared" ca="1" si="528"/>
        <v>130439.67534730829</v>
      </c>
      <c r="N177" s="8">
        <f t="shared" ca="1" si="528"/>
        <v>114370.63741894731</v>
      </c>
      <c r="O177" s="8">
        <f t="shared" ca="1" si="528"/>
        <v>97626.853316192486</v>
      </c>
      <c r="P177" s="8">
        <f t="shared" ca="1" si="528"/>
        <v>80190.935794602876</v>
      </c>
      <c r="Q177" s="8">
        <f t="shared" ca="1" si="528"/>
        <v>62045.239171341629</v>
      </c>
      <c r="R177" s="8">
        <f t="shared" ca="1" si="528"/>
        <v>43171.862946508052</v>
      </c>
      <c r="S177" s="8">
        <f t="shared" ca="1" si="528"/>
        <v>43092.461169291615</v>
      </c>
      <c r="T177" s="8">
        <f t="shared" ca="1" si="528"/>
        <v>50929.014126519869</v>
      </c>
      <c r="U177" s="8">
        <f t="shared" ca="1" si="528"/>
        <v>59381.488177530009</v>
      </c>
      <c r="V177" s="8">
        <f t="shared" ca="1" si="528"/>
        <v>68483.312318437413</v>
      </c>
      <c r="W177" s="8">
        <f t="shared" ca="1" si="528"/>
        <v>78269.427968090327</v>
      </c>
      <c r="X177" s="8">
        <f t="shared" ca="1" si="528"/>
        <v>68369.430980525751</v>
      </c>
      <c r="Y177" s="8">
        <f t="shared" ca="1" si="528"/>
        <v>58208.047989181272</v>
      </c>
      <c r="Z177" s="8">
        <f t="shared" ca="1" si="528"/>
        <v>47786.87315912747</v>
      </c>
      <c r="AA177" s="8">
        <f t="shared" ca="1" si="528"/>
        <v>37107.99800895511</v>
      </c>
      <c r="AB177" s="8">
        <f t="shared" ca="1" si="528"/>
        <v>26174.042910468372</v>
      </c>
      <c r="AC177" s="8">
        <f t="shared" ca="1" si="528"/>
        <v>14988.190081367953</v>
      </c>
      <c r="AD177" s="8">
        <f t="shared" ca="1" si="528"/>
        <v>13414.955725393986</v>
      </c>
      <c r="AE177" s="8">
        <f t="shared" ca="1" si="528"/>
        <v>12091.050300541421</v>
      </c>
      <c r="AF177" s="8">
        <f t="shared" ca="1" si="528"/>
        <v>11040.044272870451</v>
      </c>
      <c r="AG177" s="8">
        <f t="shared" ca="1" si="528"/>
        <v>10286.834423603301</v>
      </c>
      <c r="AH177" s="8">
        <f t="shared" ca="1" si="528"/>
        <v>9857.7045420141803</v>
      </c>
      <c r="AI177" s="8">
        <f t="shared" ca="1" si="528"/>
        <v>9780.3885972771532</v>
      </c>
      <c r="AJ177" s="8">
        <f t="shared" ca="1" si="528"/>
        <v>10084.136483484166</v>
      </c>
      <c r="AK177" s="8">
        <f t="shared" ca="1" si="528"/>
        <v>10799.782435453511</v>
      </c>
      <c r="AL177" s="8">
        <f t="shared" ca="1" si="528"/>
        <v>11959.816216474195</v>
      </c>
      <c r="AM177" s="8">
        <f t="shared" ca="1" si="528"/>
        <v>13598.457182781407</v>
      </c>
    </row>
    <row r="178" spans="1:39" x14ac:dyDescent="0.2">
      <c r="A178" s="4" t="s">
        <v>29</v>
      </c>
      <c r="C178" s="8">
        <f t="shared" ref="C178:AM178" ca="1" si="529">C66</f>
        <v>1306450.1098380252</v>
      </c>
      <c r="D178" s="8">
        <f t="shared" ca="1" si="529"/>
        <v>1395707.6271802546</v>
      </c>
      <c r="E178" s="8">
        <f t="shared" ca="1" si="529"/>
        <v>1467136.1463015494</v>
      </c>
      <c r="F178" s="8">
        <f t="shared" ca="1" si="529"/>
        <v>1571603.3362318811</v>
      </c>
      <c r="G178" s="8">
        <f t="shared" ca="1" si="529"/>
        <v>1681302.697570574</v>
      </c>
      <c r="H178" s="8">
        <f t="shared" ca="1" si="529"/>
        <v>1803377.0200058362</v>
      </c>
      <c r="I178" s="8">
        <f t="shared" ref="I178:AM178" ca="1" si="530">I66</f>
        <v>1828796.9427019546</v>
      </c>
      <c r="J178" s="8">
        <f t="shared" ca="1" si="530"/>
        <v>1836723.4904964631</v>
      </c>
      <c r="K178" s="8">
        <f t="shared" ca="1" si="530"/>
        <v>1924524.6583618084</v>
      </c>
      <c r="L178" s="8">
        <f t="shared" ca="1" si="530"/>
        <v>1917392.644456805</v>
      </c>
      <c r="M178" s="8">
        <f t="shared" ca="1" si="530"/>
        <v>1958365.861078993</v>
      </c>
      <c r="N178" s="8">
        <f t="shared" ca="1" si="530"/>
        <v>2000632.0672181647</v>
      </c>
      <c r="O178" s="8">
        <f t="shared" ca="1" si="530"/>
        <v>2044253.381184615</v>
      </c>
      <c r="P178" s="8">
        <f t="shared" ca="1" si="530"/>
        <v>2089295.6950883248</v>
      </c>
      <c r="Q178" s="8">
        <f t="shared" ca="1" si="530"/>
        <v>2135828.9316802616</v>
      </c>
      <c r="R178" s="8">
        <f t="shared" ca="1" si="530"/>
        <v>2183927.3199019935</v>
      </c>
      <c r="S178" s="8">
        <f t="shared" ca="1" si="530"/>
        <v>2253209.4957984425</v>
      </c>
      <c r="T178" s="8">
        <f t="shared" ca="1" si="530"/>
        <v>2332899.5868767467</v>
      </c>
      <c r="U178" s="8">
        <f t="shared" ca="1" si="530"/>
        <v>2415805.2073590416</v>
      </c>
      <c r="V178" s="8">
        <f t="shared" ca="1" si="530"/>
        <v>2502073.2946640737</v>
      </c>
      <c r="W178" s="8">
        <f t="shared" ca="1" si="530"/>
        <v>2591858.5454998701</v>
      </c>
      <c r="X178" s="8">
        <f t="shared" ca="1" si="530"/>
        <v>2664916.9726112951</v>
      </c>
      <c r="Y178" s="8">
        <f t="shared" ca="1" si="530"/>
        <v>2740806.8264877517</v>
      </c>
      <c r="Z178" s="8">
        <f t="shared" ca="1" si="530"/>
        <v>2819670.8104810445</v>
      </c>
      <c r="AA178" s="8">
        <f t="shared" ca="1" si="530"/>
        <v>2901660.2245563897</v>
      </c>
      <c r="AB178" s="8">
        <f t="shared" ca="1" si="530"/>
        <v>2986935.5490486547</v>
      </c>
      <c r="AC178" s="8">
        <f t="shared" ca="1" si="530"/>
        <v>3075667.0712215756</v>
      </c>
      <c r="AD178" s="8">
        <f t="shared" ca="1" si="530"/>
        <v>3177896.2955031139</v>
      </c>
      <c r="AE178" s="8">
        <f t="shared" ca="1" si="530"/>
        <v>3284447.4898511623</v>
      </c>
      <c r="AF178" s="8">
        <f t="shared" ca="1" si="530"/>
        <v>3395543.0893559456</v>
      </c>
      <c r="AG178" s="8">
        <f t="shared" ca="1" si="530"/>
        <v>3511418.9561927808</v>
      </c>
      <c r="AH178" s="8">
        <f t="shared" ca="1" si="530"/>
        <v>3632325.2941245665</v>
      </c>
      <c r="AI178" s="8">
        <f t="shared" ca="1" si="530"/>
        <v>3758527.6303604282</v>
      </c>
      <c r="AJ178" s="8">
        <f t="shared" ca="1" si="530"/>
        <v>3890307.8699521031</v>
      </c>
      <c r="AK178" s="8">
        <f t="shared" ca="1" si="530"/>
        <v>4027965.4283169098</v>
      </c>
      <c r="AL178" s="8">
        <f t="shared" ca="1" si="530"/>
        <v>4171818.4479158549</v>
      </c>
      <c r="AM178" s="8">
        <f t="shared" ca="1" si="530"/>
        <v>4322205.1055899421</v>
      </c>
    </row>
    <row r="179" spans="1:39" x14ac:dyDescent="0.2">
      <c r="A179" s="4" t="s">
        <v>81</v>
      </c>
      <c r="C179" s="12" t="str">
        <f ca="1">IF(COUNTIF(177:177,"&lt;0")&gt;0,"NO","YES!")</f>
        <v>YES!</v>
      </c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</row>
    <row r="180" spans="1:39" x14ac:dyDescent="0.2">
      <c r="A180" s="4" t="s">
        <v>35</v>
      </c>
      <c r="C180" s="12" t="str" cm="1">
        <f t="array" aca="1" ref="C180" ca="1">IFERROR(INDEX($3:$3, MATCH(TRUE, INDEX(177:177&lt;0,0), 0)), "")</f>
        <v/>
      </c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</row>
    <row r="181" spans="1:39" x14ac:dyDescent="0.2">
      <c r="A181" s="4"/>
      <c r="C181" s="12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</row>
    <row r="182" spans="1:39" x14ac:dyDescent="0.2">
      <c r="A182" s="17" t="s">
        <v>73</v>
      </c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</row>
    <row r="183" spans="1:39" x14ac:dyDescent="0.2">
      <c r="A183" s="4" t="s">
        <v>9</v>
      </c>
      <c r="C183" s="8">
        <f t="shared" ref="C183:G183" ca="1" si="531">C159</f>
        <v>75752.5</v>
      </c>
      <c r="D183" s="8">
        <f t="shared" ca="1" si="531"/>
        <v>104902.8125</v>
      </c>
      <c r="E183" s="8">
        <f t="shared" ca="1" si="531"/>
        <v>114244.71249999999</v>
      </c>
      <c r="F183" s="8">
        <f t="shared" ca="1" si="531"/>
        <v>155351.48395239323</v>
      </c>
      <c r="G183" s="8">
        <f t="shared" ca="1" si="531"/>
        <v>201221.49120440619</v>
      </c>
      <c r="H183" s="8">
        <f t="shared" ref="H183:AM183" ca="1" si="532">H159</f>
        <v>261189.83792477695</v>
      </c>
      <c r="I183" s="8">
        <f t="shared" ref="I183:AM183" ca="1" si="533">I159</f>
        <v>231316.96765010577</v>
      </c>
      <c r="J183" s="8">
        <f t="shared" ca="1" si="533"/>
        <v>182082.45452169742</v>
      </c>
      <c r="K183" s="8">
        <f t="shared" ca="1" si="533"/>
        <v>211064.10395191278</v>
      </c>
      <c r="L183" s="8">
        <f t="shared" ca="1" si="533"/>
        <v>145851.09277158603</v>
      </c>
      <c r="M183" s="8">
        <f t="shared" ca="1" si="533"/>
        <v>130439.67534730829</v>
      </c>
      <c r="N183" s="8">
        <f t="shared" ca="1" si="533"/>
        <v>114370.63741894731</v>
      </c>
      <c r="O183" s="8">
        <f t="shared" ca="1" si="533"/>
        <v>97626.853316192486</v>
      </c>
      <c r="P183" s="8">
        <f t="shared" ca="1" si="533"/>
        <v>80190.935794602876</v>
      </c>
      <c r="Q183" s="8">
        <f t="shared" ca="1" si="533"/>
        <v>62045.239171341629</v>
      </c>
      <c r="R183" s="8">
        <f t="shared" ca="1" si="533"/>
        <v>43171.862946508052</v>
      </c>
      <c r="S183" s="8">
        <f t="shared" ca="1" si="533"/>
        <v>43092.461169291615</v>
      </c>
      <c r="T183" s="8">
        <f t="shared" ca="1" si="533"/>
        <v>50929.014126519869</v>
      </c>
      <c r="U183" s="8">
        <f t="shared" ca="1" si="533"/>
        <v>59381.488177530009</v>
      </c>
      <c r="V183" s="8">
        <f t="shared" ca="1" si="533"/>
        <v>68483.312318437413</v>
      </c>
      <c r="W183" s="8">
        <f t="shared" ca="1" si="533"/>
        <v>78269.427968090327</v>
      </c>
      <c r="X183" s="8">
        <f t="shared" ca="1" si="533"/>
        <v>68369.430980525751</v>
      </c>
      <c r="Y183" s="8">
        <f t="shared" ca="1" si="533"/>
        <v>58208.047989181272</v>
      </c>
      <c r="Z183" s="8">
        <f t="shared" ca="1" si="533"/>
        <v>47786.87315912747</v>
      </c>
      <c r="AA183" s="8">
        <f t="shared" ca="1" si="533"/>
        <v>40000</v>
      </c>
      <c r="AB183" s="8">
        <f t="shared" ca="1" si="533"/>
        <v>40000</v>
      </c>
      <c r="AC183" s="8">
        <f t="shared" ca="1" si="533"/>
        <v>40000</v>
      </c>
      <c r="AD183" s="8">
        <f t="shared" ca="1" si="533"/>
        <v>40000</v>
      </c>
      <c r="AE183" s="8">
        <f t="shared" ca="1" si="533"/>
        <v>40000</v>
      </c>
      <c r="AF183" s="8">
        <f t="shared" ca="1" si="533"/>
        <v>40000</v>
      </c>
      <c r="AG183" s="8">
        <f t="shared" ca="1" si="533"/>
        <v>40000</v>
      </c>
      <c r="AH183" s="8">
        <f t="shared" ca="1" si="533"/>
        <v>40000</v>
      </c>
      <c r="AI183" s="8">
        <f t="shared" ca="1" si="533"/>
        <v>40000</v>
      </c>
      <c r="AJ183" s="8">
        <f t="shared" ca="1" si="533"/>
        <v>40303.747886207013</v>
      </c>
      <c r="AK183" s="8">
        <f t="shared" ca="1" si="533"/>
        <v>41019.393838176358</v>
      </c>
      <c r="AL183" s="8">
        <f t="shared" ca="1" si="533"/>
        <v>42179.427619197042</v>
      </c>
      <c r="AM183" s="8">
        <f t="shared" ca="1" si="533"/>
        <v>43818.068585504254</v>
      </c>
    </row>
    <row r="184" spans="1:39" x14ac:dyDescent="0.2">
      <c r="A184" s="4" t="s">
        <v>29</v>
      </c>
      <c r="C184" s="8">
        <f t="shared" ref="C184:G184" ca="1" si="534">C172</f>
        <v>1306450.1098380252</v>
      </c>
      <c r="D184" s="8">
        <f t="shared" ca="1" si="534"/>
        <v>1395707.6271802546</v>
      </c>
      <c r="E184" s="8">
        <f t="shared" ca="1" si="534"/>
        <v>1467136.1463015494</v>
      </c>
      <c r="F184" s="8">
        <f t="shared" ca="1" si="534"/>
        <v>1571603.3362318811</v>
      </c>
      <c r="G184" s="8">
        <f t="shared" ca="1" si="534"/>
        <v>1681302.697570574</v>
      </c>
      <c r="H184" s="8">
        <f t="shared" ref="H184:AM184" ca="1" si="535">H172</f>
        <v>1803377.0200058362</v>
      </c>
      <c r="I184" s="8">
        <f t="shared" ref="I184:AM184" ca="1" si="536">I172</f>
        <v>1828796.9427019546</v>
      </c>
      <c r="J184" s="8">
        <f t="shared" ca="1" si="536"/>
        <v>1836723.4904964631</v>
      </c>
      <c r="K184" s="8">
        <f t="shared" ca="1" si="536"/>
        <v>1924524.6583618082</v>
      </c>
      <c r="L184" s="8">
        <f t="shared" ca="1" si="536"/>
        <v>1917392.644456805</v>
      </c>
      <c r="M184" s="8">
        <f t="shared" ca="1" si="536"/>
        <v>1958365.861078993</v>
      </c>
      <c r="N184" s="8">
        <f t="shared" ca="1" si="536"/>
        <v>2000632.0672181644</v>
      </c>
      <c r="O184" s="8">
        <f t="shared" ca="1" si="536"/>
        <v>2044253.3811846147</v>
      </c>
      <c r="P184" s="8">
        <f t="shared" ca="1" si="536"/>
        <v>2089295.6950883246</v>
      </c>
      <c r="Q184" s="8">
        <f t="shared" ca="1" si="536"/>
        <v>2135828.9316802616</v>
      </c>
      <c r="R184" s="8">
        <f t="shared" ca="1" si="536"/>
        <v>2183927.319901993</v>
      </c>
      <c r="S184" s="8">
        <f t="shared" ca="1" si="536"/>
        <v>2253209.4957984425</v>
      </c>
      <c r="T184" s="8">
        <f t="shared" ca="1" si="536"/>
        <v>2332899.5868767467</v>
      </c>
      <c r="U184" s="8">
        <f t="shared" ca="1" si="536"/>
        <v>2415805.2073590416</v>
      </c>
      <c r="V184" s="8">
        <f t="shared" ca="1" si="536"/>
        <v>2502073.2946640737</v>
      </c>
      <c r="W184" s="8">
        <f t="shared" ca="1" si="536"/>
        <v>2591858.5454998696</v>
      </c>
      <c r="X184" s="8">
        <f t="shared" ca="1" si="536"/>
        <v>2664916.9726112946</v>
      </c>
      <c r="Y184" s="8">
        <f t="shared" ca="1" si="536"/>
        <v>2740806.8264877512</v>
      </c>
      <c r="Z184" s="8">
        <f t="shared" ca="1" si="536"/>
        <v>2819670.8104810445</v>
      </c>
      <c r="AA184" s="8">
        <f t="shared" ca="1" si="536"/>
        <v>2901264.4769155099</v>
      </c>
      <c r="AB184" s="8">
        <f t="shared" ca="1" si="536"/>
        <v>2984780.5560026909</v>
      </c>
      <c r="AC184" s="8">
        <f t="shared" ca="1" si="536"/>
        <v>3070702.9065144737</v>
      </c>
      <c r="AD184" s="8">
        <f t="shared" ca="1" si="536"/>
        <v>3170318.7681246093</v>
      </c>
      <c r="AE184" s="8">
        <f t="shared" ca="1" si="536"/>
        <v>3273955.790734903</v>
      </c>
      <c r="AF184" s="8">
        <f t="shared" ca="1" si="536"/>
        <v>3381835.5164569579</v>
      </c>
      <c r="AG184" s="8">
        <f t="shared" ca="1" si="536"/>
        <v>3494194.910182226</v>
      </c>
      <c r="AH184" s="8">
        <f t="shared" ca="1" si="536"/>
        <v>3611287.5481506269</v>
      </c>
      <c r="AI184" s="8">
        <f t="shared" ca="1" si="536"/>
        <v>3733384.9009952871</v>
      </c>
      <c r="AJ184" s="8">
        <f t="shared" ca="1" si="536"/>
        <v>3860736.1533255321</v>
      </c>
      <c r="AK184" s="8">
        <f t="shared" ca="1" si="536"/>
        <v>3993610.4054479953</v>
      </c>
      <c r="AL184" s="8">
        <f t="shared" ca="1" si="536"/>
        <v>4132297.4543052092</v>
      </c>
      <c r="AM184" s="8">
        <f t="shared" ca="1" si="536"/>
        <v>4277104.8635782273</v>
      </c>
    </row>
    <row r="185" spans="1:39" x14ac:dyDescent="0.2">
      <c r="A185" s="4" t="s">
        <v>74</v>
      </c>
      <c r="C185" s="12" t="str">
        <f ca="1">IF(COUNTIF(183:183,"&lt;0")&gt;0,"NO","YES!")</f>
        <v>YES!</v>
      </c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</row>
    <row r="186" spans="1:39" x14ac:dyDescent="0.2">
      <c r="A186" s="4" t="s">
        <v>35</v>
      </c>
      <c r="C186" s="12" t="str" cm="1">
        <f t="array" aca="1" ref="C186" ca="1">IFERROR(INDEX($3:$3, MATCH(TRUE, INDEX(183:183&lt;0,0), 0)), "Never")</f>
        <v>Never</v>
      </c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</row>
    <row r="187" spans="1:39" x14ac:dyDescent="0.2">
      <c r="A187" s="4"/>
      <c r="C187" s="8"/>
      <c r="D187" s="8"/>
      <c r="E187" s="27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</row>
    <row r="188" spans="1:39" x14ac:dyDescent="0.2">
      <c r="A188" s="4" t="s">
        <v>31</v>
      </c>
      <c r="C188" s="11" t="s">
        <v>30</v>
      </c>
      <c r="D188" s="25" t="s">
        <v>76</v>
      </c>
      <c r="E188" s="25" t="s">
        <v>75</v>
      </c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</row>
    <row r="189" spans="1:39" x14ac:dyDescent="0.2">
      <c r="A189" s="18" t="s">
        <v>28</v>
      </c>
      <c r="C189" s="8">
        <f ca="1">-SUM(75:75)</f>
        <v>31810.117266024052</v>
      </c>
      <c r="D189" s="25" t="str" cm="1">
        <f t="array" aca="1" ref="D189" ca="1">IFERROR(TEXT(INDEX(2:2, MATCH(TRUE, INDEX(75:75&lt;0,0), 0)), "0000"), "")</f>
        <v>2051</v>
      </c>
      <c r="E189" s="26" cm="1">
        <f t="array" aca="1" ref="E189" ca="1">IFERROR(INDEX(3:3, MATCH(TRUE, INDEX(75:75&lt;0,0), 0)),"")</f>
        <v>73</v>
      </c>
      <c r="F189" s="28" t="s">
        <v>77</v>
      </c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</row>
    <row r="190" spans="1:39" x14ac:dyDescent="0.2">
      <c r="A190" s="18" t="s">
        <v>71</v>
      </c>
      <c r="C190" s="7"/>
      <c r="D190" s="27"/>
      <c r="E190" s="27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</row>
    <row r="191" spans="1:39" x14ac:dyDescent="0.2">
      <c r="A191" s="19" t="str">
        <f>$A$56</f>
        <v>Sliema</v>
      </c>
      <c r="C191" s="8">
        <f ca="1">-IFERROR(MIN(INDEX($139:$141, MATCH(A191, $A$139:$A$141, 0), 0)),0)</f>
        <v>0</v>
      </c>
      <c r="D191" s="25" t="str" cm="1">
        <f t="array" aca="1" ref="D191" ca="1">IFERROR(TEXT(INDEX($2:$2,MATCH(0, $C144:$XFD144, 0) + COLUMN($C144) - 1),"0000"),"")</f>
        <v/>
      </c>
      <c r="E191" s="26" t="str" cm="1">
        <f t="array" aca="1" ref="E191" ca="1">IFERROR(INDEX($3:$3,MATCH(0, $C144:$XFD144, 0) + COLUMN($C144) - 1),"")</f>
        <v/>
      </c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</row>
    <row r="192" spans="1:39" x14ac:dyDescent="0.2">
      <c r="A192" s="19" t="str">
        <f>$A$57</f>
        <v>Gzira</v>
      </c>
      <c r="C192" s="8">
        <f ca="1">-IFERROR(MIN(INDEX($139:$141, MATCH(A192, $A$139:$A$141, 0), 0)),0)</f>
        <v>0</v>
      </c>
      <c r="D192" s="25" t="str" cm="1">
        <f t="array" aca="1" ref="D192" ca="1">IFERROR(TEXT(INDEX($2:$2,MATCH(0, $C145:$XFD145, 0) + COLUMN($C145) - 1),"0000"),"")</f>
        <v/>
      </c>
      <c r="E192" s="26" t="str" cm="1">
        <f t="array" aca="1" ref="E192" ca="1">IFERROR(INDEX($3:$3,MATCH(0, $C145:$XFD145, 0) + COLUMN($C145) - 1),"")</f>
        <v/>
      </c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</row>
    <row r="193" spans="1:39" x14ac:dyDescent="0.2">
      <c r="A193" s="19" t="str">
        <f>$A$58</f>
        <v>Qormi</v>
      </c>
      <c r="C193" s="8">
        <f ca="1">-IFERROR(MIN(INDEX($139:$141, MATCH(A193, $A$139:$A$141, 0), 0)),0)</f>
        <v>0</v>
      </c>
      <c r="D193" s="25" t="str" cm="1">
        <f t="array" aca="1" ref="D193" ca="1">IFERROR(TEXT(INDEX($2:$2,MATCH(0, $C146:$XFD146, 0) + COLUMN($C146) - 1),"0000"),"")</f>
        <v/>
      </c>
      <c r="E193" s="26" t="str" cm="1">
        <f t="array" aca="1" ref="E193" ca="1">IFERROR(INDEX($3:$3,MATCH(0, $C146:$XFD146, 0) + COLUMN($C146) - 1),"")</f>
        <v/>
      </c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</row>
    <row r="194" spans="1:39" x14ac:dyDescent="0.2">
      <c r="A194" s="7"/>
      <c r="C194" s="10">
        <f ca="1">SUM(C191:C193)</f>
        <v>0</v>
      </c>
      <c r="D194" s="27"/>
      <c r="E194" s="27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</row>
    <row r="195" spans="1:39" x14ac:dyDescent="0.2">
      <c r="C195" s="8"/>
      <c r="E195" s="8"/>
      <c r="F195" s="8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</row>
    <row r="196" spans="1:39" x14ac:dyDescent="0.2">
      <c r="A196" s="17" t="s">
        <v>78</v>
      </c>
      <c r="B196" s="2" t="s">
        <v>1</v>
      </c>
      <c r="C196" s="8">
        <f t="shared" ref="C196:AM196" si="537">C3</f>
        <v>49</v>
      </c>
      <c r="D196" s="8">
        <f t="shared" si="537"/>
        <v>50</v>
      </c>
      <c r="E196" s="8">
        <f t="shared" si="537"/>
        <v>51</v>
      </c>
      <c r="F196" s="8">
        <f t="shared" si="537"/>
        <v>52</v>
      </c>
      <c r="G196" s="8">
        <f t="shared" si="537"/>
        <v>53</v>
      </c>
      <c r="H196" s="8">
        <f t="shared" si="537"/>
        <v>54</v>
      </c>
      <c r="I196" s="8">
        <f t="shared" ref="I196:AM196" si="538">I3</f>
        <v>55</v>
      </c>
      <c r="J196" s="8">
        <f t="shared" si="538"/>
        <v>56</v>
      </c>
      <c r="K196" s="8">
        <f t="shared" si="538"/>
        <v>57</v>
      </c>
      <c r="L196" s="8">
        <f t="shared" si="538"/>
        <v>58</v>
      </c>
      <c r="M196" s="8">
        <f t="shared" si="538"/>
        <v>59</v>
      </c>
      <c r="N196" s="8">
        <f t="shared" si="538"/>
        <v>60</v>
      </c>
      <c r="O196" s="8">
        <f t="shared" si="538"/>
        <v>61</v>
      </c>
      <c r="P196" s="8">
        <f t="shared" si="538"/>
        <v>62</v>
      </c>
      <c r="Q196" s="8">
        <f t="shared" si="538"/>
        <v>63</v>
      </c>
      <c r="R196" s="8">
        <f t="shared" si="538"/>
        <v>64</v>
      </c>
      <c r="S196" s="8">
        <f t="shared" si="538"/>
        <v>65</v>
      </c>
      <c r="T196" s="8">
        <f t="shared" si="538"/>
        <v>66</v>
      </c>
      <c r="U196" s="8">
        <f t="shared" si="538"/>
        <v>67</v>
      </c>
      <c r="V196" s="8">
        <f t="shared" si="538"/>
        <v>68</v>
      </c>
      <c r="W196" s="8">
        <f t="shared" si="538"/>
        <v>69</v>
      </c>
      <c r="X196" s="8">
        <f t="shared" si="538"/>
        <v>70</v>
      </c>
      <c r="Y196" s="8">
        <f t="shared" si="538"/>
        <v>71</v>
      </c>
      <c r="Z196" s="8">
        <f t="shared" si="538"/>
        <v>72</v>
      </c>
      <c r="AA196" s="8">
        <f t="shared" si="538"/>
        <v>73</v>
      </c>
      <c r="AB196" s="8">
        <f t="shared" si="538"/>
        <v>74</v>
      </c>
      <c r="AC196" s="8">
        <f t="shared" si="538"/>
        <v>75</v>
      </c>
      <c r="AD196" s="8">
        <f t="shared" si="538"/>
        <v>76</v>
      </c>
      <c r="AE196" s="8">
        <f t="shared" si="538"/>
        <v>77</v>
      </c>
      <c r="AF196" s="8">
        <f t="shared" si="538"/>
        <v>78</v>
      </c>
      <c r="AG196" s="8">
        <f t="shared" si="538"/>
        <v>79</v>
      </c>
      <c r="AH196" s="8">
        <f t="shared" si="538"/>
        <v>80</v>
      </c>
      <c r="AI196" s="8">
        <f t="shared" si="538"/>
        <v>81</v>
      </c>
      <c r="AJ196" s="8">
        <f t="shared" si="538"/>
        <v>82</v>
      </c>
      <c r="AK196" s="8">
        <f t="shared" si="538"/>
        <v>83</v>
      </c>
      <c r="AL196" s="8">
        <f t="shared" si="538"/>
        <v>84</v>
      </c>
      <c r="AM196" s="8">
        <f t="shared" si="538"/>
        <v>85</v>
      </c>
    </row>
    <row r="197" spans="1:39" x14ac:dyDescent="0.2">
      <c r="A197" s="4" t="s">
        <v>72</v>
      </c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</row>
    <row r="198" spans="1:39" x14ac:dyDescent="0.2">
      <c r="A198" s="4" t="s">
        <v>9</v>
      </c>
      <c r="C198" s="8">
        <f ca="1">C177</f>
        <v>75752.5</v>
      </c>
      <c r="D198" s="8">
        <f t="shared" ref="D198:G199" ca="1" si="539">D177</f>
        <v>104902.8125</v>
      </c>
      <c r="E198" s="8">
        <f t="shared" ca="1" si="539"/>
        <v>114244.71249999999</v>
      </c>
      <c r="F198" s="8">
        <f t="shared" ca="1" si="539"/>
        <v>155351.48395239323</v>
      </c>
      <c r="G198" s="8">
        <f t="shared" ca="1" si="539"/>
        <v>201221.49120440619</v>
      </c>
      <c r="H198" s="8">
        <f t="shared" ref="H198:AM198" ca="1" si="540">H177</f>
        <v>261189.83792477695</v>
      </c>
      <c r="I198" s="8">
        <f t="shared" ref="I198:AM198" ca="1" si="541">I177</f>
        <v>231316.96765010577</v>
      </c>
      <c r="J198" s="8">
        <f t="shared" ca="1" si="541"/>
        <v>182082.45452169742</v>
      </c>
      <c r="K198" s="8">
        <f t="shared" ca="1" si="541"/>
        <v>211064.10395191278</v>
      </c>
      <c r="L198" s="8">
        <f t="shared" ca="1" si="541"/>
        <v>145851.09277158603</v>
      </c>
      <c r="M198" s="8">
        <f t="shared" ca="1" si="541"/>
        <v>130439.67534730829</v>
      </c>
      <c r="N198" s="8">
        <f t="shared" ca="1" si="541"/>
        <v>114370.63741894731</v>
      </c>
      <c r="O198" s="8">
        <f t="shared" ca="1" si="541"/>
        <v>97626.853316192486</v>
      </c>
      <c r="P198" s="8">
        <f t="shared" ca="1" si="541"/>
        <v>80190.935794602876</v>
      </c>
      <c r="Q198" s="8">
        <f t="shared" ca="1" si="541"/>
        <v>62045.239171341629</v>
      </c>
      <c r="R198" s="8">
        <f t="shared" ca="1" si="541"/>
        <v>43171.862946508052</v>
      </c>
      <c r="S198" s="8">
        <f t="shared" ca="1" si="541"/>
        <v>43092.461169291615</v>
      </c>
      <c r="T198" s="8">
        <f t="shared" ca="1" si="541"/>
        <v>50929.014126519869</v>
      </c>
      <c r="U198" s="8">
        <f t="shared" ca="1" si="541"/>
        <v>59381.488177530009</v>
      </c>
      <c r="V198" s="8">
        <f t="shared" ca="1" si="541"/>
        <v>68483.312318437413</v>
      </c>
      <c r="W198" s="8">
        <f t="shared" ca="1" si="541"/>
        <v>78269.427968090327</v>
      </c>
      <c r="X198" s="8">
        <f t="shared" ca="1" si="541"/>
        <v>68369.430980525751</v>
      </c>
      <c r="Y198" s="8">
        <f t="shared" ca="1" si="541"/>
        <v>58208.047989181272</v>
      </c>
      <c r="Z198" s="8">
        <f t="shared" ca="1" si="541"/>
        <v>47786.87315912747</v>
      </c>
      <c r="AA198" s="8">
        <f t="shared" ca="1" si="541"/>
        <v>37107.99800895511</v>
      </c>
      <c r="AB198" s="8">
        <f t="shared" ca="1" si="541"/>
        <v>26174.042910468372</v>
      </c>
      <c r="AC198" s="8">
        <f t="shared" ca="1" si="541"/>
        <v>14988.190081367953</v>
      </c>
      <c r="AD198" s="8">
        <f t="shared" ca="1" si="541"/>
        <v>13414.955725393986</v>
      </c>
      <c r="AE198" s="8">
        <f t="shared" ca="1" si="541"/>
        <v>12091.050300541421</v>
      </c>
      <c r="AF198" s="8">
        <f t="shared" ca="1" si="541"/>
        <v>11040.044272870451</v>
      </c>
      <c r="AG198" s="8">
        <f t="shared" ca="1" si="541"/>
        <v>10286.834423603301</v>
      </c>
      <c r="AH198" s="8">
        <f t="shared" ca="1" si="541"/>
        <v>9857.7045420141803</v>
      </c>
      <c r="AI198" s="8">
        <f t="shared" ca="1" si="541"/>
        <v>9780.3885972771532</v>
      </c>
      <c r="AJ198" s="8">
        <f t="shared" ca="1" si="541"/>
        <v>10084.136483484166</v>
      </c>
      <c r="AK198" s="8">
        <f t="shared" ca="1" si="541"/>
        <v>10799.782435453511</v>
      </c>
      <c r="AL198" s="8">
        <f t="shared" ca="1" si="541"/>
        <v>11959.816216474195</v>
      </c>
      <c r="AM198" s="8">
        <f t="shared" ca="1" si="541"/>
        <v>13598.457182781407</v>
      </c>
    </row>
    <row r="199" spans="1:39" x14ac:dyDescent="0.2">
      <c r="A199" s="4" t="s">
        <v>29</v>
      </c>
      <c r="C199" s="8">
        <f ca="1">C178</f>
        <v>1306450.1098380252</v>
      </c>
      <c r="D199" s="8">
        <f t="shared" ca="1" si="539"/>
        <v>1395707.6271802546</v>
      </c>
      <c r="E199" s="8">
        <f t="shared" ca="1" si="539"/>
        <v>1467136.1463015494</v>
      </c>
      <c r="F199" s="8">
        <f t="shared" ca="1" si="539"/>
        <v>1571603.3362318811</v>
      </c>
      <c r="G199" s="8">
        <f t="shared" ca="1" si="539"/>
        <v>1681302.697570574</v>
      </c>
      <c r="H199" s="8">
        <f t="shared" ref="H199:AM199" ca="1" si="542">H178</f>
        <v>1803377.0200058362</v>
      </c>
      <c r="I199" s="8">
        <f t="shared" ref="I199:AM199" ca="1" si="543">I178</f>
        <v>1828796.9427019546</v>
      </c>
      <c r="J199" s="8">
        <f t="shared" ca="1" si="543"/>
        <v>1836723.4904964631</v>
      </c>
      <c r="K199" s="8">
        <f t="shared" ca="1" si="543"/>
        <v>1924524.6583618084</v>
      </c>
      <c r="L199" s="8">
        <f t="shared" ca="1" si="543"/>
        <v>1917392.644456805</v>
      </c>
      <c r="M199" s="8">
        <f t="shared" ca="1" si="543"/>
        <v>1958365.861078993</v>
      </c>
      <c r="N199" s="8">
        <f t="shared" ca="1" si="543"/>
        <v>2000632.0672181647</v>
      </c>
      <c r="O199" s="8">
        <f t="shared" ca="1" si="543"/>
        <v>2044253.381184615</v>
      </c>
      <c r="P199" s="8">
        <f t="shared" ca="1" si="543"/>
        <v>2089295.6950883248</v>
      </c>
      <c r="Q199" s="8">
        <f t="shared" ca="1" si="543"/>
        <v>2135828.9316802616</v>
      </c>
      <c r="R199" s="8">
        <f t="shared" ca="1" si="543"/>
        <v>2183927.3199019935</v>
      </c>
      <c r="S199" s="8">
        <f t="shared" ca="1" si="543"/>
        <v>2253209.4957984425</v>
      </c>
      <c r="T199" s="8">
        <f t="shared" ca="1" si="543"/>
        <v>2332899.5868767467</v>
      </c>
      <c r="U199" s="8">
        <f t="shared" ca="1" si="543"/>
        <v>2415805.2073590416</v>
      </c>
      <c r="V199" s="8">
        <f t="shared" ca="1" si="543"/>
        <v>2502073.2946640737</v>
      </c>
      <c r="W199" s="8">
        <f t="shared" ca="1" si="543"/>
        <v>2591858.5454998701</v>
      </c>
      <c r="X199" s="8">
        <f t="shared" ca="1" si="543"/>
        <v>2664916.9726112951</v>
      </c>
      <c r="Y199" s="8">
        <f t="shared" ca="1" si="543"/>
        <v>2740806.8264877517</v>
      </c>
      <c r="Z199" s="8">
        <f t="shared" ca="1" si="543"/>
        <v>2819670.8104810445</v>
      </c>
      <c r="AA199" s="8">
        <f t="shared" ca="1" si="543"/>
        <v>2901660.2245563897</v>
      </c>
      <c r="AB199" s="8">
        <f t="shared" ca="1" si="543"/>
        <v>2986935.5490486547</v>
      </c>
      <c r="AC199" s="8">
        <f t="shared" ca="1" si="543"/>
        <v>3075667.0712215756</v>
      </c>
      <c r="AD199" s="8">
        <f t="shared" ca="1" si="543"/>
        <v>3177896.2955031139</v>
      </c>
      <c r="AE199" s="8">
        <f t="shared" ca="1" si="543"/>
        <v>3284447.4898511623</v>
      </c>
      <c r="AF199" s="8">
        <f t="shared" ca="1" si="543"/>
        <v>3395543.0893559456</v>
      </c>
      <c r="AG199" s="8">
        <f t="shared" ca="1" si="543"/>
        <v>3511418.9561927808</v>
      </c>
      <c r="AH199" s="8">
        <f t="shared" ca="1" si="543"/>
        <v>3632325.2941245665</v>
      </c>
      <c r="AI199" s="8">
        <f t="shared" ca="1" si="543"/>
        <v>3758527.6303604282</v>
      </c>
      <c r="AJ199" s="8">
        <f t="shared" ca="1" si="543"/>
        <v>3890307.8699521031</v>
      </c>
      <c r="AK199" s="8">
        <f t="shared" ca="1" si="543"/>
        <v>4027965.4283169098</v>
      </c>
      <c r="AL199" s="8">
        <f t="shared" ca="1" si="543"/>
        <v>4171818.4479158549</v>
      </c>
      <c r="AM199" s="8">
        <f t="shared" ca="1" si="543"/>
        <v>4322205.1055899421</v>
      </c>
    </row>
    <row r="200" spans="1:39" x14ac:dyDescent="0.2">
      <c r="A200" s="4" t="s">
        <v>73</v>
      </c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</row>
    <row r="201" spans="1:39" x14ac:dyDescent="0.2">
      <c r="A201" s="18" t="s">
        <v>9</v>
      </c>
      <c r="C201" s="8">
        <f ca="1">C183</f>
        <v>75752.5</v>
      </c>
      <c r="D201" s="8">
        <f t="shared" ref="D201:G202" ca="1" si="544">D183</f>
        <v>104902.8125</v>
      </c>
      <c r="E201" s="8">
        <f t="shared" ca="1" si="544"/>
        <v>114244.71249999999</v>
      </c>
      <c r="F201" s="8">
        <f t="shared" ca="1" si="544"/>
        <v>155351.48395239323</v>
      </c>
      <c r="G201" s="8">
        <f t="shared" ca="1" si="544"/>
        <v>201221.49120440619</v>
      </c>
      <c r="H201" s="8">
        <f t="shared" ref="H201:AM201" ca="1" si="545">H183</f>
        <v>261189.83792477695</v>
      </c>
      <c r="I201" s="8">
        <f t="shared" ref="I201:AM201" ca="1" si="546">I183</f>
        <v>231316.96765010577</v>
      </c>
      <c r="J201" s="8">
        <f t="shared" ca="1" si="546"/>
        <v>182082.45452169742</v>
      </c>
      <c r="K201" s="8">
        <f t="shared" ca="1" si="546"/>
        <v>211064.10395191278</v>
      </c>
      <c r="L201" s="8">
        <f t="shared" ca="1" si="546"/>
        <v>145851.09277158603</v>
      </c>
      <c r="M201" s="8">
        <f t="shared" ca="1" si="546"/>
        <v>130439.67534730829</v>
      </c>
      <c r="N201" s="8">
        <f t="shared" ca="1" si="546"/>
        <v>114370.63741894731</v>
      </c>
      <c r="O201" s="8">
        <f t="shared" ca="1" si="546"/>
        <v>97626.853316192486</v>
      </c>
      <c r="P201" s="8">
        <f t="shared" ca="1" si="546"/>
        <v>80190.935794602876</v>
      </c>
      <c r="Q201" s="8">
        <f t="shared" ca="1" si="546"/>
        <v>62045.239171341629</v>
      </c>
      <c r="R201" s="8">
        <f t="shared" ca="1" si="546"/>
        <v>43171.862946508052</v>
      </c>
      <c r="S201" s="8">
        <f t="shared" ca="1" si="546"/>
        <v>43092.461169291615</v>
      </c>
      <c r="T201" s="8">
        <f t="shared" ca="1" si="546"/>
        <v>50929.014126519869</v>
      </c>
      <c r="U201" s="8">
        <f t="shared" ca="1" si="546"/>
        <v>59381.488177530009</v>
      </c>
      <c r="V201" s="8">
        <f t="shared" ca="1" si="546"/>
        <v>68483.312318437413</v>
      </c>
      <c r="W201" s="8">
        <f t="shared" ca="1" si="546"/>
        <v>78269.427968090327</v>
      </c>
      <c r="X201" s="8">
        <f t="shared" ca="1" si="546"/>
        <v>68369.430980525751</v>
      </c>
      <c r="Y201" s="8">
        <f t="shared" ca="1" si="546"/>
        <v>58208.047989181272</v>
      </c>
      <c r="Z201" s="8">
        <f t="shared" ca="1" si="546"/>
        <v>47786.87315912747</v>
      </c>
      <c r="AA201" s="8">
        <f t="shared" ca="1" si="546"/>
        <v>40000</v>
      </c>
      <c r="AB201" s="8">
        <f t="shared" ca="1" si="546"/>
        <v>40000</v>
      </c>
      <c r="AC201" s="8">
        <f t="shared" ca="1" si="546"/>
        <v>40000</v>
      </c>
      <c r="AD201" s="8">
        <f t="shared" ca="1" si="546"/>
        <v>40000</v>
      </c>
      <c r="AE201" s="8">
        <f t="shared" ca="1" si="546"/>
        <v>40000</v>
      </c>
      <c r="AF201" s="8">
        <f t="shared" ca="1" si="546"/>
        <v>40000</v>
      </c>
      <c r="AG201" s="8">
        <f t="shared" ca="1" si="546"/>
        <v>40000</v>
      </c>
      <c r="AH201" s="8">
        <f t="shared" ca="1" si="546"/>
        <v>40000</v>
      </c>
      <c r="AI201" s="8">
        <f t="shared" ca="1" si="546"/>
        <v>40000</v>
      </c>
      <c r="AJ201" s="8">
        <f t="shared" ca="1" si="546"/>
        <v>40303.747886207013</v>
      </c>
      <c r="AK201" s="8">
        <f t="shared" ca="1" si="546"/>
        <v>41019.393838176358</v>
      </c>
      <c r="AL201" s="8">
        <f t="shared" ca="1" si="546"/>
        <v>42179.427619197042</v>
      </c>
      <c r="AM201" s="8">
        <f t="shared" ca="1" si="546"/>
        <v>43818.068585504254</v>
      </c>
    </row>
    <row r="202" spans="1:39" x14ac:dyDescent="0.2">
      <c r="A202" s="18" t="s">
        <v>29</v>
      </c>
      <c r="C202" s="8">
        <f ca="1">C184</f>
        <v>1306450.1098380252</v>
      </c>
      <c r="D202" s="8">
        <f t="shared" ca="1" si="544"/>
        <v>1395707.6271802546</v>
      </c>
      <c r="E202" s="8">
        <f t="shared" ca="1" si="544"/>
        <v>1467136.1463015494</v>
      </c>
      <c r="F202" s="8">
        <f t="shared" ca="1" si="544"/>
        <v>1571603.3362318811</v>
      </c>
      <c r="G202" s="8">
        <f t="shared" ca="1" si="544"/>
        <v>1681302.697570574</v>
      </c>
      <c r="H202" s="8">
        <f t="shared" ref="H202:AM202" ca="1" si="547">H184</f>
        <v>1803377.0200058362</v>
      </c>
      <c r="I202" s="8">
        <f t="shared" ref="I202:AM202" ca="1" si="548">I184</f>
        <v>1828796.9427019546</v>
      </c>
      <c r="J202" s="8">
        <f t="shared" ca="1" si="548"/>
        <v>1836723.4904964631</v>
      </c>
      <c r="K202" s="8">
        <f t="shared" ca="1" si="548"/>
        <v>1924524.6583618082</v>
      </c>
      <c r="L202" s="8">
        <f t="shared" ca="1" si="548"/>
        <v>1917392.644456805</v>
      </c>
      <c r="M202" s="8">
        <f t="shared" ca="1" si="548"/>
        <v>1958365.861078993</v>
      </c>
      <c r="N202" s="8">
        <f t="shared" ca="1" si="548"/>
        <v>2000632.0672181644</v>
      </c>
      <c r="O202" s="8">
        <f t="shared" ca="1" si="548"/>
        <v>2044253.3811846147</v>
      </c>
      <c r="P202" s="8">
        <f t="shared" ca="1" si="548"/>
        <v>2089295.6950883246</v>
      </c>
      <c r="Q202" s="8">
        <f t="shared" ca="1" si="548"/>
        <v>2135828.9316802616</v>
      </c>
      <c r="R202" s="8">
        <f t="shared" ca="1" si="548"/>
        <v>2183927.319901993</v>
      </c>
      <c r="S202" s="8">
        <f t="shared" ca="1" si="548"/>
        <v>2253209.4957984425</v>
      </c>
      <c r="T202" s="8">
        <f t="shared" ca="1" si="548"/>
        <v>2332899.5868767467</v>
      </c>
      <c r="U202" s="8">
        <f t="shared" ca="1" si="548"/>
        <v>2415805.2073590416</v>
      </c>
      <c r="V202" s="8">
        <f t="shared" ca="1" si="548"/>
        <v>2502073.2946640737</v>
      </c>
      <c r="W202" s="8">
        <f t="shared" ca="1" si="548"/>
        <v>2591858.5454998696</v>
      </c>
      <c r="X202" s="8">
        <f t="shared" ca="1" si="548"/>
        <v>2664916.9726112946</v>
      </c>
      <c r="Y202" s="8">
        <f t="shared" ca="1" si="548"/>
        <v>2740806.8264877512</v>
      </c>
      <c r="Z202" s="8">
        <f t="shared" ca="1" si="548"/>
        <v>2819670.8104810445</v>
      </c>
      <c r="AA202" s="8">
        <f t="shared" ca="1" si="548"/>
        <v>2901264.4769155099</v>
      </c>
      <c r="AB202" s="8">
        <f t="shared" ca="1" si="548"/>
        <v>2984780.5560026909</v>
      </c>
      <c r="AC202" s="8">
        <f t="shared" ca="1" si="548"/>
        <v>3070702.9065144737</v>
      </c>
      <c r="AD202" s="8">
        <f t="shared" ca="1" si="548"/>
        <v>3170318.7681246093</v>
      </c>
      <c r="AE202" s="8">
        <f t="shared" ca="1" si="548"/>
        <v>3273955.790734903</v>
      </c>
      <c r="AF202" s="8">
        <f t="shared" ca="1" si="548"/>
        <v>3381835.5164569579</v>
      </c>
      <c r="AG202" s="8">
        <f t="shared" ca="1" si="548"/>
        <v>3494194.910182226</v>
      </c>
      <c r="AH202" s="8">
        <f t="shared" ca="1" si="548"/>
        <v>3611287.5481506269</v>
      </c>
      <c r="AI202" s="8">
        <f t="shared" ca="1" si="548"/>
        <v>3733384.9009952871</v>
      </c>
      <c r="AJ202" s="8">
        <f t="shared" ca="1" si="548"/>
        <v>3860736.1533255321</v>
      </c>
      <c r="AK202" s="8">
        <f t="shared" ca="1" si="548"/>
        <v>3993610.4054479953</v>
      </c>
      <c r="AL202" s="8">
        <f t="shared" ca="1" si="548"/>
        <v>4132297.4543052092</v>
      </c>
      <c r="AM202" s="8">
        <f t="shared" ca="1" si="548"/>
        <v>4277104.8635782273</v>
      </c>
    </row>
    <row r="203" spans="1:39" x14ac:dyDescent="0.2">
      <c r="A203" s="5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</row>
    <row r="204" spans="1:39" x14ac:dyDescent="0.2"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</row>
    <row r="205" spans="1:39" x14ac:dyDescent="0.2"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</row>
    <row r="206" spans="1:39" x14ac:dyDescent="0.2"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</row>
    <row r="207" spans="1:39" x14ac:dyDescent="0.2"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</row>
    <row r="208" spans="1:39" x14ac:dyDescent="0.2"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</row>
    <row r="209" spans="3:39" x14ac:dyDescent="0.2"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</row>
    <row r="210" spans="3:39" x14ac:dyDescent="0.2"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</row>
    <row r="211" spans="3:39" x14ac:dyDescent="0.2"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</row>
    <row r="212" spans="3:39" x14ac:dyDescent="0.2"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</row>
    <row r="213" spans="3:39" x14ac:dyDescent="0.2"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</row>
    <row r="214" spans="3:39" x14ac:dyDescent="0.2"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</row>
    <row r="215" spans="3:39" x14ac:dyDescent="0.2"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</row>
    <row r="216" spans="3:39" x14ac:dyDescent="0.2"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</row>
    <row r="217" spans="3:39" x14ac:dyDescent="0.2"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</row>
    <row r="218" spans="3:39" x14ac:dyDescent="0.2"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</row>
    <row r="219" spans="3:39" x14ac:dyDescent="0.2"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</row>
    <row r="220" spans="3:39" x14ac:dyDescent="0.2"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</row>
    <row r="221" spans="3:39" x14ac:dyDescent="0.2"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</row>
    <row r="222" spans="3:39" x14ac:dyDescent="0.2"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</row>
    <row r="223" spans="3:39" x14ac:dyDescent="0.2"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</row>
    <row r="224" spans="3:39" x14ac:dyDescent="0.2"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</row>
    <row r="225" spans="3:39" x14ac:dyDescent="0.2"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</row>
    <row r="226" spans="3:39" x14ac:dyDescent="0.2"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</row>
    <row r="227" spans="3:39" x14ac:dyDescent="0.2"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</row>
    <row r="228" spans="3:39" x14ac:dyDescent="0.2"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</row>
    <row r="229" spans="3:39" x14ac:dyDescent="0.2"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</row>
    <row r="230" spans="3:39" x14ac:dyDescent="0.2"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</row>
    <row r="231" spans="3:39" x14ac:dyDescent="0.2"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</row>
    <row r="232" spans="3:39" x14ac:dyDescent="0.2"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</row>
    <row r="233" spans="3:39" x14ac:dyDescent="0.2"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</row>
    <row r="234" spans="3:39" x14ac:dyDescent="0.2"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</row>
    <row r="235" spans="3:39" x14ac:dyDescent="0.2"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</row>
    <row r="236" spans="3:39" x14ac:dyDescent="0.2"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</row>
    <row r="237" spans="3:39" x14ac:dyDescent="0.2"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</row>
    <row r="238" spans="3:39" x14ac:dyDescent="0.2"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</row>
    <row r="239" spans="3:39" x14ac:dyDescent="0.2"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</row>
    <row r="240" spans="3:39" x14ac:dyDescent="0.2"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</row>
    <row r="241" spans="3:39" x14ac:dyDescent="0.2"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</row>
    <row r="242" spans="3:39" x14ac:dyDescent="0.2"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</row>
    <row r="243" spans="3:39" x14ac:dyDescent="0.2"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</row>
    <row r="244" spans="3:39" x14ac:dyDescent="0.2"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</row>
    <row r="245" spans="3:39" x14ac:dyDescent="0.2"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</row>
    <row r="246" spans="3:39" x14ac:dyDescent="0.2"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</row>
    <row r="247" spans="3:39" x14ac:dyDescent="0.2"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</row>
    <row r="248" spans="3:39" x14ac:dyDescent="0.2"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</row>
    <row r="249" spans="3:39" x14ac:dyDescent="0.2"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</row>
    <row r="250" spans="3:39" x14ac:dyDescent="0.2"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</row>
    <row r="251" spans="3:39" x14ac:dyDescent="0.2"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</row>
    <row r="252" spans="3:39" x14ac:dyDescent="0.2"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</row>
    <row r="253" spans="3:39" x14ac:dyDescent="0.2"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</row>
    <row r="254" spans="3:39" x14ac:dyDescent="0.2"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</row>
    <row r="255" spans="3:39" x14ac:dyDescent="0.2"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</row>
    <row r="256" spans="3:39" x14ac:dyDescent="0.2"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</row>
    <row r="257" spans="3:39" x14ac:dyDescent="0.2"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</row>
    <row r="258" spans="3:39" x14ac:dyDescent="0.2"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</row>
    <row r="259" spans="3:39" x14ac:dyDescent="0.2"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</row>
    <row r="260" spans="3:39" x14ac:dyDescent="0.2"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</row>
    <row r="261" spans="3:39" x14ac:dyDescent="0.2"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</row>
    <row r="262" spans="3:39" x14ac:dyDescent="0.2"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</row>
    <row r="263" spans="3:39" x14ac:dyDescent="0.2"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</row>
    <row r="264" spans="3:39" x14ac:dyDescent="0.2"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</row>
    <row r="265" spans="3:39" x14ac:dyDescent="0.2"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</row>
    <row r="266" spans="3:39" x14ac:dyDescent="0.2"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</row>
    <row r="267" spans="3:39" x14ac:dyDescent="0.2"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</row>
    <row r="268" spans="3:39" x14ac:dyDescent="0.2"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</row>
    <row r="269" spans="3:39" x14ac:dyDescent="0.2"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</row>
    <row r="270" spans="3:39" x14ac:dyDescent="0.2"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</row>
    <row r="271" spans="3:39" x14ac:dyDescent="0.2"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</row>
    <row r="272" spans="3:39" x14ac:dyDescent="0.2"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</row>
    <row r="273" spans="3:39" x14ac:dyDescent="0.2"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</row>
    <row r="274" spans="3:39" x14ac:dyDescent="0.2"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</row>
    <row r="275" spans="3:39" x14ac:dyDescent="0.2"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</row>
    <row r="276" spans="3:39" x14ac:dyDescent="0.2"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</row>
    <row r="277" spans="3:39" x14ac:dyDescent="0.2"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</row>
    <row r="278" spans="3:39" x14ac:dyDescent="0.2"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</row>
    <row r="279" spans="3:39" x14ac:dyDescent="0.2"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</row>
    <row r="280" spans="3:39" x14ac:dyDescent="0.2"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</row>
    <row r="281" spans="3:39" x14ac:dyDescent="0.2"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</row>
    <row r="282" spans="3:39" x14ac:dyDescent="0.2"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</row>
    <row r="283" spans="3:39" x14ac:dyDescent="0.2"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</row>
    <row r="284" spans="3:39" x14ac:dyDescent="0.2"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</row>
    <row r="285" spans="3:39" x14ac:dyDescent="0.2"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</row>
    <row r="286" spans="3:39" x14ac:dyDescent="0.2"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</row>
    <row r="287" spans="3:39" x14ac:dyDescent="0.2"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</row>
    <row r="288" spans="3:39" x14ac:dyDescent="0.2"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</row>
    <row r="289" spans="3:39" x14ac:dyDescent="0.2"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</row>
    <row r="290" spans="3:39" x14ac:dyDescent="0.2"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</row>
    <row r="291" spans="3:39" x14ac:dyDescent="0.2"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</row>
    <row r="292" spans="3:39" x14ac:dyDescent="0.2"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</row>
    <row r="293" spans="3:39" x14ac:dyDescent="0.2"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</row>
    <row r="294" spans="3:39" x14ac:dyDescent="0.2"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</row>
    <row r="295" spans="3:39" x14ac:dyDescent="0.2"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</row>
    <row r="296" spans="3:39" x14ac:dyDescent="0.2"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</row>
    <row r="297" spans="3:39" x14ac:dyDescent="0.2"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</row>
    <row r="298" spans="3:39" x14ac:dyDescent="0.2"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</row>
    <row r="299" spans="3:39" x14ac:dyDescent="0.2"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</row>
    <row r="300" spans="3:39" x14ac:dyDescent="0.2"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</row>
    <row r="301" spans="3:39" x14ac:dyDescent="0.2"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</row>
    <row r="302" spans="3:39" x14ac:dyDescent="0.2"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</row>
    <row r="303" spans="3:39" x14ac:dyDescent="0.2"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</row>
    <row r="304" spans="3:39" x14ac:dyDescent="0.2"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</row>
    <row r="305" spans="3:39" x14ac:dyDescent="0.2"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</row>
    <row r="306" spans="3:39" x14ac:dyDescent="0.2"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</row>
    <row r="307" spans="3:39" x14ac:dyDescent="0.2"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</row>
    <row r="308" spans="3:39" x14ac:dyDescent="0.2"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</row>
    <row r="309" spans="3:39" x14ac:dyDescent="0.2"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</row>
    <row r="310" spans="3:39" x14ac:dyDescent="0.2"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</row>
    <row r="311" spans="3:39" x14ac:dyDescent="0.2"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</row>
    <row r="312" spans="3:39" x14ac:dyDescent="0.2"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</row>
    <row r="313" spans="3:39" x14ac:dyDescent="0.2"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</row>
    <row r="314" spans="3:39" x14ac:dyDescent="0.2"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</row>
    <row r="315" spans="3:39" x14ac:dyDescent="0.2"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</row>
    <row r="316" spans="3:39" x14ac:dyDescent="0.2"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</row>
    <row r="317" spans="3:39" x14ac:dyDescent="0.2"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</row>
    <row r="318" spans="3:39" x14ac:dyDescent="0.2"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</row>
    <row r="319" spans="3:39" x14ac:dyDescent="0.2"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</row>
    <row r="320" spans="3:39" x14ac:dyDescent="0.2"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</row>
    <row r="321" spans="3:39" x14ac:dyDescent="0.2"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</row>
    <row r="322" spans="3:39" x14ac:dyDescent="0.2"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</row>
    <row r="323" spans="3:39" x14ac:dyDescent="0.2"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</row>
    <row r="324" spans="3:39" x14ac:dyDescent="0.2"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</row>
    <row r="325" spans="3:39" x14ac:dyDescent="0.2"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</row>
    <row r="326" spans="3:39" x14ac:dyDescent="0.2"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</row>
    <row r="327" spans="3:39" x14ac:dyDescent="0.2"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</row>
    <row r="328" spans="3:39" x14ac:dyDescent="0.2"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</row>
    <row r="329" spans="3:39" x14ac:dyDescent="0.2"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</row>
    <row r="330" spans="3:39" x14ac:dyDescent="0.2"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</row>
    <row r="331" spans="3:39" x14ac:dyDescent="0.2"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</row>
    <row r="332" spans="3:39" x14ac:dyDescent="0.2"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</row>
    <row r="333" spans="3:39" x14ac:dyDescent="0.2"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</row>
    <row r="334" spans="3:39" x14ac:dyDescent="0.2"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</row>
    <row r="335" spans="3:39" x14ac:dyDescent="0.2"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</row>
    <row r="336" spans="3:39" x14ac:dyDescent="0.2"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</row>
    <row r="337" spans="3:39" x14ac:dyDescent="0.2"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</row>
    <row r="338" spans="3:39" x14ac:dyDescent="0.2"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</row>
    <row r="339" spans="3:39" x14ac:dyDescent="0.2"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</row>
    <row r="340" spans="3:39" x14ac:dyDescent="0.2"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</row>
    <row r="341" spans="3:39" x14ac:dyDescent="0.2"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</row>
    <row r="342" spans="3:39" x14ac:dyDescent="0.2"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</row>
    <row r="343" spans="3:39" x14ac:dyDescent="0.2"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</row>
    <row r="344" spans="3:39" x14ac:dyDescent="0.2"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</row>
    <row r="345" spans="3:39" x14ac:dyDescent="0.2"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</row>
    <row r="346" spans="3:39" x14ac:dyDescent="0.2"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</row>
    <row r="347" spans="3:39" x14ac:dyDescent="0.2"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</row>
    <row r="348" spans="3:39" x14ac:dyDescent="0.2"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Inputs</vt:lpstr>
      <vt:lpstr>Output</vt:lpstr>
      <vt:lpstr>RetNorm_Engine</vt:lpstr>
      <vt:lpstr>RetEarly_Engine</vt:lpstr>
      <vt:lpstr>buffer</vt:lpstr>
      <vt:lpstr>EndAge</vt:lpstr>
      <vt:lpstr>inf</vt:lpstr>
      <vt:lpstr>princ</vt:lpstr>
      <vt:lpstr>RetAge</vt:lpstr>
      <vt:lpstr>rinc</vt:lpstr>
      <vt:lpstr>sincr</vt:lpstr>
      <vt:lpstr>stinc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Bonnici</dc:creator>
  <cp:lastModifiedBy>Kenneth Bonnici</cp:lastModifiedBy>
  <dcterms:created xsi:type="dcterms:W3CDTF">2026-01-26T20:28:02Z</dcterms:created>
  <dcterms:modified xsi:type="dcterms:W3CDTF">2026-03-19T20:06:41Z</dcterms:modified>
</cp:coreProperties>
</file>